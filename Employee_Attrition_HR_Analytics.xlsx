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D:\Data Analysis\projects\"/>
    </mc:Choice>
  </mc:AlternateContent>
  <xr:revisionPtr revIDLastSave="0" documentId="13_ncr:1_{D73A7331-8EA5-40FA-8126-88FE97183B16}" xr6:coauthVersionLast="47" xr6:coauthVersionMax="47" xr10:uidLastSave="{00000000-0000-0000-0000-000000000000}"/>
  <bookViews>
    <workbookView xWindow="-108" yWindow="-108" windowWidth="23256" windowHeight="12456" firstSheet="1" activeTab="3" xr2:uid="{63AC129F-E714-416C-8AB4-009332B6DC4C}"/>
  </bookViews>
  <sheets>
    <sheet name="WA_Fn-UseC_-HR-Employee-Attriti" sheetId="1" r:id="rId1"/>
    <sheet name="pivottable" sheetId="3" r:id="rId2"/>
    <sheet name="Analysis" sheetId="2" r:id="rId3"/>
    <sheet name="Dashboard" sheetId="8" r:id="rId4"/>
  </sheets>
  <definedNames>
    <definedName name="Slicer_Age_Group">#N/A</definedName>
    <definedName name="Slicer_Department">#N/A</definedName>
    <definedName name="Slicer_Gender">#N/A</definedName>
    <definedName name="Slicer_JobRole">#N/A</definedName>
    <definedName name="Slicer_Salary_Rang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 i="8" l="1"/>
  <c r="AK2" i="1"/>
  <c r="AK3" i="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6"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398" i="1"/>
  <c r="AK399" i="1"/>
  <c r="AK400" i="1"/>
  <c r="AK401" i="1"/>
  <c r="AK402" i="1"/>
  <c r="AK403" i="1"/>
  <c r="AK404" i="1"/>
  <c r="AK405" i="1"/>
  <c r="AK406" i="1"/>
  <c r="AK407" i="1"/>
  <c r="AK408" i="1"/>
  <c r="AK409" i="1"/>
  <c r="AK410" i="1"/>
  <c r="AK411" i="1"/>
  <c r="AK412" i="1"/>
  <c r="AK413" i="1"/>
  <c r="AK414" i="1"/>
  <c r="AK415" i="1"/>
  <c r="AK416" i="1"/>
  <c r="AK417" i="1"/>
  <c r="AK418" i="1"/>
  <c r="AK419" i="1"/>
  <c r="AK420" i="1"/>
  <c r="AK421" i="1"/>
  <c r="AK422" i="1"/>
  <c r="AK423" i="1"/>
  <c r="AK424" i="1"/>
  <c r="AK425" i="1"/>
  <c r="AK426" i="1"/>
  <c r="AK427" i="1"/>
  <c r="AK428" i="1"/>
  <c r="AK429" i="1"/>
  <c r="AK430" i="1"/>
  <c r="AK431" i="1"/>
  <c r="AK432" i="1"/>
  <c r="AK433" i="1"/>
  <c r="AK434" i="1"/>
  <c r="AK435" i="1"/>
  <c r="AK436" i="1"/>
  <c r="AK437" i="1"/>
  <c r="AK438" i="1"/>
  <c r="AK439" i="1"/>
  <c r="AK440" i="1"/>
  <c r="AK441" i="1"/>
  <c r="AK442" i="1"/>
  <c r="AK443" i="1"/>
  <c r="AK444" i="1"/>
  <c r="AK445" i="1"/>
  <c r="AK446" i="1"/>
  <c r="AK447" i="1"/>
  <c r="AK448" i="1"/>
  <c r="AK449" i="1"/>
  <c r="AK450" i="1"/>
  <c r="AK451" i="1"/>
  <c r="AK452" i="1"/>
  <c r="AK453" i="1"/>
  <c r="AK454" i="1"/>
  <c r="AK455" i="1"/>
  <c r="AK456" i="1"/>
  <c r="AK457" i="1"/>
  <c r="AK458" i="1"/>
  <c r="AK459" i="1"/>
  <c r="AK460" i="1"/>
  <c r="AK461" i="1"/>
  <c r="AK462" i="1"/>
  <c r="AK463" i="1"/>
  <c r="AK464" i="1"/>
  <c r="AK465" i="1"/>
  <c r="AK466" i="1"/>
  <c r="AK467" i="1"/>
  <c r="AK468" i="1"/>
  <c r="AK469" i="1"/>
  <c r="AK470" i="1"/>
  <c r="AK471" i="1"/>
  <c r="AK472" i="1"/>
  <c r="AK473" i="1"/>
  <c r="AK474" i="1"/>
  <c r="AK475" i="1"/>
  <c r="AK476" i="1"/>
  <c r="AK477" i="1"/>
  <c r="AK478" i="1"/>
  <c r="AK479" i="1"/>
  <c r="AK480" i="1"/>
  <c r="AK481" i="1"/>
  <c r="AK482" i="1"/>
  <c r="AK483" i="1"/>
  <c r="AK484" i="1"/>
  <c r="AK485" i="1"/>
  <c r="AK486" i="1"/>
  <c r="AK487" i="1"/>
  <c r="AK488" i="1"/>
  <c r="AK489" i="1"/>
  <c r="AK490" i="1"/>
  <c r="AK491" i="1"/>
  <c r="AK492" i="1"/>
  <c r="AK493" i="1"/>
  <c r="AK494" i="1"/>
  <c r="AK495" i="1"/>
  <c r="AK496" i="1"/>
  <c r="AK497" i="1"/>
  <c r="AK498" i="1"/>
  <c r="AK499" i="1"/>
  <c r="AK500" i="1"/>
  <c r="AK501" i="1"/>
  <c r="AK502" i="1"/>
  <c r="AK503" i="1"/>
  <c r="AK504" i="1"/>
  <c r="AK505" i="1"/>
  <c r="AK506" i="1"/>
  <c r="AK507" i="1"/>
  <c r="AK508" i="1"/>
  <c r="AK509" i="1"/>
  <c r="AK510" i="1"/>
  <c r="AK511" i="1"/>
  <c r="AK512" i="1"/>
  <c r="AK513" i="1"/>
  <c r="AK514" i="1"/>
  <c r="AK515" i="1"/>
  <c r="AK516" i="1"/>
  <c r="AK517" i="1"/>
  <c r="AK518" i="1"/>
  <c r="AK519" i="1"/>
  <c r="AK520" i="1"/>
  <c r="AK521" i="1"/>
  <c r="AK522" i="1"/>
  <c r="AK523" i="1"/>
  <c r="AK524" i="1"/>
  <c r="AK525" i="1"/>
  <c r="AK526" i="1"/>
  <c r="AK527" i="1"/>
  <c r="AK528" i="1"/>
  <c r="AK529" i="1"/>
  <c r="AK530" i="1"/>
  <c r="AK531" i="1"/>
  <c r="AK532" i="1"/>
  <c r="AK533" i="1"/>
  <c r="AK534" i="1"/>
  <c r="AK535" i="1"/>
  <c r="AK536" i="1"/>
  <c r="AK537" i="1"/>
  <c r="AK538" i="1"/>
  <c r="AK539" i="1"/>
  <c r="AK540" i="1"/>
  <c r="AK541" i="1"/>
  <c r="AK542" i="1"/>
  <c r="AK543" i="1"/>
  <c r="AK544" i="1"/>
  <c r="AK545" i="1"/>
  <c r="AK546" i="1"/>
  <c r="AK547" i="1"/>
  <c r="AK548" i="1"/>
  <c r="AK549" i="1"/>
  <c r="AK550" i="1"/>
  <c r="AK551" i="1"/>
  <c r="AK552" i="1"/>
  <c r="AK553" i="1"/>
  <c r="AK554" i="1"/>
  <c r="AK555" i="1"/>
  <c r="AK556" i="1"/>
  <c r="AK557" i="1"/>
  <c r="AK558" i="1"/>
  <c r="AK559" i="1"/>
  <c r="AK560" i="1"/>
  <c r="AK561" i="1"/>
  <c r="AK562" i="1"/>
  <c r="AK563" i="1"/>
  <c r="AK564" i="1"/>
  <c r="AK565" i="1"/>
  <c r="AK566" i="1"/>
  <c r="AK567" i="1"/>
  <c r="AK568" i="1"/>
  <c r="AK569" i="1"/>
  <c r="AK570" i="1"/>
  <c r="AK571" i="1"/>
  <c r="AK572" i="1"/>
  <c r="AK573" i="1"/>
  <c r="AK574" i="1"/>
  <c r="AK575" i="1"/>
  <c r="AK576" i="1"/>
  <c r="AK577" i="1"/>
  <c r="AK578" i="1"/>
  <c r="AK579" i="1"/>
  <c r="AK580" i="1"/>
  <c r="AK581" i="1"/>
  <c r="AK582" i="1"/>
  <c r="AK583" i="1"/>
  <c r="AK584" i="1"/>
  <c r="AK585" i="1"/>
  <c r="AK586" i="1"/>
  <c r="AK587" i="1"/>
  <c r="AK588" i="1"/>
  <c r="AK589" i="1"/>
  <c r="AK590" i="1"/>
  <c r="AK591" i="1"/>
  <c r="AK592" i="1"/>
  <c r="AK593" i="1"/>
  <c r="AK594" i="1"/>
  <c r="AK595" i="1"/>
  <c r="AK596" i="1"/>
  <c r="AK597" i="1"/>
  <c r="AK598" i="1"/>
  <c r="AK599" i="1"/>
  <c r="AK600" i="1"/>
  <c r="AK601" i="1"/>
  <c r="AK602" i="1"/>
  <c r="AK603" i="1"/>
  <c r="AK604" i="1"/>
  <c r="AK605" i="1"/>
  <c r="AK606" i="1"/>
  <c r="AK607" i="1"/>
  <c r="AK608" i="1"/>
  <c r="AK609" i="1"/>
  <c r="AK610" i="1"/>
  <c r="AK611" i="1"/>
  <c r="AK612" i="1"/>
  <c r="AK613" i="1"/>
  <c r="AK614" i="1"/>
  <c r="AK615" i="1"/>
  <c r="AK616" i="1"/>
  <c r="AK617" i="1"/>
  <c r="AK618" i="1"/>
  <c r="AK619" i="1"/>
  <c r="AK620" i="1"/>
  <c r="AK621" i="1"/>
  <c r="AK622" i="1"/>
  <c r="AK623" i="1"/>
  <c r="AK624" i="1"/>
  <c r="AK625" i="1"/>
  <c r="AK626" i="1"/>
  <c r="AK627" i="1"/>
  <c r="AK628" i="1"/>
  <c r="AK629" i="1"/>
  <c r="AK630" i="1"/>
  <c r="AK631" i="1"/>
  <c r="AK632" i="1"/>
  <c r="AK633" i="1"/>
  <c r="AK634" i="1"/>
  <c r="AK635" i="1"/>
  <c r="AK636" i="1"/>
  <c r="AK637" i="1"/>
  <c r="AK638" i="1"/>
  <c r="AK639" i="1"/>
  <c r="AK640" i="1"/>
  <c r="AK641" i="1"/>
  <c r="AK642" i="1"/>
  <c r="AK643" i="1"/>
  <c r="AK644" i="1"/>
  <c r="AK645" i="1"/>
  <c r="AK646" i="1"/>
  <c r="AK647" i="1"/>
  <c r="AK648" i="1"/>
  <c r="AK649" i="1"/>
  <c r="AK650" i="1"/>
  <c r="AK651" i="1"/>
  <c r="AK652" i="1"/>
  <c r="AK653" i="1"/>
  <c r="AK654" i="1"/>
  <c r="AK655" i="1"/>
  <c r="AK656" i="1"/>
  <c r="AK657" i="1"/>
  <c r="AK658" i="1"/>
  <c r="AK659" i="1"/>
  <c r="AK660" i="1"/>
  <c r="AK661" i="1"/>
  <c r="AK662" i="1"/>
  <c r="AK663" i="1"/>
  <c r="AK664" i="1"/>
  <c r="AK665" i="1"/>
  <c r="AK666" i="1"/>
  <c r="AK667" i="1"/>
  <c r="AK668" i="1"/>
  <c r="AK669" i="1"/>
  <c r="AK670" i="1"/>
  <c r="AK671" i="1"/>
  <c r="AK672" i="1"/>
  <c r="AK673" i="1"/>
  <c r="AK674" i="1"/>
  <c r="AK675" i="1"/>
  <c r="AK676" i="1"/>
  <c r="AK677" i="1"/>
  <c r="AK678" i="1"/>
  <c r="AK679" i="1"/>
  <c r="AK680" i="1"/>
  <c r="AK681" i="1"/>
  <c r="AK682" i="1"/>
  <c r="AK683" i="1"/>
  <c r="AK684" i="1"/>
  <c r="AK685" i="1"/>
  <c r="AK686" i="1"/>
  <c r="AK687" i="1"/>
  <c r="AK688" i="1"/>
  <c r="AK689" i="1"/>
  <c r="AK690" i="1"/>
  <c r="AK691" i="1"/>
  <c r="AK692" i="1"/>
  <c r="AK693" i="1"/>
  <c r="AK694" i="1"/>
  <c r="AK695" i="1"/>
  <c r="AK696" i="1"/>
  <c r="AK697" i="1"/>
  <c r="AK698" i="1"/>
  <c r="AK699" i="1"/>
  <c r="AK700" i="1"/>
  <c r="AK701" i="1"/>
  <c r="AK702" i="1"/>
  <c r="AK703" i="1"/>
  <c r="AK704" i="1"/>
  <c r="AK705" i="1"/>
  <c r="AK706" i="1"/>
  <c r="AK707" i="1"/>
  <c r="AK708" i="1"/>
  <c r="AK709" i="1"/>
  <c r="AK710" i="1"/>
  <c r="AK711" i="1"/>
  <c r="AK712" i="1"/>
  <c r="AK713" i="1"/>
  <c r="AK714" i="1"/>
  <c r="AK715" i="1"/>
  <c r="AK716" i="1"/>
  <c r="AK717" i="1"/>
  <c r="AK718" i="1"/>
  <c r="AK719" i="1"/>
  <c r="AK720" i="1"/>
  <c r="AK721" i="1"/>
  <c r="AK722" i="1"/>
  <c r="AK723" i="1"/>
  <c r="AK724" i="1"/>
  <c r="AK725" i="1"/>
  <c r="AK726" i="1"/>
  <c r="AK727" i="1"/>
  <c r="AK728" i="1"/>
  <c r="AK729" i="1"/>
  <c r="AK730" i="1"/>
  <c r="AK731" i="1"/>
  <c r="AK732" i="1"/>
  <c r="AK733" i="1"/>
  <c r="AK734" i="1"/>
  <c r="AK735" i="1"/>
  <c r="AK736" i="1"/>
  <c r="AK737" i="1"/>
  <c r="AK738" i="1"/>
  <c r="AK739" i="1"/>
  <c r="AK740" i="1"/>
  <c r="AK741" i="1"/>
  <c r="AK742" i="1"/>
  <c r="AK743" i="1"/>
  <c r="AK744" i="1"/>
  <c r="AK745" i="1"/>
  <c r="AK746" i="1"/>
  <c r="AK747" i="1"/>
  <c r="AK748" i="1"/>
  <c r="AK749" i="1"/>
  <c r="AK750" i="1"/>
  <c r="AK751" i="1"/>
  <c r="AK752" i="1"/>
  <c r="AK753" i="1"/>
  <c r="AK754" i="1"/>
  <c r="AK755" i="1"/>
  <c r="AK756" i="1"/>
  <c r="AK757" i="1"/>
  <c r="AK758" i="1"/>
  <c r="AK759" i="1"/>
  <c r="AK760" i="1"/>
  <c r="AK761" i="1"/>
  <c r="AK762" i="1"/>
  <c r="AK763" i="1"/>
  <c r="AK764" i="1"/>
  <c r="AK765" i="1"/>
  <c r="AK766" i="1"/>
  <c r="AK767" i="1"/>
  <c r="AK768" i="1"/>
  <c r="AK769" i="1"/>
  <c r="AK770" i="1"/>
  <c r="AK771" i="1"/>
  <c r="AK772" i="1"/>
  <c r="AK773" i="1"/>
  <c r="AK774" i="1"/>
  <c r="AK775" i="1"/>
  <c r="AK776" i="1"/>
  <c r="AK777" i="1"/>
  <c r="AK778" i="1"/>
  <c r="AK779" i="1"/>
  <c r="AK780" i="1"/>
  <c r="AK781" i="1"/>
  <c r="AK782" i="1"/>
  <c r="AK783" i="1"/>
  <c r="AK784" i="1"/>
  <c r="AK785" i="1"/>
  <c r="AK786" i="1"/>
  <c r="AK787" i="1"/>
  <c r="AK788" i="1"/>
  <c r="AK789" i="1"/>
  <c r="AK790" i="1"/>
  <c r="AK791" i="1"/>
  <c r="AK792" i="1"/>
  <c r="AK793" i="1"/>
  <c r="AK794" i="1"/>
  <c r="AK795" i="1"/>
  <c r="AK796" i="1"/>
  <c r="AK797" i="1"/>
  <c r="AK798" i="1"/>
  <c r="AK799" i="1"/>
  <c r="AK800" i="1"/>
  <c r="AK801" i="1"/>
  <c r="AK802" i="1"/>
  <c r="AK803" i="1"/>
  <c r="AK804" i="1"/>
  <c r="AK805" i="1"/>
  <c r="AK806" i="1"/>
  <c r="AK807" i="1"/>
  <c r="AK808" i="1"/>
  <c r="AK809" i="1"/>
  <c r="AK810" i="1"/>
  <c r="AK811" i="1"/>
  <c r="AK812" i="1"/>
  <c r="AK813" i="1"/>
  <c r="AK814" i="1"/>
  <c r="AK815" i="1"/>
  <c r="AK816" i="1"/>
  <c r="AK817" i="1"/>
  <c r="AK818" i="1"/>
  <c r="AK819" i="1"/>
  <c r="AK820" i="1"/>
  <c r="AK821" i="1"/>
  <c r="AK822" i="1"/>
  <c r="AK823" i="1"/>
  <c r="AK824" i="1"/>
  <c r="AK825" i="1"/>
  <c r="AK826" i="1"/>
  <c r="AK827" i="1"/>
  <c r="AK828" i="1"/>
  <c r="AK829" i="1"/>
  <c r="AK830" i="1"/>
  <c r="AK831" i="1"/>
  <c r="AK832" i="1"/>
  <c r="AK833" i="1"/>
  <c r="AK834" i="1"/>
  <c r="AK835" i="1"/>
  <c r="AK836" i="1"/>
  <c r="AK837" i="1"/>
  <c r="AK838" i="1"/>
  <c r="AK839" i="1"/>
  <c r="AK840" i="1"/>
  <c r="AK841" i="1"/>
  <c r="AK842" i="1"/>
  <c r="AK843" i="1"/>
  <c r="AK844" i="1"/>
  <c r="AK845" i="1"/>
  <c r="AK846" i="1"/>
  <c r="AK847" i="1"/>
  <c r="AK848" i="1"/>
  <c r="AK849" i="1"/>
  <c r="AK850" i="1"/>
  <c r="AK851" i="1"/>
  <c r="AK852" i="1"/>
  <c r="AK853" i="1"/>
  <c r="AK854" i="1"/>
  <c r="AK855" i="1"/>
  <c r="AK856" i="1"/>
  <c r="AK857" i="1"/>
  <c r="AK858" i="1"/>
  <c r="AK859" i="1"/>
  <c r="AK860" i="1"/>
  <c r="AK861" i="1"/>
  <c r="AK862" i="1"/>
  <c r="AK863" i="1"/>
  <c r="AK864" i="1"/>
  <c r="AK865" i="1"/>
  <c r="AK866" i="1"/>
  <c r="AK867" i="1"/>
  <c r="AK868" i="1"/>
  <c r="AK869" i="1"/>
  <c r="AK870" i="1"/>
  <c r="AK871" i="1"/>
  <c r="AK872" i="1"/>
  <c r="AK873" i="1"/>
  <c r="AK874" i="1"/>
  <c r="AK875" i="1"/>
  <c r="AK876" i="1"/>
  <c r="AK877" i="1"/>
  <c r="AK878" i="1"/>
  <c r="AK879" i="1"/>
  <c r="AK880" i="1"/>
  <c r="AK881" i="1"/>
  <c r="AK882" i="1"/>
  <c r="AK883" i="1"/>
  <c r="AK884" i="1"/>
  <c r="AK885" i="1"/>
  <c r="AK886" i="1"/>
  <c r="AK887" i="1"/>
  <c r="AK888" i="1"/>
  <c r="AK889" i="1"/>
  <c r="AK890" i="1"/>
  <c r="AK891" i="1"/>
  <c r="AK892" i="1"/>
  <c r="AK893" i="1"/>
  <c r="AK894" i="1"/>
  <c r="AK895" i="1"/>
  <c r="AK896" i="1"/>
  <c r="AK897" i="1"/>
  <c r="AK898" i="1"/>
  <c r="AK899" i="1"/>
  <c r="AK900" i="1"/>
  <c r="AK901" i="1"/>
  <c r="AK902" i="1"/>
  <c r="AK903" i="1"/>
  <c r="AK904" i="1"/>
  <c r="AK905" i="1"/>
  <c r="AK906" i="1"/>
  <c r="AK907" i="1"/>
  <c r="AK908" i="1"/>
  <c r="AK909" i="1"/>
  <c r="AK910" i="1"/>
  <c r="AK911" i="1"/>
  <c r="AK912" i="1"/>
  <c r="AK913" i="1"/>
  <c r="AK914" i="1"/>
  <c r="AK915" i="1"/>
  <c r="AK916" i="1"/>
  <c r="AK917" i="1"/>
  <c r="AK918" i="1"/>
  <c r="AK919" i="1"/>
  <c r="AK920" i="1"/>
  <c r="AK921" i="1"/>
  <c r="AK922" i="1"/>
  <c r="AK923" i="1"/>
  <c r="AK924" i="1"/>
  <c r="AK925" i="1"/>
  <c r="AK926" i="1"/>
  <c r="AK927" i="1"/>
  <c r="AK928" i="1"/>
  <c r="AK929" i="1"/>
  <c r="AK930" i="1"/>
  <c r="AK931" i="1"/>
  <c r="AK932" i="1"/>
  <c r="AK933" i="1"/>
  <c r="AK934" i="1"/>
  <c r="AK935" i="1"/>
  <c r="AK936" i="1"/>
  <c r="AK937" i="1"/>
  <c r="AK938" i="1"/>
  <c r="AK939" i="1"/>
  <c r="AK940" i="1"/>
  <c r="AK941" i="1"/>
  <c r="AK942" i="1"/>
  <c r="AK943" i="1"/>
  <c r="AK944" i="1"/>
  <c r="AK945" i="1"/>
  <c r="AK946" i="1"/>
  <c r="AK947" i="1"/>
  <c r="AK948" i="1"/>
  <c r="AK949" i="1"/>
  <c r="AK950" i="1"/>
  <c r="AK951" i="1"/>
  <c r="AK952" i="1"/>
  <c r="AK953" i="1"/>
  <c r="AK954" i="1"/>
  <c r="AK955" i="1"/>
  <c r="AK956" i="1"/>
  <c r="AK957" i="1"/>
  <c r="AK958" i="1"/>
  <c r="AK959" i="1"/>
  <c r="AK960" i="1"/>
  <c r="AK961" i="1"/>
  <c r="AK962" i="1"/>
  <c r="AK963" i="1"/>
  <c r="AK964" i="1"/>
  <c r="AK965" i="1"/>
  <c r="AK966" i="1"/>
  <c r="AK967" i="1"/>
  <c r="AK968" i="1"/>
  <c r="AK969" i="1"/>
  <c r="AK970" i="1"/>
  <c r="AK971" i="1"/>
  <c r="AK972" i="1"/>
  <c r="AK973" i="1"/>
  <c r="AK974" i="1"/>
  <c r="AK975" i="1"/>
  <c r="AK976" i="1"/>
  <c r="AK977" i="1"/>
  <c r="AK978" i="1"/>
  <c r="AK979" i="1"/>
  <c r="AK980" i="1"/>
  <c r="AK981" i="1"/>
  <c r="AK982" i="1"/>
  <c r="AK983" i="1"/>
  <c r="AK984" i="1"/>
  <c r="AK985" i="1"/>
  <c r="AK986" i="1"/>
  <c r="AK987" i="1"/>
  <c r="AK988" i="1"/>
  <c r="AK989" i="1"/>
  <c r="AK990" i="1"/>
  <c r="AK991" i="1"/>
  <c r="AK992" i="1"/>
  <c r="AK993" i="1"/>
  <c r="AK994" i="1"/>
  <c r="AK995" i="1"/>
  <c r="AK996" i="1"/>
  <c r="AK997" i="1"/>
  <c r="AK998" i="1"/>
  <c r="AK999" i="1"/>
  <c r="AK1000" i="1"/>
  <c r="AK1001" i="1"/>
  <c r="AK1002" i="1"/>
  <c r="AK1003" i="1"/>
  <c r="AK1004" i="1"/>
  <c r="AK1005" i="1"/>
  <c r="AK1006" i="1"/>
  <c r="AK1007" i="1"/>
  <c r="AK1008" i="1"/>
  <c r="AK1009" i="1"/>
  <c r="AK1010" i="1"/>
  <c r="AK1011" i="1"/>
  <c r="AK1012" i="1"/>
  <c r="AK1013" i="1"/>
  <c r="AK1014" i="1"/>
  <c r="AK1015" i="1"/>
  <c r="AK1016" i="1"/>
  <c r="AK1017" i="1"/>
  <c r="AK1018" i="1"/>
  <c r="AK1019" i="1"/>
  <c r="AK1020" i="1"/>
  <c r="AK1021" i="1"/>
  <c r="AK1022" i="1"/>
  <c r="AK1023" i="1"/>
  <c r="AK1024" i="1"/>
  <c r="AK1025" i="1"/>
  <c r="AK1026" i="1"/>
  <c r="AK1027" i="1"/>
  <c r="AK1028" i="1"/>
  <c r="AK1029" i="1"/>
  <c r="AK1030" i="1"/>
  <c r="AK1031" i="1"/>
  <c r="AK1032" i="1"/>
  <c r="AK1033" i="1"/>
  <c r="AK1034" i="1"/>
  <c r="AK1035" i="1"/>
  <c r="AK1036" i="1"/>
  <c r="AK1037" i="1"/>
  <c r="AK1038" i="1"/>
  <c r="AK1039" i="1"/>
  <c r="AK1040" i="1"/>
  <c r="AK1041" i="1"/>
  <c r="AK1042" i="1"/>
  <c r="AK1043" i="1"/>
  <c r="AK1044" i="1"/>
  <c r="AK1045" i="1"/>
  <c r="AK1046" i="1"/>
  <c r="AK1047" i="1"/>
  <c r="AK1048" i="1"/>
  <c r="AK1049" i="1"/>
  <c r="AK1050" i="1"/>
  <c r="AK1051" i="1"/>
  <c r="AK1052" i="1"/>
  <c r="AK1053" i="1"/>
  <c r="AK1054" i="1"/>
  <c r="AK1055" i="1"/>
  <c r="AK1056" i="1"/>
  <c r="AK1057" i="1"/>
  <c r="AK1058" i="1"/>
  <c r="AK1059" i="1"/>
  <c r="AK1060" i="1"/>
  <c r="AK1061" i="1"/>
  <c r="AK1062" i="1"/>
  <c r="AK1063" i="1"/>
  <c r="AK1064" i="1"/>
  <c r="AK1065" i="1"/>
  <c r="AK1066" i="1"/>
  <c r="AK1067" i="1"/>
  <c r="AK1068" i="1"/>
  <c r="AK1069" i="1"/>
  <c r="AK1070" i="1"/>
  <c r="AK1071" i="1"/>
  <c r="AK1072" i="1"/>
  <c r="AK1073" i="1"/>
  <c r="AK1074" i="1"/>
  <c r="AK1075" i="1"/>
  <c r="AK1076" i="1"/>
  <c r="AK1077" i="1"/>
  <c r="AK1078" i="1"/>
  <c r="AK1079" i="1"/>
  <c r="AK1080" i="1"/>
  <c r="AK1081" i="1"/>
  <c r="AK1082" i="1"/>
  <c r="AK1083" i="1"/>
  <c r="AK1084" i="1"/>
  <c r="AK1085" i="1"/>
  <c r="AK1086" i="1"/>
  <c r="AK1087" i="1"/>
  <c r="AK1088" i="1"/>
  <c r="AK1089" i="1"/>
  <c r="AK1090" i="1"/>
  <c r="AK1091" i="1"/>
  <c r="AK1092" i="1"/>
  <c r="AK1093" i="1"/>
  <c r="AK1094" i="1"/>
  <c r="AK1095" i="1"/>
  <c r="AK1096" i="1"/>
  <c r="AK1097" i="1"/>
  <c r="AK1098" i="1"/>
  <c r="AK1099" i="1"/>
  <c r="AK1100" i="1"/>
  <c r="AK1101" i="1"/>
  <c r="AK1102" i="1"/>
  <c r="AK1103" i="1"/>
  <c r="AK1104" i="1"/>
  <c r="AK1105" i="1"/>
  <c r="AK1106" i="1"/>
  <c r="AK1107" i="1"/>
  <c r="AK1108" i="1"/>
  <c r="AK1109" i="1"/>
  <c r="AK1110" i="1"/>
  <c r="AK1111" i="1"/>
  <c r="AK1112" i="1"/>
  <c r="AK1113" i="1"/>
  <c r="AK1114" i="1"/>
  <c r="AK1115" i="1"/>
  <c r="AK1116" i="1"/>
  <c r="AK1117" i="1"/>
  <c r="AK1118" i="1"/>
  <c r="AK1119" i="1"/>
  <c r="AK1120" i="1"/>
  <c r="AK1121" i="1"/>
  <c r="AK1122" i="1"/>
  <c r="AK1123" i="1"/>
  <c r="AK1124" i="1"/>
  <c r="AK1125" i="1"/>
  <c r="AK1126" i="1"/>
  <c r="AK1127" i="1"/>
  <c r="AK1128" i="1"/>
  <c r="AK1129" i="1"/>
  <c r="AK1130" i="1"/>
  <c r="AK1131" i="1"/>
  <c r="AK1132" i="1"/>
  <c r="AK1133" i="1"/>
  <c r="AK1134" i="1"/>
  <c r="AK1135" i="1"/>
  <c r="AK1136" i="1"/>
  <c r="AK1137" i="1"/>
  <c r="AK1138" i="1"/>
  <c r="AK1139" i="1"/>
  <c r="AK1140" i="1"/>
  <c r="AK1141" i="1"/>
  <c r="AK1142" i="1"/>
  <c r="AK1143" i="1"/>
  <c r="AK1144" i="1"/>
  <c r="AK1145" i="1"/>
  <c r="AK1146" i="1"/>
  <c r="AK1147" i="1"/>
  <c r="AK1148" i="1"/>
  <c r="AK1149" i="1"/>
  <c r="AK1150" i="1"/>
  <c r="AK1151" i="1"/>
  <c r="AK1152" i="1"/>
  <c r="AK1153" i="1"/>
  <c r="AK1154" i="1"/>
  <c r="AK1155" i="1"/>
  <c r="AK1156" i="1"/>
  <c r="AK1157" i="1"/>
  <c r="AK1158" i="1"/>
  <c r="AK1159" i="1"/>
  <c r="AK1160" i="1"/>
  <c r="AK1161" i="1"/>
  <c r="AK1162" i="1"/>
  <c r="AK1163" i="1"/>
  <c r="AK1164" i="1"/>
  <c r="AK1165" i="1"/>
  <c r="AK1166" i="1"/>
  <c r="AK1167" i="1"/>
  <c r="AK1168" i="1"/>
  <c r="AK1169" i="1"/>
  <c r="AK1170" i="1"/>
  <c r="AK1171" i="1"/>
  <c r="AK1172" i="1"/>
  <c r="AK1173" i="1"/>
  <c r="AK1174" i="1"/>
  <c r="AK1175" i="1"/>
  <c r="AK1176" i="1"/>
  <c r="AK1177" i="1"/>
  <c r="AK1178" i="1"/>
  <c r="AK1179" i="1"/>
  <c r="AK1180" i="1"/>
  <c r="AK1181" i="1"/>
  <c r="AK1182" i="1"/>
  <c r="AK1183" i="1"/>
  <c r="AK1184" i="1"/>
  <c r="AK1185" i="1"/>
  <c r="AK1186" i="1"/>
  <c r="AK1187" i="1"/>
  <c r="AK1188" i="1"/>
  <c r="AK1189" i="1"/>
  <c r="AK1190" i="1"/>
  <c r="AK1191" i="1"/>
  <c r="AK1192" i="1"/>
  <c r="AK1193" i="1"/>
  <c r="AK1194" i="1"/>
  <c r="AK1195" i="1"/>
  <c r="AK1196" i="1"/>
  <c r="AK1197" i="1"/>
  <c r="AK1198" i="1"/>
  <c r="AK1199" i="1"/>
  <c r="AK1200" i="1"/>
  <c r="AK1201" i="1"/>
  <c r="AK1202" i="1"/>
  <c r="AK1203" i="1"/>
  <c r="AK1204" i="1"/>
  <c r="AK1205" i="1"/>
  <c r="AK1206" i="1"/>
  <c r="AK1207" i="1"/>
  <c r="AK1208" i="1"/>
  <c r="AK1209" i="1"/>
  <c r="AK1210" i="1"/>
  <c r="AK1211" i="1"/>
  <c r="AK1212" i="1"/>
  <c r="AK1213" i="1"/>
  <c r="AK1214" i="1"/>
  <c r="AK1215" i="1"/>
  <c r="AK1216" i="1"/>
  <c r="AK1217" i="1"/>
  <c r="AK1218" i="1"/>
  <c r="AK1219" i="1"/>
  <c r="AK1220" i="1"/>
  <c r="AK1221" i="1"/>
  <c r="AK1222" i="1"/>
  <c r="AK1223" i="1"/>
  <c r="AK1224" i="1"/>
  <c r="AK1225" i="1"/>
  <c r="AK1226" i="1"/>
  <c r="AK1227" i="1"/>
  <c r="AK1228" i="1"/>
  <c r="AK1229" i="1"/>
  <c r="AK1230" i="1"/>
  <c r="AK1231" i="1"/>
  <c r="AK1232" i="1"/>
  <c r="AK1233" i="1"/>
  <c r="AK1234" i="1"/>
  <c r="AK1235" i="1"/>
  <c r="AK1236" i="1"/>
  <c r="AK1237" i="1"/>
  <c r="AK1238" i="1"/>
  <c r="AK1239" i="1"/>
  <c r="AK1240" i="1"/>
  <c r="AK1241" i="1"/>
  <c r="AK1242" i="1"/>
  <c r="AK1243" i="1"/>
  <c r="AK1244" i="1"/>
  <c r="AK1245" i="1"/>
  <c r="AK1246" i="1"/>
  <c r="AK1247" i="1"/>
  <c r="AK1248" i="1"/>
  <c r="AK1249" i="1"/>
  <c r="AK1250" i="1"/>
  <c r="AK1251" i="1"/>
  <c r="AK1252" i="1"/>
  <c r="AK1253" i="1"/>
  <c r="AK1254" i="1"/>
  <c r="AK1255" i="1"/>
  <c r="AK1256" i="1"/>
  <c r="AK1257" i="1"/>
  <c r="AK1258" i="1"/>
  <c r="AK1259" i="1"/>
  <c r="AK1260" i="1"/>
  <c r="AK1261" i="1"/>
  <c r="AK1262" i="1"/>
  <c r="AK1263" i="1"/>
  <c r="AK1264" i="1"/>
  <c r="AK1265" i="1"/>
  <c r="AK1266" i="1"/>
  <c r="AK1267" i="1"/>
  <c r="AK1268" i="1"/>
  <c r="AK1269" i="1"/>
  <c r="AK1270" i="1"/>
  <c r="AK1271" i="1"/>
  <c r="AK1272" i="1"/>
  <c r="AK1273" i="1"/>
  <c r="AK1274" i="1"/>
  <c r="AK1275" i="1"/>
  <c r="AK1276" i="1"/>
  <c r="AK1277" i="1"/>
  <c r="AK1278" i="1"/>
  <c r="AK1279" i="1"/>
  <c r="AK1280" i="1"/>
  <c r="AK1281" i="1"/>
  <c r="AK1282" i="1"/>
  <c r="AK1283" i="1"/>
  <c r="AK1284" i="1"/>
  <c r="AK1285" i="1"/>
  <c r="AK1286" i="1"/>
  <c r="AK1287" i="1"/>
  <c r="AK1288" i="1"/>
  <c r="AK1289" i="1"/>
  <c r="AK1290" i="1"/>
  <c r="AK1291" i="1"/>
  <c r="AK1292" i="1"/>
  <c r="AK1293" i="1"/>
  <c r="AK1294" i="1"/>
  <c r="AK1295" i="1"/>
  <c r="AK1296" i="1"/>
  <c r="AK1297" i="1"/>
  <c r="AK1298" i="1"/>
  <c r="AK1299" i="1"/>
  <c r="AK1300" i="1"/>
  <c r="AK1301" i="1"/>
  <c r="AK1302" i="1"/>
  <c r="AK1303" i="1"/>
  <c r="AK1304" i="1"/>
  <c r="AK1305" i="1"/>
  <c r="AK1306" i="1"/>
  <c r="AK1307" i="1"/>
  <c r="AK1308" i="1"/>
  <c r="AK1309" i="1"/>
  <c r="AK1310" i="1"/>
  <c r="AK1311" i="1"/>
  <c r="AK1312" i="1"/>
  <c r="AK1313" i="1"/>
  <c r="AK1314" i="1"/>
  <c r="AK1315" i="1"/>
  <c r="AK1316" i="1"/>
  <c r="AK1317" i="1"/>
  <c r="AK1318" i="1"/>
  <c r="AK1319" i="1"/>
  <c r="AK1320" i="1"/>
  <c r="AK1321" i="1"/>
  <c r="AK1322" i="1"/>
  <c r="AK1323" i="1"/>
  <c r="AK1324" i="1"/>
  <c r="AK1325" i="1"/>
  <c r="AK1326" i="1"/>
  <c r="AK1327" i="1"/>
  <c r="AK1328" i="1"/>
  <c r="AK1329" i="1"/>
  <c r="AK1330" i="1"/>
  <c r="AK1331" i="1"/>
  <c r="AK1332" i="1"/>
  <c r="AK1333" i="1"/>
  <c r="AK1334" i="1"/>
  <c r="AK1335" i="1"/>
  <c r="AK1336" i="1"/>
  <c r="AK1337" i="1"/>
  <c r="AK1338" i="1"/>
  <c r="AK1339" i="1"/>
  <c r="AK1340" i="1"/>
  <c r="AK1341" i="1"/>
  <c r="AK1342" i="1"/>
  <c r="AK1343" i="1"/>
  <c r="AK1344" i="1"/>
  <c r="AK1345" i="1"/>
  <c r="AK1346" i="1"/>
  <c r="AK1347" i="1"/>
  <c r="AK1348" i="1"/>
  <c r="AK1349" i="1"/>
  <c r="AK1350" i="1"/>
  <c r="AK1351" i="1"/>
  <c r="AK1352" i="1"/>
  <c r="AK1353" i="1"/>
  <c r="AK1354" i="1"/>
  <c r="AK1355" i="1"/>
  <c r="AK1356" i="1"/>
  <c r="AK1357" i="1"/>
  <c r="AK1358" i="1"/>
  <c r="AK1359" i="1"/>
  <c r="AK1360" i="1"/>
  <c r="AK1361" i="1"/>
  <c r="AK1362" i="1"/>
  <c r="AK1363" i="1"/>
  <c r="AK1364" i="1"/>
  <c r="AK1365" i="1"/>
  <c r="AK1366" i="1"/>
  <c r="AK1367" i="1"/>
  <c r="AK1368" i="1"/>
  <c r="AK1369" i="1"/>
  <c r="AK1370" i="1"/>
  <c r="AK1371" i="1"/>
  <c r="AK1372" i="1"/>
  <c r="AK1373" i="1"/>
  <c r="AK1374" i="1"/>
  <c r="AK1375" i="1"/>
  <c r="AK1376" i="1"/>
  <c r="AK1377" i="1"/>
  <c r="AK1378" i="1"/>
  <c r="AK1379" i="1"/>
  <c r="AK1380" i="1"/>
  <c r="AK1381" i="1"/>
  <c r="AK1382" i="1"/>
  <c r="AK1383" i="1"/>
  <c r="AK1384" i="1"/>
  <c r="AK1385" i="1"/>
  <c r="AK1386" i="1"/>
  <c r="AK1387" i="1"/>
  <c r="AK1388" i="1"/>
  <c r="AK1389" i="1"/>
  <c r="AK1390" i="1"/>
  <c r="AK1391" i="1"/>
  <c r="AK1392" i="1"/>
  <c r="AK1393" i="1"/>
  <c r="AK1394" i="1"/>
  <c r="AK1395" i="1"/>
  <c r="AK1396" i="1"/>
  <c r="AK1397" i="1"/>
  <c r="AK1398" i="1"/>
  <c r="AK1399" i="1"/>
  <c r="AK1400" i="1"/>
  <c r="AK1401" i="1"/>
  <c r="AK1402" i="1"/>
  <c r="AK1403" i="1"/>
  <c r="AK1404" i="1"/>
  <c r="AK1405" i="1"/>
  <c r="AK1406" i="1"/>
  <c r="AK1407" i="1"/>
  <c r="AK1408" i="1"/>
  <c r="AK1409" i="1"/>
  <c r="AK1410" i="1"/>
  <c r="AK1411" i="1"/>
  <c r="AK1412" i="1"/>
  <c r="AK1413" i="1"/>
  <c r="AK1414" i="1"/>
  <c r="AK1415" i="1"/>
  <c r="AK1416" i="1"/>
  <c r="AK1417" i="1"/>
  <c r="AK1418" i="1"/>
  <c r="AK1419" i="1"/>
  <c r="AK1420" i="1"/>
  <c r="AK1421" i="1"/>
  <c r="AK1422" i="1"/>
  <c r="AK1423" i="1"/>
  <c r="AK1424" i="1"/>
  <c r="AK1425" i="1"/>
  <c r="AK1426" i="1"/>
  <c r="AK1427" i="1"/>
  <c r="AK1428" i="1"/>
  <c r="AK1429" i="1"/>
  <c r="AK1430" i="1"/>
  <c r="AK1431" i="1"/>
  <c r="AK1432" i="1"/>
  <c r="AK1433" i="1"/>
  <c r="AK1434" i="1"/>
  <c r="AK1435" i="1"/>
  <c r="AK1436" i="1"/>
  <c r="AK1437" i="1"/>
  <c r="AK1438" i="1"/>
  <c r="AK1439" i="1"/>
  <c r="AK1440" i="1"/>
  <c r="AK1441" i="1"/>
  <c r="AK1442" i="1"/>
  <c r="AK1443" i="1"/>
  <c r="AK1444" i="1"/>
  <c r="AK1445" i="1"/>
  <c r="AK1446" i="1"/>
  <c r="AK1447" i="1"/>
  <c r="AK1448" i="1"/>
  <c r="AK1449" i="1"/>
  <c r="AK1450" i="1"/>
  <c r="AK1451" i="1"/>
  <c r="AK1452" i="1"/>
  <c r="AK1453" i="1"/>
  <c r="AK1454" i="1"/>
  <c r="AK1455" i="1"/>
  <c r="AK1456" i="1"/>
  <c r="AK1457" i="1"/>
  <c r="AK1458" i="1"/>
  <c r="AK1459" i="1"/>
  <c r="AK1460" i="1"/>
  <c r="AK1461" i="1"/>
  <c r="AK1462" i="1"/>
  <c r="AK1463" i="1"/>
  <c r="AK1464" i="1"/>
  <c r="AK1465" i="1"/>
  <c r="AK1466" i="1"/>
  <c r="AK1467" i="1"/>
  <c r="AK1468" i="1"/>
  <c r="AK1469" i="1"/>
  <c r="AK1470" i="1"/>
  <c r="AK1471" i="1"/>
  <c r="AJ2" i="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1468" i="1"/>
  <c r="AJ1469" i="1"/>
  <c r="AJ1470" i="1"/>
  <c r="AJ1471" i="1"/>
  <c r="B7" i="2"/>
  <c r="B6" i="2"/>
  <c r="B4" i="2"/>
  <c r="B3" i="2"/>
  <c r="B5" i="2" l="1"/>
</calcChain>
</file>

<file path=xl/sharedStrings.xml><?xml version="1.0" encoding="utf-8"?>
<sst xmlns="http://schemas.openxmlformats.org/spreadsheetml/2006/main" count="13355" uniqueCount="93">
  <si>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</si>
  <si>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</si>
  <si>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</si>
  <si>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</si>
  <si>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</si>
  <si>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</si>
  <si>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</si>
  <si>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</si>
  <si>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</si>
  <si>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</si>
  <si>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</si>
  <si>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</si>
  <si>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</si>
  <si>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</si>
  <si>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</si>
  <si>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</si>
  <si>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</si>
  <si>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</si>
  <si>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</si>
  <si>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</si>
  <si>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</si>
  <si>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</si>
  <si>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</si>
  <si>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</si>
  <si>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</si>
  <si>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</si>
  <si>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</si>
  <si>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</si>
  <si>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</si>
  <si>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</si>
  <si>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</si>
  <si>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</si>
  <si>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</si>
  <si>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</si>
  <si>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</si>
  <si>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</si>
  <si>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</si>
  <si>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</si>
  <si>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</si>
  <si>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</si>
  <si>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</si>
  <si>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</si>
  <si>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</si>
  <si>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</si>
  <si>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</si>
  <si>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</si>
  <si>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</si>
  <si>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</si>
  <si>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</si>
  <si>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</si>
  <si>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</si>
  <si>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</si>
  <si>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</si>
  <si>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</si>
  <si>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</si>
  <si>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</si>
  <si>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</si>
  <si>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</si>
  <si>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</si>
  <si>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</si>
  <si>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</si>
  <si>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</si>
  <si>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HR ATTRITION ANALYSIS</t>
  </si>
  <si>
    <t>Total Empolyees</t>
  </si>
  <si>
    <t>Employees Left</t>
  </si>
  <si>
    <t>Attrition Rate</t>
  </si>
  <si>
    <t>Average Salary</t>
  </si>
  <si>
    <t>AverageYears at Company</t>
  </si>
  <si>
    <t>Row Labels</t>
  </si>
  <si>
    <t>Grand Total</t>
  </si>
  <si>
    <t>Column Labels</t>
  </si>
  <si>
    <t>Attrition by department</t>
  </si>
  <si>
    <t>Attrition by job role</t>
  </si>
  <si>
    <t>Attrition by Age Group</t>
  </si>
  <si>
    <t>Age Group</t>
  </si>
  <si>
    <t>Salary Range</t>
  </si>
  <si>
    <t>Attrition by Salary Range</t>
  </si>
  <si>
    <t>Attrition by Years at Company</t>
  </si>
  <si>
    <t>Count of EmployeeNumber</t>
  </si>
  <si>
    <t>Attrition by gender</t>
  </si>
  <si>
    <t>Job Satiffaction vs attrition</t>
  </si>
  <si>
    <t>25-34</t>
  </si>
  <si>
    <t>9K-12K</t>
  </si>
  <si>
    <t>35-44</t>
  </si>
  <si>
    <t>45-54</t>
  </si>
  <si>
    <t>55+</t>
  </si>
  <si>
    <t>Under 25</t>
  </si>
  <si>
    <t>12K+</t>
  </si>
  <si>
    <t>3K-6K</t>
  </si>
  <si>
    <t>6K-9K</t>
  </si>
  <si>
    <t>Below 3K</t>
  </si>
  <si>
    <t>Employee Attrition Dashboard</t>
  </si>
  <si>
    <t>Last Updated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</si>
</sst>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43" formatCode="_ * #,##0.00_ ;_ * \-#,##0.00_ ;_ * &quot;-&quot;??_ ;_ @_ "/>
    <numFmt numFmtId="164" formatCode="_ * #,##0_ ;_ * \-#,##0_ ;_ * &quot;-&quot;??_ ;_ @_ "/>
    <numFmt numFmtId="165" formatCode="&quot;₹&quot;\ #,##0;[Red]&quot;₹&quot;\ #,##0"/>
    <numFmt numFmtId="166" formatCode="0.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0"/>
      <color theme="3" tint="9.9978637043366805E-2"/>
      <name val="Aptos Narrow"/>
      <family val="2"/>
      <scheme val="minor"/>
    </font>
    <font>
      <sz val="11"/>
      <color theme="3" tint="9.9978637043366805E-2"/>
      <name val="Aptos Narrow"/>
      <family val="2"/>
      <scheme val="minor"/>
    </font>
    <font>
      <b/>
      <sz val="26"/>
      <color theme="5"/>
      <name val="Aptos Narrow"/>
      <family val="2"/>
      <scheme val="minor"/>
    </font>
    <font>
      <b/>
      <sz val="16"/>
      <color theme="5"/>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9.9978637043366805E-2"/>
        <bgColor indexed="64"/>
      </patternFill>
    </fill>
    <fill>
      <patternFill patternType="solid">
        <fgColor theme="3" tint="0.89999084444715716"/>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thin">
        <color indexed="64"/>
      </bottom>
      <diagonal/>
    </border>
  </borders>
  <cellStyleXfs count="45">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28">
    <xf numFmtId="0" fontId="0" fillId="0" borderId="0" xfId="0"/>
    <xf numFmtId="10" fontId="0" fillId="0" borderId="0" xfId="2" applyNumberFormat="1" applyFont="1"/>
    <xf numFmtId="0" fontId="0" fillId="0" borderId="0" xfId="0" pivotButton="1"/>
    <xf numFmtId="0" fontId="0" fillId="0" borderId="0" xfId="0" applyAlignment="1">
      <alignment horizontal="left"/>
    </xf>
    <xf numFmtId="0" fontId="0" fillId="0" borderId="0" xfId="0" applyAlignment="1">
      <alignment horizontal="right"/>
    </xf>
    <xf numFmtId="164" fontId="0" fillId="0" borderId="0" xfId="44" applyNumberFormat="1" applyFont="1"/>
    <xf numFmtId="165" fontId="0" fillId="0" borderId="0" xfId="1" applyNumberFormat="1" applyFont="1"/>
    <xf numFmtId="166" fontId="0" fillId="0" borderId="0" xfId="0" applyNumberFormat="1"/>
    <xf numFmtId="0" fontId="0" fillId="34" borderId="0" xfId="0" applyFill="1"/>
    <xf numFmtId="0" fontId="0" fillId="0" borderId="11" xfId="0" applyBorder="1"/>
    <xf numFmtId="0" fontId="19" fillId="33" borderId="13" xfId="0" applyFont="1" applyFill="1" applyBorder="1"/>
    <xf numFmtId="0" fontId="19" fillId="33" borderId="0" xfId="0" applyFont="1" applyFill="1"/>
    <xf numFmtId="0" fontId="19" fillId="33" borderId="10" xfId="0" applyFont="1" applyFill="1" applyBorder="1"/>
    <xf numFmtId="0" fontId="18" fillId="33" borderId="13" xfId="0" applyFont="1" applyFill="1" applyBorder="1" applyAlignment="1">
      <alignment horizontal="center" vertical="center"/>
    </xf>
    <xf numFmtId="0" fontId="18" fillId="33" borderId="14" xfId="0" applyFont="1" applyFill="1" applyBorder="1" applyAlignment="1">
      <alignment horizontal="center" vertical="center"/>
    </xf>
    <xf numFmtId="0" fontId="18" fillId="33" borderId="0" xfId="0" applyFont="1" applyFill="1" applyAlignment="1">
      <alignment horizontal="center" vertical="center"/>
    </xf>
    <xf numFmtId="0" fontId="18" fillId="33" borderId="15" xfId="0" applyFont="1" applyFill="1" applyBorder="1" applyAlignment="1">
      <alignment horizontal="center" vertical="center"/>
    </xf>
    <xf numFmtId="0" fontId="18" fillId="33" borderId="10" xfId="0" applyFont="1" applyFill="1" applyBorder="1" applyAlignment="1">
      <alignment horizontal="center" vertical="center"/>
    </xf>
    <xf numFmtId="0" fontId="0" fillId="0" borderId="0" xfId="0" applyNumberFormat="1"/>
    <xf numFmtId="0" fontId="0" fillId="33" borderId="0" xfId="0" applyFill="1"/>
    <xf numFmtId="0" fontId="20" fillId="33" borderId="12" xfId="0" applyFont="1" applyFill="1" applyBorder="1" applyAlignment="1">
      <alignment horizontal="center" vertical="center"/>
    </xf>
    <xf numFmtId="0" fontId="0" fillId="0" borderId="0" xfId="0" applyAlignment="1">
      <alignment horizontal="center"/>
    </xf>
    <xf numFmtId="0" fontId="21" fillId="33" borderId="13" xfId="0" applyFont="1" applyFill="1" applyBorder="1" applyAlignment="1">
      <alignment horizontal="left" vertical="center"/>
    </xf>
    <xf numFmtId="0" fontId="21" fillId="33" borderId="0" xfId="0" applyFont="1" applyFill="1" applyBorder="1" applyAlignment="1">
      <alignment horizontal="left" vertical="center"/>
    </xf>
    <xf numFmtId="0" fontId="21" fillId="33" borderId="10" xfId="0" applyFont="1" applyFill="1" applyBorder="1" applyAlignment="1">
      <alignment horizontal="left" vertical="center"/>
    </xf>
    <xf numFmtId="0" fontId="21" fillId="33" borderId="0" xfId="0" applyFont="1" applyFill="1" applyBorder="1" applyAlignment="1">
      <alignment horizontal="right" vertical="center"/>
    </xf>
    <xf numFmtId="0" fontId="0" fillId="33" borderId="0" xfId="0" applyFill="1" applyBorder="1" applyAlignment="1">
      <alignment horizontal="right" vertical="center"/>
    </xf>
    <xf numFmtId="0" fontId="0" fillId="33" borderId="16" xfId="0" applyFill="1" applyBorder="1" applyAlignment="1">
      <alignment horizontal="right" vertical="center"/>
    </xf>
  </cellXfs>
  <cellStyles count="45">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44" builtinId="3"/>
    <cellStyle name="Currency" xfId="1"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4">
    <dxf>
      <font>
        <b/>
        <i val="0"/>
        <sz val="14"/>
        <color theme="0"/>
      </font>
    </dxf>
    <dxf>
      <fill>
        <patternFill>
          <bgColor theme="3" tint="9.9948118533890809E-2"/>
        </patternFill>
      </fill>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s>
  <tableStyles count="1" defaultTableStyle="TableStyleMedium2" defaultPivotStyle="PivotStyleLight16">
    <tableStyle name="Slicer Style 1" pivot="0" table="0" count="10" xr9:uid="{8CF58890-FC2E-4A5D-8FE3-82772A14B95C}">
      <tableStyleElement type="wholeTable" dxfId="1"/>
      <tableStyleElement type="headerRow" dxfId="0"/>
    </tableStyle>
  </tableStyles>
  <colors>
    <mruColors>
      <color rgb="FF34495E"/>
      <color rgb="FFC06000"/>
      <color rgb="FFFF4F4F"/>
      <color rgb="FF0F2740"/>
    </mruColors>
  </colors>
  <extLst>
    <ext xmlns:x14="http://schemas.microsoft.com/office/spreadsheetml/2009/9/main" uri="{46F421CA-312F-682f-3DD2-61675219B42D}">
      <x14:dxfs count="8">
        <dxf>
          <font>
            <color theme="0"/>
          </font>
          <fill>
            <patternFill>
              <bgColor theme="5"/>
            </patternFill>
          </fill>
        </dxf>
        <dxf>
          <font>
            <color theme="0"/>
          </font>
          <fill>
            <patternFill>
              <bgColor theme="5" tint="0.39994506668294322"/>
            </patternFill>
          </fill>
        </dxf>
        <dxf>
          <font>
            <color theme="0"/>
          </font>
          <fill>
            <patternFill>
              <bgColor theme="5"/>
            </patternFill>
          </fill>
        </dxf>
        <dxf>
          <font>
            <color theme="0"/>
          </font>
          <fill>
            <patternFill>
              <bgColor theme="5" tint="0.39994506668294322"/>
            </patternFill>
          </fill>
        </dxf>
        <dxf>
          <font>
            <color theme="0"/>
          </font>
          <fill>
            <patternFill>
              <bgColor theme="5"/>
            </patternFill>
          </fill>
        </dxf>
        <dxf>
          <font>
            <color theme="0"/>
          </font>
          <fill>
            <patternFill>
              <bgColor theme="5"/>
            </patternFill>
          </fill>
        </dxf>
        <dxf>
          <font>
            <color theme="0"/>
          </font>
          <fill>
            <patternFill>
              <bgColor rgb="FF0070C0"/>
            </patternFill>
          </fill>
        </dxf>
        <dxf>
          <font>
            <color theme="0"/>
          </font>
          <fill>
            <patternFill>
              <bgColor rgb="FF0070C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[WA_Fn-UseC_-HR-Employee-Attrition.xlsx]pivottable!PivotTable1</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0C0"/>
          </a:solidFill>
          <a:ln w="44450">
            <a:solidFill>
              <a:srgbClr val="0070C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44450">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pivottable!$B$2:$B$3</c:f>
              <c:strCache>
                <c:ptCount val="1"/>
                <c:pt idx="0">
                  <c:v>No</c:v>
                </c:pt>
              </c:strCache>
            </c:strRef>
          </c:tx>
          <c:spPr>
            <a:solidFill>
              <a:srgbClr val="0070C0"/>
            </a:solidFill>
            <a:ln w="44450">
              <a:solidFill>
                <a:srgbClr val="0070C0"/>
              </a:solidFill>
            </a:ln>
            <a:effectLst/>
          </c:spPr>
          <c:invertIfNegative val="0"/>
          <c:cat>
            <c:strRef>
              <c:f>pivottable!$A$4:$A$7</c:f>
              <c:strCache>
                <c:ptCount val="3"/>
                <c:pt idx="0">
                  <c:v>Human Resources</c:v>
                </c:pt>
                <c:pt idx="1">
                  <c:v>Research &amp; Development</c:v>
                </c:pt>
                <c:pt idx="2">
                  <c:v>Sales</c:v>
                </c:pt>
              </c:strCache>
            </c:strRef>
          </c:cat>
          <c:val>
            <c:numRef>
              <c:f>pivottable!$B$4:$B$7</c:f>
              <c:numCache>
                <c:formatCode>General</c:formatCode>
                <c:ptCount val="3"/>
                <c:pt idx="0">
                  <c:v>51</c:v>
                </c:pt>
                <c:pt idx="1">
                  <c:v>828</c:v>
                </c:pt>
                <c:pt idx="2">
                  <c:v>354</c:v>
                </c:pt>
              </c:numCache>
            </c:numRef>
          </c:val>
          <c:extLst>
            <c:ext xmlns:c16="http://schemas.microsoft.com/office/drawing/2014/chart" uri="{C3380CC4-5D6E-409C-BE32-E72D297353CC}">
              <c16:uniqueId val="{00000000-5037-4210-B893-E2439EF61CAC}"/>
            </c:ext>
          </c:extLst>
        </c:ser>
        <c:ser>
          <c:idx val="1"/>
          <c:order val="1"/>
          <c:tx>
            <c:strRef>
              <c:f>pivottable!$C$2:$C$3</c:f>
              <c:strCache>
                <c:ptCount val="1"/>
                <c:pt idx="0">
                  <c:v>Yes</c:v>
                </c:pt>
              </c:strCache>
            </c:strRef>
          </c:tx>
          <c:spPr>
            <a:solidFill>
              <a:schemeClr val="accent2"/>
            </a:solidFill>
            <a:ln w="44450">
              <a:solidFill>
                <a:schemeClr val="accent2"/>
              </a:solidFill>
            </a:ln>
            <a:effectLst/>
          </c:spPr>
          <c:invertIfNegative val="0"/>
          <c:cat>
            <c:strRef>
              <c:f>pivottable!$A$4:$A$7</c:f>
              <c:strCache>
                <c:ptCount val="3"/>
                <c:pt idx="0">
                  <c:v>Human Resources</c:v>
                </c:pt>
                <c:pt idx="1">
                  <c:v>Research &amp; Development</c:v>
                </c:pt>
                <c:pt idx="2">
                  <c:v>Sales</c:v>
                </c:pt>
              </c:strCache>
            </c:strRef>
          </c:cat>
          <c:val>
            <c:numRef>
              <c:f>pivottable!$C$4:$C$7</c:f>
              <c:numCache>
                <c:formatCode>General</c:formatCode>
                <c:ptCount val="3"/>
                <c:pt idx="0">
                  <c:v>12</c:v>
                </c:pt>
                <c:pt idx="1">
                  <c:v>133</c:v>
                </c:pt>
                <c:pt idx="2">
                  <c:v>92</c:v>
                </c:pt>
              </c:numCache>
            </c:numRef>
          </c:val>
          <c:extLst>
            <c:ext xmlns:c16="http://schemas.microsoft.com/office/drawing/2014/chart" uri="{C3380CC4-5D6E-409C-BE32-E72D297353CC}">
              <c16:uniqueId val="{00000009-1648-49CD-A88D-3BB4D4C075F0}"/>
            </c:ext>
          </c:extLst>
        </c:ser>
        <c:dLbls>
          <c:showLegendKey val="0"/>
          <c:showVal val="0"/>
          <c:showCatName val="0"/>
          <c:showSerName val="0"/>
          <c:showPercent val="0"/>
          <c:showBubbleSize val="0"/>
        </c:dLbls>
        <c:gapWidth val="219"/>
        <c:overlap val="-27"/>
        <c:axId val="305274623"/>
        <c:axId val="134568687"/>
      </c:barChart>
      <c:catAx>
        <c:axId val="30527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4568687"/>
        <c:crosses val="autoZero"/>
        <c:auto val="1"/>
        <c:lblAlgn val="ctr"/>
        <c:lblOffset val="100"/>
        <c:noMultiLvlLbl val="0"/>
      </c:catAx>
      <c:valAx>
        <c:axId val="134568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05274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[WA_Fn-UseC_-HR-Employee-Attrition.xlsx]pivottable!PivotTable2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70C0"/>
          </a:solidFill>
          <a:ln w="50800">
            <a:solidFill>
              <a:srgbClr val="0070C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50800">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24158165989481"/>
          <c:y val="0.20111598508376505"/>
          <c:w val="0.75553533271610762"/>
          <c:h val="0.37379224010800349"/>
        </c:manualLayout>
      </c:layout>
      <c:barChart>
        <c:barDir val="col"/>
        <c:grouping val="stacked"/>
        <c:varyColors val="0"/>
        <c:ser>
          <c:idx val="0"/>
          <c:order val="0"/>
          <c:tx>
            <c:strRef>
              <c:f>pivottable!$B$10:$B$11</c:f>
              <c:strCache>
                <c:ptCount val="1"/>
                <c:pt idx="0">
                  <c:v>No</c:v>
                </c:pt>
              </c:strCache>
            </c:strRef>
          </c:tx>
          <c:spPr>
            <a:solidFill>
              <a:srgbClr val="0070C0"/>
            </a:solidFill>
            <a:ln w="50800">
              <a:solidFill>
                <a:srgbClr val="0070C0"/>
              </a:solidFill>
            </a:ln>
            <a:effectLst/>
          </c:spPr>
          <c:invertIfNegative val="0"/>
          <c:cat>
            <c:strRef>
              <c:f>pivottable!$A$12:$A$21</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pivottable!$B$12:$B$21</c:f>
              <c:numCache>
                <c:formatCode>General</c:formatCode>
                <c:ptCount val="9"/>
                <c:pt idx="0">
                  <c:v>122</c:v>
                </c:pt>
                <c:pt idx="1">
                  <c:v>40</c:v>
                </c:pt>
                <c:pt idx="2">
                  <c:v>197</c:v>
                </c:pt>
                <c:pt idx="3">
                  <c:v>97</c:v>
                </c:pt>
                <c:pt idx="4">
                  <c:v>135</c:v>
                </c:pt>
                <c:pt idx="5">
                  <c:v>78</c:v>
                </c:pt>
                <c:pt idx="6">
                  <c:v>245</c:v>
                </c:pt>
                <c:pt idx="7">
                  <c:v>269</c:v>
                </c:pt>
                <c:pt idx="8">
                  <c:v>50</c:v>
                </c:pt>
              </c:numCache>
            </c:numRef>
          </c:val>
          <c:extLst>
            <c:ext xmlns:c16="http://schemas.microsoft.com/office/drawing/2014/chart" uri="{C3380CC4-5D6E-409C-BE32-E72D297353CC}">
              <c16:uniqueId val="{00000000-0DDA-488E-A3E0-2A084261E022}"/>
            </c:ext>
          </c:extLst>
        </c:ser>
        <c:ser>
          <c:idx val="1"/>
          <c:order val="1"/>
          <c:tx>
            <c:strRef>
              <c:f>pivottable!$C$10:$C$11</c:f>
              <c:strCache>
                <c:ptCount val="1"/>
                <c:pt idx="0">
                  <c:v>Yes</c:v>
                </c:pt>
              </c:strCache>
            </c:strRef>
          </c:tx>
          <c:spPr>
            <a:solidFill>
              <a:schemeClr val="accent2"/>
            </a:solidFill>
            <a:ln w="50800">
              <a:solidFill>
                <a:schemeClr val="accent2"/>
              </a:solidFill>
            </a:ln>
            <a:effectLst/>
          </c:spPr>
          <c:invertIfNegative val="0"/>
          <c:cat>
            <c:strRef>
              <c:f>pivottable!$A$12:$A$21</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pivottable!$C$12:$C$21</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9-884D-4F8C-AAC6-4DECC669DF43}"/>
            </c:ext>
          </c:extLst>
        </c:ser>
        <c:dLbls>
          <c:showLegendKey val="0"/>
          <c:showVal val="0"/>
          <c:showCatName val="0"/>
          <c:showSerName val="0"/>
          <c:showPercent val="0"/>
          <c:showBubbleSize val="0"/>
        </c:dLbls>
        <c:gapWidth val="150"/>
        <c:overlap val="100"/>
        <c:axId val="2032119599"/>
        <c:axId val="1896741007"/>
      </c:barChart>
      <c:catAx>
        <c:axId val="2032119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896741007"/>
        <c:crosses val="autoZero"/>
        <c:auto val="1"/>
        <c:lblAlgn val="ctr"/>
        <c:lblOffset val="100"/>
        <c:noMultiLvlLbl val="0"/>
      </c:catAx>
      <c:valAx>
        <c:axId val="1896741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32119599"/>
        <c:crosses val="autoZero"/>
        <c:crossBetween val="between"/>
      </c:valAx>
      <c:spPr>
        <a:noFill/>
        <a:ln>
          <a:noFill/>
        </a:ln>
        <a:effectLst/>
      </c:spPr>
    </c:plotArea>
    <c:legend>
      <c:legendPos val="r"/>
      <c:layout>
        <c:manualLayout>
          <c:xMode val="edge"/>
          <c:yMode val="edge"/>
          <c:x val="0.63841690527585138"/>
          <c:y val="1.8329344114329342E-2"/>
          <c:w val="0.17461572393200095"/>
          <c:h val="0.188005951232178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[WA_Fn-UseC_-HR-Employee-Attrition.xlsx]pivottable!PivotTable7</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rgbClr val="0070C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pivottable!$B$24:$B$25</c:f>
              <c:strCache>
                <c:ptCount val="1"/>
                <c:pt idx="0">
                  <c:v>No</c:v>
                </c:pt>
              </c:strCache>
            </c:strRef>
          </c:tx>
          <c:spPr>
            <a:ln w="34925" cap="rnd">
              <a:solidFill>
                <a:srgbClr val="0070C0"/>
              </a:solidFill>
              <a:round/>
            </a:ln>
            <a:effectLst/>
          </c:spPr>
          <c:marker>
            <c:symbol val="circle"/>
            <c:size val="5"/>
            <c:spPr>
              <a:solidFill>
                <a:schemeClr val="accent1"/>
              </a:solidFill>
              <a:ln w="9525">
                <a:solidFill>
                  <a:schemeClr val="accent1"/>
                </a:solidFill>
              </a:ln>
              <a:effectLst/>
            </c:spPr>
          </c:marker>
          <c:cat>
            <c:strRef>
              <c:f>pivottable!$A$26:$A$31</c:f>
              <c:strCache>
                <c:ptCount val="5"/>
                <c:pt idx="0">
                  <c:v>25-34</c:v>
                </c:pt>
                <c:pt idx="1">
                  <c:v>35-44</c:v>
                </c:pt>
                <c:pt idx="2">
                  <c:v>45-54</c:v>
                </c:pt>
                <c:pt idx="3">
                  <c:v>55+</c:v>
                </c:pt>
                <c:pt idx="4">
                  <c:v>Under 25</c:v>
                </c:pt>
              </c:strCache>
            </c:strRef>
          </c:cat>
          <c:val>
            <c:numRef>
              <c:f>pivottable!$B$26:$B$31</c:f>
              <c:numCache>
                <c:formatCode>General</c:formatCode>
                <c:ptCount val="5"/>
                <c:pt idx="0">
                  <c:v>442</c:v>
                </c:pt>
                <c:pt idx="1">
                  <c:v>454</c:v>
                </c:pt>
                <c:pt idx="2">
                  <c:v>220</c:v>
                </c:pt>
                <c:pt idx="3">
                  <c:v>58</c:v>
                </c:pt>
                <c:pt idx="4">
                  <c:v>59</c:v>
                </c:pt>
              </c:numCache>
            </c:numRef>
          </c:val>
          <c:smooth val="0"/>
          <c:extLst>
            <c:ext xmlns:c16="http://schemas.microsoft.com/office/drawing/2014/chart" uri="{C3380CC4-5D6E-409C-BE32-E72D297353CC}">
              <c16:uniqueId val="{00000000-AF3D-4F96-B4C1-2413AF6C105A}"/>
            </c:ext>
          </c:extLst>
        </c:ser>
        <c:ser>
          <c:idx val="1"/>
          <c:order val="1"/>
          <c:tx>
            <c:strRef>
              <c:f>pivottable!$C$24:$C$25</c:f>
              <c:strCache>
                <c:ptCount val="1"/>
                <c:pt idx="0">
                  <c:v>Yes</c:v>
                </c:pt>
              </c:strCache>
            </c:strRef>
          </c:tx>
          <c:spPr>
            <a:ln w="34925" cap="rnd">
              <a:solidFill>
                <a:schemeClr val="accent2"/>
              </a:solidFill>
              <a:round/>
            </a:ln>
            <a:effectLst/>
          </c:spPr>
          <c:marker>
            <c:symbol val="circle"/>
            <c:size val="5"/>
            <c:spPr>
              <a:solidFill>
                <a:schemeClr val="accent2"/>
              </a:solidFill>
              <a:ln w="9525">
                <a:solidFill>
                  <a:schemeClr val="accent2"/>
                </a:solidFill>
              </a:ln>
              <a:effectLst/>
            </c:spPr>
          </c:marker>
          <c:cat>
            <c:strRef>
              <c:f>pivottable!$A$26:$A$31</c:f>
              <c:strCache>
                <c:ptCount val="5"/>
                <c:pt idx="0">
                  <c:v>25-34</c:v>
                </c:pt>
                <c:pt idx="1">
                  <c:v>35-44</c:v>
                </c:pt>
                <c:pt idx="2">
                  <c:v>45-54</c:v>
                </c:pt>
                <c:pt idx="3">
                  <c:v>55+</c:v>
                </c:pt>
                <c:pt idx="4">
                  <c:v>Under 25</c:v>
                </c:pt>
              </c:strCache>
            </c:strRef>
          </c:cat>
          <c:val>
            <c:numRef>
              <c:f>pivottable!$C$26:$C$31</c:f>
              <c:numCache>
                <c:formatCode>General</c:formatCode>
                <c:ptCount val="5"/>
                <c:pt idx="0">
                  <c:v>112</c:v>
                </c:pt>
                <c:pt idx="1">
                  <c:v>51</c:v>
                </c:pt>
                <c:pt idx="2">
                  <c:v>25</c:v>
                </c:pt>
                <c:pt idx="3">
                  <c:v>11</c:v>
                </c:pt>
                <c:pt idx="4">
                  <c:v>38</c:v>
                </c:pt>
              </c:numCache>
            </c:numRef>
          </c:val>
          <c:smooth val="0"/>
          <c:extLst>
            <c:ext xmlns:c16="http://schemas.microsoft.com/office/drawing/2014/chart" uri="{C3380CC4-5D6E-409C-BE32-E72D297353CC}">
              <c16:uniqueId val="{00000009-4A3B-4C10-86B1-9D0E24D28516}"/>
            </c:ext>
          </c:extLst>
        </c:ser>
        <c:dLbls>
          <c:showLegendKey val="0"/>
          <c:showVal val="0"/>
          <c:showCatName val="0"/>
          <c:showSerName val="0"/>
          <c:showPercent val="0"/>
          <c:showBubbleSize val="0"/>
        </c:dLbls>
        <c:marker val="1"/>
        <c:smooth val="0"/>
        <c:axId val="2056041967"/>
        <c:axId val="1896802447"/>
      </c:lineChart>
      <c:catAx>
        <c:axId val="2056041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6802447"/>
        <c:crosses val="autoZero"/>
        <c:auto val="1"/>
        <c:lblAlgn val="ctr"/>
        <c:lblOffset val="100"/>
        <c:noMultiLvlLbl val="0"/>
      </c:catAx>
      <c:valAx>
        <c:axId val="1896802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041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[WA_Fn-UseC_-HR-Employee-Attrition.xlsx]pivottable!PivotTable8</c:name>
    <c:fmtId val="3"/>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pivottable!$B$33:$B$34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671-4665-AF4D-38B23783F4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671-4665-AF4D-38B23783F4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671-4665-AF4D-38B23783F42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671-4665-AF4D-38B23783F42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671-4665-AF4D-38B23783F42D}"/>
              </c:ext>
            </c:extLst>
          </c:dPt>
          <c:cat>
            <c:strRef>
              <c:f>pivottable!$A$35:$A$40</c:f>
              <c:strCache>
                <c:ptCount val="5"/>
                <c:pt idx="0">
                  <c:v>12K+</c:v>
                </c:pt>
                <c:pt idx="1">
                  <c:v>3K-6K</c:v>
                </c:pt>
                <c:pt idx="2">
                  <c:v>6K-9K</c:v>
                </c:pt>
                <c:pt idx="3">
                  <c:v>9K-12K</c:v>
                </c:pt>
                <c:pt idx="4">
                  <c:v>Below 3K</c:v>
                </c:pt>
              </c:strCache>
            </c:strRef>
          </c:cat>
          <c:val>
            <c:numRef>
              <c:f>pivottable!$B$35:$B$40</c:f>
              <c:numCache>
                <c:formatCode>General</c:formatCode>
                <c:ptCount val="5"/>
                <c:pt idx="0">
                  <c:v>184</c:v>
                </c:pt>
                <c:pt idx="1">
                  <c:v>453</c:v>
                </c:pt>
                <c:pt idx="2">
                  <c:v>199</c:v>
                </c:pt>
                <c:pt idx="3">
                  <c:v>115</c:v>
                </c:pt>
                <c:pt idx="4">
                  <c:v>282</c:v>
                </c:pt>
              </c:numCache>
            </c:numRef>
          </c:val>
          <c:extLst>
            <c:ext xmlns:c16="http://schemas.microsoft.com/office/drawing/2014/chart" uri="{C3380CC4-5D6E-409C-BE32-E72D297353CC}">
              <c16:uniqueId val="{0000000A-6671-4665-AF4D-38B23783F42D}"/>
            </c:ext>
          </c:extLst>
        </c:ser>
        <c:ser>
          <c:idx val="1"/>
          <c:order val="1"/>
          <c:tx>
            <c:strRef>
              <c:f>pivottable!$C$33:$C$34</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pivottable!$A$35:$A$40</c:f>
              <c:strCache>
                <c:ptCount val="5"/>
                <c:pt idx="0">
                  <c:v>12K+</c:v>
                </c:pt>
                <c:pt idx="1">
                  <c:v>3K-6K</c:v>
                </c:pt>
                <c:pt idx="2">
                  <c:v>6K-9K</c:v>
                </c:pt>
                <c:pt idx="3">
                  <c:v>9K-12K</c:v>
                </c:pt>
                <c:pt idx="4">
                  <c:v>Below 3K</c:v>
                </c:pt>
              </c:strCache>
            </c:strRef>
          </c:cat>
          <c:val>
            <c:numRef>
              <c:f>pivottable!$C$35:$C$40</c:f>
              <c:numCache>
                <c:formatCode>General</c:formatCode>
                <c:ptCount val="5"/>
                <c:pt idx="0">
                  <c:v>11</c:v>
                </c:pt>
                <c:pt idx="1">
                  <c:v>66</c:v>
                </c:pt>
                <c:pt idx="2">
                  <c:v>24</c:v>
                </c:pt>
                <c:pt idx="3">
                  <c:v>23</c:v>
                </c:pt>
                <c:pt idx="4">
                  <c:v>113</c:v>
                </c:pt>
              </c:numCache>
            </c:numRef>
          </c:val>
          <c:extLst>
            <c:ext xmlns:c16="http://schemas.microsoft.com/office/drawing/2014/chart" uri="{C3380CC4-5D6E-409C-BE32-E72D297353CC}">
              <c16:uniqueId val="{0000001D-8A4A-4088-BBC3-920D2AC0253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[WA_Fn-UseC_-HR-Employee-Attrition.xlsx]pivottable!PivotTable9</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pivottable!$N$2:$N$3</c:f>
              <c:strCache>
                <c:ptCount val="1"/>
                <c:pt idx="0">
                  <c:v>No</c:v>
                </c:pt>
              </c:strCache>
            </c:strRef>
          </c:tx>
          <c:spPr>
            <a:solidFill>
              <a:srgbClr val="0070C0"/>
            </a:solidFill>
            <a:ln>
              <a:noFill/>
            </a:ln>
            <a:effectLst/>
          </c:spPr>
          <c:invertIfNegative val="0"/>
          <c:cat>
            <c:strRef>
              <c:f>pivottable!$M$4:$M$41</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pivottable!$N$4:$N$41</c:f>
              <c:numCache>
                <c:formatCode>General</c:formatCode>
                <c:ptCount val="37"/>
                <c:pt idx="0">
                  <c:v>28</c:v>
                </c:pt>
                <c:pt idx="1">
                  <c:v>112</c:v>
                </c:pt>
                <c:pt idx="2">
                  <c:v>100</c:v>
                </c:pt>
                <c:pt idx="3">
                  <c:v>108</c:v>
                </c:pt>
                <c:pt idx="4">
                  <c:v>91</c:v>
                </c:pt>
                <c:pt idx="5">
                  <c:v>175</c:v>
                </c:pt>
                <c:pt idx="6">
                  <c:v>67</c:v>
                </c:pt>
                <c:pt idx="7">
                  <c:v>79</c:v>
                </c:pt>
                <c:pt idx="8">
                  <c:v>71</c:v>
                </c:pt>
                <c:pt idx="9">
                  <c:v>74</c:v>
                </c:pt>
                <c:pt idx="10">
                  <c:v>102</c:v>
                </c:pt>
                <c:pt idx="11">
                  <c:v>30</c:v>
                </c:pt>
                <c:pt idx="12">
                  <c:v>14</c:v>
                </c:pt>
                <c:pt idx="13">
                  <c:v>22</c:v>
                </c:pt>
                <c:pt idx="14">
                  <c:v>16</c:v>
                </c:pt>
                <c:pt idx="15">
                  <c:v>19</c:v>
                </c:pt>
                <c:pt idx="16">
                  <c:v>11</c:v>
                </c:pt>
                <c:pt idx="17">
                  <c:v>8</c:v>
                </c:pt>
                <c:pt idx="18">
                  <c:v>12</c:v>
                </c:pt>
                <c:pt idx="19">
                  <c:v>10</c:v>
                </c:pt>
                <c:pt idx="20">
                  <c:v>26</c:v>
                </c:pt>
                <c:pt idx="21">
                  <c:v>13</c:v>
                </c:pt>
                <c:pt idx="22">
                  <c:v>14</c:v>
                </c:pt>
                <c:pt idx="23">
                  <c:v>1</c:v>
                </c:pt>
                <c:pt idx="24">
                  <c:v>5</c:v>
                </c:pt>
                <c:pt idx="25">
                  <c:v>4</c:v>
                </c:pt>
                <c:pt idx="26">
                  <c:v>4</c:v>
                </c:pt>
                <c:pt idx="27">
                  <c:v>2</c:v>
                </c:pt>
                <c:pt idx="28">
                  <c:v>2</c:v>
                </c:pt>
                <c:pt idx="29">
                  <c:v>1</c:v>
                </c:pt>
                <c:pt idx="30">
                  <c:v>2</c:v>
                </c:pt>
                <c:pt idx="31">
                  <c:v>2</c:v>
                </c:pt>
                <c:pt idx="32">
                  <c:v>4</c:v>
                </c:pt>
                <c:pt idx="33">
                  <c:v>1</c:v>
                </c:pt>
                <c:pt idx="34">
                  <c:v>2</c:v>
                </c:pt>
                <c:pt idx="35">
                  <c:v>1</c:v>
                </c:pt>
              </c:numCache>
            </c:numRef>
          </c:val>
          <c:extLst>
            <c:ext xmlns:c16="http://schemas.microsoft.com/office/drawing/2014/chart" uri="{C3380CC4-5D6E-409C-BE32-E72D297353CC}">
              <c16:uniqueId val="{00000000-2C41-4A32-AEE9-9A7F9C265798}"/>
            </c:ext>
          </c:extLst>
        </c:ser>
        <c:ser>
          <c:idx val="1"/>
          <c:order val="1"/>
          <c:tx>
            <c:strRef>
              <c:f>pivottable!$O$2:$O$3</c:f>
              <c:strCache>
                <c:ptCount val="1"/>
                <c:pt idx="0">
                  <c:v>Yes</c:v>
                </c:pt>
              </c:strCache>
            </c:strRef>
          </c:tx>
          <c:spPr>
            <a:solidFill>
              <a:schemeClr val="accent2"/>
            </a:solidFill>
            <a:ln>
              <a:noFill/>
            </a:ln>
            <a:effectLst/>
          </c:spPr>
          <c:invertIfNegative val="0"/>
          <c:cat>
            <c:strRef>
              <c:f>pivottable!$M$4:$M$41</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pivottable!$O$4:$O$41</c:f>
              <c:numCache>
                <c:formatCode>General</c:formatCode>
                <c:ptCount val="37"/>
                <c:pt idx="0">
                  <c:v>16</c:v>
                </c:pt>
                <c:pt idx="1">
                  <c:v>59</c:v>
                </c:pt>
                <c:pt idx="2">
                  <c:v>27</c:v>
                </c:pt>
                <c:pt idx="3">
                  <c:v>20</c:v>
                </c:pt>
                <c:pt idx="4">
                  <c:v>19</c:v>
                </c:pt>
                <c:pt idx="5">
                  <c:v>21</c:v>
                </c:pt>
                <c:pt idx="6">
                  <c:v>9</c:v>
                </c:pt>
                <c:pt idx="7">
                  <c:v>11</c:v>
                </c:pt>
                <c:pt idx="8">
                  <c:v>9</c:v>
                </c:pt>
                <c:pt idx="9">
                  <c:v>8</c:v>
                </c:pt>
                <c:pt idx="10">
                  <c:v>18</c:v>
                </c:pt>
                <c:pt idx="11">
                  <c:v>2</c:v>
                </c:pt>
                <c:pt idx="13">
                  <c:v>2</c:v>
                </c:pt>
                <c:pt idx="14">
                  <c:v>2</c:v>
                </c:pt>
                <c:pt idx="15">
                  <c:v>1</c:v>
                </c:pt>
                <c:pt idx="16">
                  <c:v>1</c:v>
                </c:pt>
                <c:pt idx="17">
                  <c:v>1</c:v>
                </c:pt>
                <c:pt idx="18">
                  <c:v>1</c:v>
                </c:pt>
                <c:pt idx="19">
                  <c:v>1</c:v>
                </c:pt>
                <c:pt idx="20">
                  <c:v>1</c:v>
                </c:pt>
                <c:pt idx="21">
                  <c:v>1</c:v>
                </c:pt>
                <c:pt idx="22">
                  <c:v>1</c:v>
                </c:pt>
                <c:pt idx="23">
                  <c:v>1</c:v>
                </c:pt>
                <c:pt idx="24">
                  <c:v>1</c:v>
                </c:pt>
                <c:pt idx="30">
                  <c:v>1</c:v>
                </c:pt>
                <c:pt idx="31">
                  <c:v>1</c:v>
                </c:pt>
                <c:pt idx="32">
                  <c:v>1</c:v>
                </c:pt>
                <c:pt idx="36">
                  <c:v>1</c:v>
                </c:pt>
              </c:numCache>
            </c:numRef>
          </c:val>
          <c:extLst>
            <c:ext xmlns:c16="http://schemas.microsoft.com/office/drawing/2014/chart" uri="{C3380CC4-5D6E-409C-BE32-E72D297353CC}">
              <c16:uniqueId val="{00000009-5267-4405-B094-B94F62966359}"/>
            </c:ext>
          </c:extLst>
        </c:ser>
        <c:dLbls>
          <c:showLegendKey val="0"/>
          <c:showVal val="0"/>
          <c:showCatName val="0"/>
          <c:showSerName val="0"/>
          <c:showPercent val="0"/>
          <c:showBubbleSize val="0"/>
        </c:dLbls>
        <c:gapWidth val="150"/>
        <c:overlap val="100"/>
        <c:axId val="192873535"/>
        <c:axId val="2032658831"/>
      </c:barChart>
      <c:catAx>
        <c:axId val="192873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658831"/>
        <c:crosses val="autoZero"/>
        <c:auto val="1"/>
        <c:lblAlgn val="ctr"/>
        <c:lblOffset val="100"/>
        <c:noMultiLvlLbl val="0"/>
      </c:catAx>
      <c:valAx>
        <c:axId val="20326588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73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[WA_Fn-UseC_-HR-Employee-Attrition.xlsx]pivottable!PivotTable10</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0070C0"/>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pivottable!$C$43:$C$44</c:f>
              <c:strCache>
                <c:ptCount val="1"/>
                <c:pt idx="0">
                  <c:v>No</c:v>
                </c:pt>
              </c:strCache>
            </c:strRef>
          </c:tx>
          <c:dPt>
            <c:idx val="0"/>
            <c:bubble3D val="0"/>
            <c:spPr>
              <a:solidFill>
                <a:srgbClr val="0070C0"/>
              </a:solidFill>
              <a:ln w="19050">
                <a:solidFill>
                  <a:schemeClr val="lt1"/>
                </a:solidFill>
              </a:ln>
              <a:effectLst/>
            </c:spPr>
            <c:extLst>
              <c:ext xmlns:c16="http://schemas.microsoft.com/office/drawing/2014/chart" uri="{C3380CC4-5D6E-409C-BE32-E72D297353CC}">
                <c16:uniqueId val="{00000001-CFF2-4237-BF71-D8D23B33DA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FF2-4237-BF71-D8D23B33DAD4}"/>
              </c:ext>
            </c:extLst>
          </c:dPt>
          <c:cat>
            <c:strRef>
              <c:f>pivottable!$B$45:$B$47</c:f>
              <c:strCache>
                <c:ptCount val="2"/>
                <c:pt idx="0">
                  <c:v>Female</c:v>
                </c:pt>
                <c:pt idx="1">
                  <c:v>Male</c:v>
                </c:pt>
              </c:strCache>
            </c:strRef>
          </c:cat>
          <c:val>
            <c:numRef>
              <c:f>pivottable!$C$45:$C$47</c:f>
              <c:numCache>
                <c:formatCode>General</c:formatCode>
                <c:ptCount val="2"/>
                <c:pt idx="0">
                  <c:v>501</c:v>
                </c:pt>
                <c:pt idx="1">
                  <c:v>732</c:v>
                </c:pt>
              </c:numCache>
            </c:numRef>
          </c:val>
          <c:extLst>
            <c:ext xmlns:c16="http://schemas.microsoft.com/office/drawing/2014/chart" uri="{C3380CC4-5D6E-409C-BE32-E72D297353CC}">
              <c16:uniqueId val="{00000004-CFF2-4237-BF71-D8D23B33DAD4}"/>
            </c:ext>
          </c:extLst>
        </c:ser>
        <c:ser>
          <c:idx val="1"/>
          <c:order val="1"/>
          <c:tx>
            <c:strRef>
              <c:f>pivottable!$D$43:$D$44</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pivottable!$B$45:$B$47</c:f>
              <c:strCache>
                <c:ptCount val="2"/>
                <c:pt idx="0">
                  <c:v>Female</c:v>
                </c:pt>
                <c:pt idx="1">
                  <c:v>Male</c:v>
                </c:pt>
              </c:strCache>
            </c:strRef>
          </c:cat>
          <c:val>
            <c:numRef>
              <c:f>pivottable!$D$45:$D$47</c:f>
              <c:numCache>
                <c:formatCode>General</c:formatCode>
                <c:ptCount val="2"/>
                <c:pt idx="0">
                  <c:v>87</c:v>
                </c:pt>
                <c:pt idx="1">
                  <c:v>150</c:v>
                </c:pt>
              </c:numCache>
            </c:numRef>
          </c:val>
          <c:extLst>
            <c:ext xmlns:c16="http://schemas.microsoft.com/office/drawing/2014/chart" uri="{C3380CC4-5D6E-409C-BE32-E72D297353CC}">
              <c16:uniqueId val="{00000011-785B-4F9A-9195-84131A60EB8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[WA_Fn-UseC_-HR-Employee-Attrition.xlsx]pivottable!PivotTable11</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pivottable!$B$51:$B$52</c:f>
              <c:strCache>
                <c:ptCount val="1"/>
                <c:pt idx="0">
                  <c:v>No</c:v>
                </c:pt>
              </c:strCache>
            </c:strRef>
          </c:tx>
          <c:spPr>
            <a:solidFill>
              <a:srgbClr val="0070C0"/>
            </a:solidFill>
            <a:ln>
              <a:noFill/>
            </a:ln>
            <a:effectLst/>
          </c:spPr>
          <c:invertIfNegative val="0"/>
          <c:cat>
            <c:strRef>
              <c:f>pivottable!$A$53:$A$57</c:f>
              <c:strCache>
                <c:ptCount val="4"/>
                <c:pt idx="0">
                  <c:v>1</c:v>
                </c:pt>
                <c:pt idx="1">
                  <c:v>2</c:v>
                </c:pt>
                <c:pt idx="2">
                  <c:v>3</c:v>
                </c:pt>
                <c:pt idx="3">
                  <c:v>4</c:v>
                </c:pt>
              </c:strCache>
            </c:strRef>
          </c:cat>
          <c:val>
            <c:numRef>
              <c:f>pivottable!$B$53:$B$57</c:f>
              <c:numCache>
                <c:formatCode>General</c:formatCode>
                <c:ptCount val="4"/>
                <c:pt idx="0">
                  <c:v>223</c:v>
                </c:pt>
                <c:pt idx="1">
                  <c:v>234</c:v>
                </c:pt>
                <c:pt idx="2">
                  <c:v>369</c:v>
                </c:pt>
                <c:pt idx="3">
                  <c:v>407</c:v>
                </c:pt>
              </c:numCache>
            </c:numRef>
          </c:val>
          <c:extLst>
            <c:ext xmlns:c16="http://schemas.microsoft.com/office/drawing/2014/chart" uri="{C3380CC4-5D6E-409C-BE32-E72D297353CC}">
              <c16:uniqueId val="{00000000-EC53-4626-84FD-D5F21C3C9B58}"/>
            </c:ext>
          </c:extLst>
        </c:ser>
        <c:ser>
          <c:idx val="1"/>
          <c:order val="1"/>
          <c:tx>
            <c:strRef>
              <c:f>pivottable!$C$51:$C$52</c:f>
              <c:strCache>
                <c:ptCount val="1"/>
                <c:pt idx="0">
                  <c:v>Yes</c:v>
                </c:pt>
              </c:strCache>
            </c:strRef>
          </c:tx>
          <c:spPr>
            <a:solidFill>
              <a:schemeClr val="accent2"/>
            </a:solidFill>
            <a:ln>
              <a:noFill/>
            </a:ln>
            <a:effectLst/>
          </c:spPr>
          <c:invertIfNegative val="0"/>
          <c:cat>
            <c:strRef>
              <c:f>pivottable!$A$53:$A$57</c:f>
              <c:strCache>
                <c:ptCount val="4"/>
                <c:pt idx="0">
                  <c:v>1</c:v>
                </c:pt>
                <c:pt idx="1">
                  <c:v>2</c:v>
                </c:pt>
                <c:pt idx="2">
                  <c:v>3</c:v>
                </c:pt>
                <c:pt idx="3">
                  <c:v>4</c:v>
                </c:pt>
              </c:strCache>
            </c:strRef>
          </c:cat>
          <c:val>
            <c:numRef>
              <c:f>pivottable!$C$53:$C$57</c:f>
              <c:numCache>
                <c:formatCode>General</c:formatCode>
                <c:ptCount val="4"/>
                <c:pt idx="0">
                  <c:v>66</c:v>
                </c:pt>
                <c:pt idx="1">
                  <c:v>46</c:v>
                </c:pt>
                <c:pt idx="2">
                  <c:v>73</c:v>
                </c:pt>
                <c:pt idx="3">
                  <c:v>52</c:v>
                </c:pt>
              </c:numCache>
            </c:numRef>
          </c:val>
          <c:extLst>
            <c:ext xmlns:c16="http://schemas.microsoft.com/office/drawing/2014/chart" uri="{C3380CC4-5D6E-409C-BE32-E72D297353CC}">
              <c16:uniqueId val="{00000009-CFF5-49FB-AFE5-898F96F16272}"/>
            </c:ext>
          </c:extLst>
        </c:ser>
        <c:dLbls>
          <c:showLegendKey val="0"/>
          <c:showVal val="0"/>
          <c:showCatName val="0"/>
          <c:showSerName val="0"/>
          <c:showPercent val="0"/>
          <c:showBubbleSize val="0"/>
        </c:dLbls>
        <c:gapWidth val="150"/>
        <c:overlap val="100"/>
        <c:axId val="2035265407"/>
        <c:axId val="1896785167"/>
      </c:barChart>
      <c:catAx>
        <c:axId val="2035265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6785167"/>
        <c:crosses val="autoZero"/>
        <c:auto val="1"/>
        <c:lblAlgn val="ctr"/>
        <c:lblOffset val="100"/>
        <c:noMultiLvlLbl val="0"/>
      </c:catAx>
      <c:valAx>
        <c:axId val="18967851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265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17" Type="http://schemas.openxmlformats.org/officeDocument/2006/relationships/chart" Target="../charts/chart7.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179294</xdr:colOff>
      <xdr:row>3</xdr:row>
      <xdr:rowOff>157516</xdr:rowOff>
    </xdr:from>
    <xdr:to>
      <xdr:col>3</xdr:col>
      <xdr:colOff>437029</xdr:colOff>
      <xdr:row>11</xdr:row>
      <xdr:rowOff>11207</xdr:rowOff>
    </xdr:to>
    <mc:AlternateContent xmlns:mc="http://schemas.openxmlformats.org/markup-compatibility/2006">
      <mc:Choice xmlns:a14="http://schemas.microsoft.com/office/drawing/2010/main" Requires="a14">
        <xdr:graphicFrame macro="">
          <xdr:nvGraphicFramePr>
            <xdr:cNvPr id="2" name="Department">
              <a:extLst>
                <a:ext uri="{FF2B5EF4-FFF2-40B4-BE49-F238E27FC236}">
                  <a16:creationId xmlns:a16="http://schemas.microsoft.com/office/drawing/2014/main" id="{9F32246D-65E1-457D-B7C4-3D9BFEB1507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79294" y="720224"/>
              <a:ext cx="2086535" cy="13542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150813</xdr:colOff>
      <xdr:row>11</xdr:row>
      <xdr:rowOff>4835</xdr:rowOff>
    </xdr:from>
    <xdr:to>
      <xdr:col>3</xdr:col>
      <xdr:colOff>414618</xdr:colOff>
      <xdr:row>27</xdr:row>
      <xdr:rowOff>78440</xdr:rowOff>
    </xdr:to>
    <mc:AlternateContent xmlns:mc="http://schemas.openxmlformats.org/markup-compatibility/2006">
      <mc:Choice xmlns:a14="http://schemas.microsoft.com/office/drawing/2010/main" Requires="a14">
        <xdr:graphicFrame macro="">
          <xdr:nvGraphicFramePr>
            <xdr:cNvPr id="3" name="JobRole">
              <a:extLst>
                <a:ext uri="{FF2B5EF4-FFF2-40B4-BE49-F238E27FC236}">
                  <a16:creationId xmlns:a16="http://schemas.microsoft.com/office/drawing/2014/main" id="{FA7C5816-8C83-4FBF-914B-1A01974D537B}"/>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150813" y="2068097"/>
              <a:ext cx="2092605" cy="30747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149088</xdr:colOff>
      <xdr:row>27</xdr:row>
      <xdr:rowOff>127124</xdr:rowOff>
    </xdr:from>
    <xdr:to>
      <xdr:col>3</xdr:col>
      <xdr:colOff>414619</xdr:colOff>
      <xdr:row>33</xdr:row>
      <xdr:rowOff>44823</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E235DFC0-E770-400D-8F2D-B4C8DB6FB3F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49088" y="4979271"/>
              <a:ext cx="2080884" cy="9486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160422</xdr:colOff>
      <xdr:row>33</xdr:row>
      <xdr:rowOff>45176</xdr:rowOff>
    </xdr:from>
    <xdr:to>
      <xdr:col>3</xdr:col>
      <xdr:colOff>403413</xdr:colOff>
      <xdr:row>43</xdr:row>
      <xdr:rowOff>123264</xdr:rowOff>
    </xdr:to>
    <mc:AlternateContent xmlns:mc="http://schemas.openxmlformats.org/markup-compatibility/2006" xmlns:a14="http://schemas.microsoft.com/office/drawing/2010/main">
      <mc:Choice Requires="a14">
        <xdr:graphicFrame macro="">
          <xdr:nvGraphicFramePr>
            <xdr:cNvPr id="5" name="Age Group">
              <a:extLst>
                <a:ext uri="{FF2B5EF4-FFF2-40B4-BE49-F238E27FC236}">
                  <a16:creationId xmlns:a16="http://schemas.microsoft.com/office/drawing/2014/main" id="{779C10D3-11B1-4074-B032-02B7E2442EC6}"/>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60422" y="5973089"/>
              <a:ext cx="2058344" cy="18037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168442</xdr:colOff>
      <xdr:row>43</xdr:row>
      <xdr:rowOff>75256</xdr:rowOff>
    </xdr:from>
    <xdr:to>
      <xdr:col>3</xdr:col>
      <xdr:colOff>403412</xdr:colOff>
      <xdr:row>53</xdr:row>
      <xdr:rowOff>145677</xdr:rowOff>
    </xdr:to>
    <mc:AlternateContent xmlns:mc="http://schemas.openxmlformats.org/markup-compatibility/2006">
      <mc:Choice xmlns:a14="http://schemas.microsoft.com/office/drawing/2010/main" Requires="a14">
        <xdr:graphicFrame macro="">
          <xdr:nvGraphicFramePr>
            <xdr:cNvPr id="6" name="Salary Range">
              <a:extLst>
                <a:ext uri="{FF2B5EF4-FFF2-40B4-BE49-F238E27FC236}">
                  <a16:creationId xmlns:a16="http://schemas.microsoft.com/office/drawing/2014/main" id="{AFBC0956-04FE-44CA-82BB-C0E3DDCCAB28}"/>
                </a:ext>
              </a:extLst>
            </xdr:cNvPr>
            <xdr:cNvGraphicFramePr/>
          </xdr:nvGraphicFramePr>
          <xdr:xfrm>
            <a:off x="0" y="0"/>
            <a:ext cx="0" cy="0"/>
          </xdr:xfrm>
          <a:graphic>
            <a:graphicData uri="http://schemas.microsoft.com/office/drawing/2010/slicer">
              <sle:slicer xmlns:sle="http://schemas.microsoft.com/office/drawing/2010/slicer" name="Salary Range"/>
            </a:graphicData>
          </a:graphic>
        </xdr:graphicFrame>
      </mc:Choice>
      <mc:Fallback>
        <xdr:sp macro="" textlink="">
          <xdr:nvSpPr>
            <xdr:cNvPr id="0" name=""/>
            <xdr:cNvSpPr>
              <a:spLocks noTextEdit="1"/>
            </xdr:cNvSpPr>
          </xdr:nvSpPr>
          <xdr:spPr>
            <a:xfrm>
              <a:off x="168442" y="8140733"/>
              <a:ext cx="2063770" cy="19461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43297</xdr:colOff>
      <xdr:row>4</xdr:row>
      <xdr:rowOff>8020</xdr:rowOff>
    </xdr:from>
    <xdr:to>
      <xdr:col>23</xdr:col>
      <xdr:colOff>404244</xdr:colOff>
      <xdr:row>7</xdr:row>
      <xdr:rowOff>176465</xdr:rowOff>
    </xdr:to>
    <xdr:grpSp>
      <xdr:nvGrpSpPr>
        <xdr:cNvPr id="68" name="Group 67">
          <a:extLst>
            <a:ext uri="{FF2B5EF4-FFF2-40B4-BE49-F238E27FC236}">
              <a16:creationId xmlns:a16="http://schemas.microsoft.com/office/drawing/2014/main" id="{2B198540-4900-05C6-7DEC-8F39F9178B30}"/>
            </a:ext>
          </a:extLst>
        </xdr:cNvPr>
        <xdr:cNvGrpSpPr/>
      </xdr:nvGrpSpPr>
      <xdr:grpSpPr>
        <a:xfrm>
          <a:off x="3091297" y="758297"/>
          <a:ext cx="11333747" cy="731153"/>
          <a:chOff x="2462463" y="561473"/>
          <a:chExt cx="11333748" cy="721897"/>
        </a:xfrm>
      </xdr:grpSpPr>
      <xdr:grpSp>
        <xdr:nvGrpSpPr>
          <xdr:cNvPr id="15" name="Group 14">
            <a:extLst>
              <a:ext uri="{FF2B5EF4-FFF2-40B4-BE49-F238E27FC236}">
                <a16:creationId xmlns:a16="http://schemas.microsoft.com/office/drawing/2014/main" id="{B5DB52CF-4B23-930A-B2CD-31FF615BCD63}"/>
              </a:ext>
            </a:extLst>
          </xdr:cNvPr>
          <xdr:cNvGrpSpPr/>
        </xdr:nvGrpSpPr>
        <xdr:grpSpPr>
          <a:xfrm>
            <a:off x="2462463" y="561473"/>
            <a:ext cx="2053390" cy="721896"/>
            <a:chOff x="2462463" y="513347"/>
            <a:chExt cx="2053390" cy="721896"/>
          </a:xfrm>
        </xdr:grpSpPr>
        <xdr:sp macro="" textlink="">
          <xdr:nvSpPr>
            <xdr:cNvPr id="7" name="Rectangle: Rounded Corners 6">
              <a:extLst>
                <a:ext uri="{FF2B5EF4-FFF2-40B4-BE49-F238E27FC236}">
                  <a16:creationId xmlns:a16="http://schemas.microsoft.com/office/drawing/2014/main" id="{D14A2E39-3DF9-8060-61D8-2515C15729F0}"/>
                </a:ext>
              </a:extLst>
            </xdr:cNvPr>
            <xdr:cNvSpPr/>
          </xdr:nvSpPr>
          <xdr:spPr>
            <a:xfrm>
              <a:off x="2462463" y="513347"/>
              <a:ext cx="2053390" cy="721896"/>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rPr>
                <a:t>                           Total Employees</a:t>
              </a:r>
            </a:p>
          </xdr:txBody>
        </xdr:sp>
        <xdr:sp macro="" textlink="Analysis!B3">
          <xdr:nvSpPr>
            <xdr:cNvPr id="12" name="TextBox 11">
              <a:extLst>
                <a:ext uri="{FF2B5EF4-FFF2-40B4-BE49-F238E27FC236}">
                  <a16:creationId xmlns:a16="http://schemas.microsoft.com/office/drawing/2014/main" id="{227E6D38-5A30-EDC2-DED9-C932FCB3887A}"/>
                </a:ext>
              </a:extLst>
            </xdr:cNvPr>
            <xdr:cNvSpPr txBox="1"/>
          </xdr:nvSpPr>
          <xdr:spPr>
            <a:xfrm>
              <a:off x="3200400" y="737938"/>
              <a:ext cx="1034716" cy="376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1C22D5F-783D-461D-9600-418C124E48C5}" type="TxLink">
                <a:rPr lang="en-US" sz="2000" b="1" i="0" u="none" strike="noStrike">
                  <a:solidFill>
                    <a:srgbClr val="000000"/>
                  </a:solidFill>
                  <a:latin typeface="Aptos Narrow"/>
                </a:rPr>
                <a:pPr/>
                <a:t> 1,470 </a:t>
              </a:fld>
              <a:endParaRPr lang="en-IN" sz="1100" b="1"/>
            </a:p>
          </xdr:txBody>
        </xdr:sp>
        <xdr:pic>
          <xdr:nvPicPr>
            <xdr:cNvPr id="14" name="Graphic 13" descr="Users with solid fill">
              <a:extLst>
                <a:ext uri="{FF2B5EF4-FFF2-40B4-BE49-F238E27FC236}">
                  <a16:creationId xmlns:a16="http://schemas.microsoft.com/office/drawing/2014/main" id="{4A4C73CA-4950-D159-E325-4A2AB2EEE3C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50695" y="521370"/>
              <a:ext cx="681789" cy="681789"/>
            </a:xfrm>
            <a:prstGeom prst="rect">
              <a:avLst/>
            </a:prstGeom>
          </xdr:spPr>
        </xdr:pic>
      </xdr:grpSp>
      <xdr:grpSp>
        <xdr:nvGrpSpPr>
          <xdr:cNvPr id="16" name="Group 15">
            <a:extLst>
              <a:ext uri="{FF2B5EF4-FFF2-40B4-BE49-F238E27FC236}">
                <a16:creationId xmlns:a16="http://schemas.microsoft.com/office/drawing/2014/main" id="{88429E11-55E1-40D7-BB54-5E22257C9B73}"/>
              </a:ext>
            </a:extLst>
          </xdr:cNvPr>
          <xdr:cNvGrpSpPr/>
        </xdr:nvGrpSpPr>
        <xdr:grpSpPr>
          <a:xfrm>
            <a:off x="4796590" y="561473"/>
            <a:ext cx="2053390" cy="721896"/>
            <a:chOff x="2462463" y="513347"/>
            <a:chExt cx="2053390" cy="721896"/>
          </a:xfrm>
        </xdr:grpSpPr>
        <xdr:sp macro="" textlink="">
          <xdr:nvSpPr>
            <xdr:cNvPr id="17" name="Rectangle: Rounded Corners 16">
              <a:extLst>
                <a:ext uri="{FF2B5EF4-FFF2-40B4-BE49-F238E27FC236}">
                  <a16:creationId xmlns:a16="http://schemas.microsoft.com/office/drawing/2014/main" id="{BEEFFA8B-D009-66DB-353C-7D30F7A67469}"/>
                </a:ext>
              </a:extLst>
            </xdr:cNvPr>
            <xdr:cNvSpPr/>
          </xdr:nvSpPr>
          <xdr:spPr>
            <a:xfrm>
              <a:off x="2462463" y="513347"/>
              <a:ext cx="2053390" cy="721896"/>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rPr>
                <a:t>                           Employees</a:t>
              </a:r>
              <a:r>
                <a:rPr lang="en-IN" sz="1200" b="1" baseline="0">
                  <a:solidFill>
                    <a:schemeClr val="tx1"/>
                  </a:solidFill>
                </a:rPr>
                <a:t> Left</a:t>
              </a:r>
              <a:endParaRPr lang="en-IN" sz="1200" b="1">
                <a:solidFill>
                  <a:schemeClr val="tx1"/>
                </a:solidFill>
              </a:endParaRPr>
            </a:p>
          </xdr:txBody>
        </xdr:sp>
        <xdr:sp macro="" textlink="Analysis!B4">
          <xdr:nvSpPr>
            <xdr:cNvPr id="18" name="TextBox 17">
              <a:extLst>
                <a:ext uri="{FF2B5EF4-FFF2-40B4-BE49-F238E27FC236}">
                  <a16:creationId xmlns:a16="http://schemas.microsoft.com/office/drawing/2014/main" id="{6BA9666C-422A-B5C1-C9D1-5602C70BB33F}"/>
                </a:ext>
              </a:extLst>
            </xdr:cNvPr>
            <xdr:cNvSpPr txBox="1"/>
          </xdr:nvSpPr>
          <xdr:spPr>
            <a:xfrm>
              <a:off x="3280610" y="737937"/>
              <a:ext cx="922420" cy="376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01C0ACC-0BFB-4FA0-ACF9-AD7D761CE1B9}" type="TxLink">
                <a:rPr lang="en-US" sz="2000" b="1" i="0" u="none" strike="noStrike">
                  <a:solidFill>
                    <a:srgbClr val="000000"/>
                  </a:solidFill>
                  <a:latin typeface="Aptos Narrow"/>
                </a:rPr>
                <a:pPr/>
                <a:t>237</a:t>
              </a:fld>
              <a:endParaRPr lang="en-IN" sz="1100" b="1"/>
            </a:p>
          </xdr:txBody>
        </xdr:sp>
      </xdr:grpSp>
      <xdr:grpSp>
        <xdr:nvGrpSpPr>
          <xdr:cNvPr id="20" name="Group 19">
            <a:extLst>
              <a:ext uri="{FF2B5EF4-FFF2-40B4-BE49-F238E27FC236}">
                <a16:creationId xmlns:a16="http://schemas.microsoft.com/office/drawing/2014/main" id="{DBAC52DB-59F9-4646-8317-39CDC9DB5F6B}"/>
              </a:ext>
            </a:extLst>
          </xdr:cNvPr>
          <xdr:cNvGrpSpPr/>
        </xdr:nvGrpSpPr>
        <xdr:grpSpPr>
          <a:xfrm>
            <a:off x="7130716" y="561473"/>
            <a:ext cx="2053390" cy="721896"/>
            <a:chOff x="2462463" y="513347"/>
            <a:chExt cx="2053390" cy="721896"/>
          </a:xfrm>
        </xdr:grpSpPr>
        <xdr:sp macro="" textlink="">
          <xdr:nvSpPr>
            <xdr:cNvPr id="21" name="Rectangle: Rounded Corners 20">
              <a:extLst>
                <a:ext uri="{FF2B5EF4-FFF2-40B4-BE49-F238E27FC236}">
                  <a16:creationId xmlns:a16="http://schemas.microsoft.com/office/drawing/2014/main" id="{80D54828-17D1-6133-084F-2E804001DDFE}"/>
                </a:ext>
              </a:extLst>
            </xdr:cNvPr>
            <xdr:cNvSpPr/>
          </xdr:nvSpPr>
          <xdr:spPr>
            <a:xfrm>
              <a:off x="2462463" y="513347"/>
              <a:ext cx="2053390" cy="721896"/>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rPr>
                <a:t>                           Attrition</a:t>
              </a:r>
              <a:r>
                <a:rPr lang="en-IN" sz="1200" b="1" baseline="0">
                  <a:solidFill>
                    <a:schemeClr val="tx1"/>
                  </a:solidFill>
                </a:rPr>
                <a:t> Rate</a:t>
              </a:r>
              <a:endParaRPr lang="en-IN" sz="1200" b="1">
                <a:solidFill>
                  <a:schemeClr val="tx1"/>
                </a:solidFill>
              </a:endParaRPr>
            </a:p>
          </xdr:txBody>
        </xdr:sp>
        <xdr:sp macro="" textlink="Analysis!B5">
          <xdr:nvSpPr>
            <xdr:cNvPr id="22" name="TextBox 21">
              <a:extLst>
                <a:ext uri="{FF2B5EF4-FFF2-40B4-BE49-F238E27FC236}">
                  <a16:creationId xmlns:a16="http://schemas.microsoft.com/office/drawing/2014/main" id="{DAA39422-853F-6F18-88DE-794AB9FB3D9D}"/>
                </a:ext>
              </a:extLst>
            </xdr:cNvPr>
            <xdr:cNvSpPr txBox="1"/>
          </xdr:nvSpPr>
          <xdr:spPr>
            <a:xfrm>
              <a:off x="3248527" y="729917"/>
              <a:ext cx="1034716" cy="376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DB1E207-BF90-421B-9AA8-6823C905368E}" type="TxLink">
                <a:rPr lang="en-US" sz="2000" b="1" i="0" u="none" strike="noStrike">
                  <a:solidFill>
                    <a:srgbClr val="000000"/>
                  </a:solidFill>
                  <a:latin typeface="Aptos Narrow"/>
                </a:rPr>
                <a:pPr/>
                <a:t>16.12%</a:t>
              </a:fld>
              <a:endParaRPr lang="en-IN" sz="1100" b="1"/>
            </a:p>
          </xdr:txBody>
        </xdr:sp>
      </xdr:grpSp>
      <xdr:grpSp>
        <xdr:nvGrpSpPr>
          <xdr:cNvPr id="24" name="Group 23">
            <a:extLst>
              <a:ext uri="{FF2B5EF4-FFF2-40B4-BE49-F238E27FC236}">
                <a16:creationId xmlns:a16="http://schemas.microsoft.com/office/drawing/2014/main" id="{C3873DD2-8D4B-4334-B0B0-DC32D4500FA3}"/>
              </a:ext>
            </a:extLst>
          </xdr:cNvPr>
          <xdr:cNvGrpSpPr/>
        </xdr:nvGrpSpPr>
        <xdr:grpSpPr>
          <a:xfrm>
            <a:off x="11742821" y="561474"/>
            <a:ext cx="2053390" cy="721896"/>
            <a:chOff x="2462463" y="513347"/>
            <a:chExt cx="2053390" cy="721896"/>
          </a:xfrm>
        </xdr:grpSpPr>
        <xdr:sp macro="" textlink="">
          <xdr:nvSpPr>
            <xdr:cNvPr id="25" name="Rectangle: Rounded Corners 24">
              <a:extLst>
                <a:ext uri="{FF2B5EF4-FFF2-40B4-BE49-F238E27FC236}">
                  <a16:creationId xmlns:a16="http://schemas.microsoft.com/office/drawing/2014/main" id="{7E7FBF66-7634-2D23-188B-4ECAFD4F20E6}"/>
                </a:ext>
              </a:extLst>
            </xdr:cNvPr>
            <xdr:cNvSpPr/>
          </xdr:nvSpPr>
          <xdr:spPr>
            <a:xfrm>
              <a:off x="2462463" y="513347"/>
              <a:ext cx="2053390" cy="721896"/>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                         Avg.</a:t>
              </a:r>
              <a:r>
                <a:rPr lang="en-IN" sz="1100" b="1" baseline="0">
                  <a:solidFill>
                    <a:schemeClr val="tx1"/>
                  </a:solidFill>
                </a:rPr>
                <a:t> Years At Comp.</a:t>
              </a:r>
              <a:endParaRPr lang="en-IN" sz="1100" b="1">
                <a:solidFill>
                  <a:schemeClr val="tx1"/>
                </a:solidFill>
              </a:endParaRPr>
            </a:p>
          </xdr:txBody>
        </xdr:sp>
        <xdr:sp macro="" textlink="Analysis!B7">
          <xdr:nvSpPr>
            <xdr:cNvPr id="26" name="TextBox 25">
              <a:extLst>
                <a:ext uri="{FF2B5EF4-FFF2-40B4-BE49-F238E27FC236}">
                  <a16:creationId xmlns:a16="http://schemas.microsoft.com/office/drawing/2014/main" id="{886B52B9-98BA-6FFB-A067-8B1D5E266E98}"/>
                </a:ext>
              </a:extLst>
            </xdr:cNvPr>
            <xdr:cNvSpPr txBox="1"/>
          </xdr:nvSpPr>
          <xdr:spPr>
            <a:xfrm>
              <a:off x="3200400" y="737938"/>
              <a:ext cx="1034716" cy="376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4F27137-CA3E-487C-AD28-D8C72BA9C236}" type="TxLink">
                <a:rPr lang="en-US" sz="2000" b="1" i="0" u="none" strike="noStrike">
                  <a:solidFill>
                    <a:srgbClr val="000000"/>
                  </a:solidFill>
                  <a:latin typeface="Aptos Narrow"/>
                </a:rPr>
                <a:t>7.0</a:t>
              </a:fld>
              <a:endParaRPr lang="en-IN" sz="1100" b="1"/>
            </a:p>
          </xdr:txBody>
        </xdr:sp>
      </xdr:grpSp>
      <xdr:grpSp>
        <xdr:nvGrpSpPr>
          <xdr:cNvPr id="28" name="Group 27">
            <a:extLst>
              <a:ext uri="{FF2B5EF4-FFF2-40B4-BE49-F238E27FC236}">
                <a16:creationId xmlns:a16="http://schemas.microsoft.com/office/drawing/2014/main" id="{463183D8-74DF-4AA7-9E02-79918B95C160}"/>
              </a:ext>
            </a:extLst>
          </xdr:cNvPr>
          <xdr:cNvGrpSpPr/>
        </xdr:nvGrpSpPr>
        <xdr:grpSpPr>
          <a:xfrm>
            <a:off x="9456822" y="561474"/>
            <a:ext cx="2053390" cy="721896"/>
            <a:chOff x="2462463" y="513347"/>
            <a:chExt cx="2053390" cy="721896"/>
          </a:xfrm>
        </xdr:grpSpPr>
        <xdr:sp macro="" textlink="">
          <xdr:nvSpPr>
            <xdr:cNvPr id="29" name="Rectangle: Rounded Corners 28">
              <a:extLst>
                <a:ext uri="{FF2B5EF4-FFF2-40B4-BE49-F238E27FC236}">
                  <a16:creationId xmlns:a16="http://schemas.microsoft.com/office/drawing/2014/main" id="{08034A23-F1F9-A1FA-6520-721D1A1384C0}"/>
                </a:ext>
              </a:extLst>
            </xdr:cNvPr>
            <xdr:cNvSpPr/>
          </xdr:nvSpPr>
          <xdr:spPr>
            <a:xfrm>
              <a:off x="2462463" y="513347"/>
              <a:ext cx="2053390" cy="721896"/>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rPr>
                <a:t>                           Average</a:t>
              </a:r>
              <a:r>
                <a:rPr lang="en-IN" sz="1200" b="1" baseline="0">
                  <a:solidFill>
                    <a:schemeClr val="tx1"/>
                  </a:solidFill>
                </a:rPr>
                <a:t> Salary</a:t>
              </a:r>
              <a:endParaRPr lang="en-IN" sz="1200" b="1">
                <a:solidFill>
                  <a:schemeClr val="tx1"/>
                </a:solidFill>
              </a:endParaRPr>
            </a:p>
          </xdr:txBody>
        </xdr:sp>
        <xdr:sp macro="" textlink="Analysis!B6">
          <xdr:nvSpPr>
            <xdr:cNvPr id="30" name="TextBox 29">
              <a:extLst>
                <a:ext uri="{FF2B5EF4-FFF2-40B4-BE49-F238E27FC236}">
                  <a16:creationId xmlns:a16="http://schemas.microsoft.com/office/drawing/2014/main" id="{B40C8B85-962E-B89B-E40B-1731BCEBFA02}"/>
                </a:ext>
              </a:extLst>
            </xdr:cNvPr>
            <xdr:cNvSpPr txBox="1"/>
          </xdr:nvSpPr>
          <xdr:spPr>
            <a:xfrm>
              <a:off x="3280610" y="729916"/>
              <a:ext cx="1034716" cy="376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A072847-7008-46C3-AD5C-D8B97983C341}" type="TxLink">
                <a:rPr lang="en-US" sz="2000" b="1" i="0" u="none" strike="noStrike">
                  <a:solidFill>
                    <a:srgbClr val="000000"/>
                  </a:solidFill>
                  <a:latin typeface="Aptos Narrow"/>
                </a:rPr>
                <a:pPr/>
                <a:t>₹ 6,503</a:t>
              </a:fld>
              <a:endParaRPr lang="en-IN" sz="1100" b="1"/>
            </a:p>
          </xdr:txBody>
        </xdr:sp>
      </xdr:grpSp>
      <xdr:pic>
        <xdr:nvPicPr>
          <xdr:cNvPr id="37" name="Graphic 36" descr="Exit with solid fill">
            <a:extLst>
              <a:ext uri="{FF2B5EF4-FFF2-40B4-BE49-F238E27FC236}">
                <a16:creationId xmlns:a16="http://schemas.microsoft.com/office/drawing/2014/main" id="{98731205-D6A4-FC52-9CF9-E50CFB9CF52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932947" y="633662"/>
            <a:ext cx="577517" cy="577517"/>
          </a:xfrm>
          <a:prstGeom prst="rect">
            <a:avLst/>
          </a:prstGeom>
        </xdr:spPr>
      </xdr:pic>
      <xdr:pic>
        <xdr:nvPicPr>
          <xdr:cNvPr id="39" name="Graphic 38" descr="Bar graph with downward trend with solid fill">
            <a:extLst>
              <a:ext uri="{FF2B5EF4-FFF2-40B4-BE49-F238E27FC236}">
                <a16:creationId xmlns:a16="http://schemas.microsoft.com/office/drawing/2014/main" id="{2CF5A015-CBDD-64E1-D303-20F0EF4B05D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202906" y="577518"/>
            <a:ext cx="649704" cy="649704"/>
          </a:xfrm>
          <a:prstGeom prst="rect">
            <a:avLst/>
          </a:prstGeom>
        </xdr:spPr>
      </xdr:pic>
      <xdr:pic>
        <xdr:nvPicPr>
          <xdr:cNvPr id="41" name="Graphic 40" descr="Wallet with solid fill">
            <a:extLst>
              <a:ext uri="{FF2B5EF4-FFF2-40B4-BE49-F238E27FC236}">
                <a16:creationId xmlns:a16="http://schemas.microsoft.com/office/drawing/2014/main" id="{2CFDBF8D-A276-77DF-1727-13281DE0879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512969" y="577515"/>
            <a:ext cx="665747" cy="665747"/>
          </a:xfrm>
          <a:prstGeom prst="rect">
            <a:avLst/>
          </a:prstGeom>
        </xdr:spPr>
      </xdr:pic>
      <xdr:pic>
        <xdr:nvPicPr>
          <xdr:cNvPr id="43" name="Graphic 42" descr="Clock with solid fill">
            <a:extLst>
              <a:ext uri="{FF2B5EF4-FFF2-40B4-BE49-F238E27FC236}">
                <a16:creationId xmlns:a16="http://schemas.microsoft.com/office/drawing/2014/main" id="{433BC4A3-240D-79CD-55F9-40067AC0379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798970" y="569496"/>
            <a:ext cx="689810" cy="689810"/>
          </a:xfrm>
          <a:prstGeom prst="rect">
            <a:avLst/>
          </a:prstGeom>
        </xdr:spPr>
      </xdr:pic>
    </xdr:grpSp>
    <xdr:clientData/>
  </xdr:twoCellAnchor>
  <xdr:twoCellAnchor>
    <xdr:from>
      <xdr:col>4</xdr:col>
      <xdr:colOff>99915</xdr:colOff>
      <xdr:row>9</xdr:row>
      <xdr:rowOff>8021</xdr:rowOff>
    </xdr:from>
    <xdr:to>
      <xdr:col>10</xdr:col>
      <xdr:colOff>496486</xdr:colOff>
      <xdr:row>22</xdr:row>
      <xdr:rowOff>176463</xdr:rowOff>
    </xdr:to>
    <xdr:sp macro="" textlink="">
      <xdr:nvSpPr>
        <xdr:cNvPr id="69" name="Rectangle: Rounded Corners 68">
          <a:extLst>
            <a:ext uri="{FF2B5EF4-FFF2-40B4-BE49-F238E27FC236}">
              <a16:creationId xmlns:a16="http://schemas.microsoft.com/office/drawing/2014/main" id="{FEDBC619-CA76-876A-A8BB-D399560190B4}"/>
            </a:ext>
          </a:extLst>
        </xdr:cNvPr>
        <xdr:cNvSpPr/>
      </xdr:nvSpPr>
      <xdr:spPr>
        <a:xfrm>
          <a:off x="2520386" y="1632874"/>
          <a:ext cx="4027276" cy="2499265"/>
        </a:xfrm>
        <a:prstGeom prst="roundRect">
          <a:avLst>
            <a:gd name="adj" fmla="val 697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228252</xdr:colOff>
      <xdr:row>10</xdr:row>
      <xdr:rowOff>64168</xdr:rowOff>
    </xdr:from>
    <xdr:to>
      <xdr:col>10</xdr:col>
      <xdr:colOff>448357</xdr:colOff>
      <xdr:row>22</xdr:row>
      <xdr:rowOff>112294</xdr:rowOff>
    </xdr:to>
    <xdr:graphicFrame macro="">
      <xdr:nvGraphicFramePr>
        <xdr:cNvPr id="70" name="Chart 69">
          <a:extLst>
            <a:ext uri="{FF2B5EF4-FFF2-40B4-BE49-F238E27FC236}">
              <a16:creationId xmlns:a16="http://schemas.microsoft.com/office/drawing/2014/main" id="{12C9A9E8-2D43-478A-92A5-35B8489B2D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83873</xdr:colOff>
      <xdr:row>9</xdr:row>
      <xdr:rowOff>0</xdr:rowOff>
    </xdr:from>
    <xdr:to>
      <xdr:col>17</xdr:col>
      <xdr:colOff>480444</xdr:colOff>
      <xdr:row>22</xdr:row>
      <xdr:rowOff>168442</xdr:rowOff>
    </xdr:to>
    <xdr:sp macro="" textlink="">
      <xdr:nvSpPr>
        <xdr:cNvPr id="71" name="Rectangle: Rounded Corners 70">
          <a:extLst>
            <a:ext uri="{FF2B5EF4-FFF2-40B4-BE49-F238E27FC236}">
              <a16:creationId xmlns:a16="http://schemas.microsoft.com/office/drawing/2014/main" id="{3FE2D7C9-9A1F-4A5E-B136-B3F7E21D4201}"/>
            </a:ext>
          </a:extLst>
        </xdr:cNvPr>
        <xdr:cNvSpPr/>
      </xdr:nvSpPr>
      <xdr:spPr>
        <a:xfrm>
          <a:off x="6740167" y="1613647"/>
          <a:ext cx="4027277" cy="2499266"/>
        </a:xfrm>
        <a:prstGeom prst="roundRect">
          <a:avLst>
            <a:gd name="adj" fmla="val 697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83873</xdr:colOff>
      <xdr:row>9</xdr:row>
      <xdr:rowOff>0</xdr:rowOff>
    </xdr:from>
    <xdr:to>
      <xdr:col>24</xdr:col>
      <xdr:colOff>480444</xdr:colOff>
      <xdr:row>22</xdr:row>
      <xdr:rowOff>168442</xdr:rowOff>
    </xdr:to>
    <xdr:sp macro="" textlink="">
      <xdr:nvSpPr>
        <xdr:cNvPr id="72" name="Rectangle: Rounded Corners 71">
          <a:extLst>
            <a:ext uri="{FF2B5EF4-FFF2-40B4-BE49-F238E27FC236}">
              <a16:creationId xmlns:a16="http://schemas.microsoft.com/office/drawing/2014/main" id="{9DFA7E28-8C6F-4A80-8E6E-1D0785EFDE1E}"/>
            </a:ext>
          </a:extLst>
        </xdr:cNvPr>
        <xdr:cNvSpPr/>
      </xdr:nvSpPr>
      <xdr:spPr>
        <a:xfrm>
          <a:off x="10975991" y="1613647"/>
          <a:ext cx="4027277" cy="2499266"/>
        </a:xfrm>
        <a:prstGeom prst="roundRect">
          <a:avLst>
            <a:gd name="adj" fmla="val 697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172105</xdr:colOff>
      <xdr:row>10</xdr:row>
      <xdr:rowOff>95250</xdr:rowOff>
    </xdr:from>
    <xdr:to>
      <xdr:col>17</xdr:col>
      <xdr:colOff>372629</xdr:colOff>
      <xdr:row>22</xdr:row>
      <xdr:rowOff>136356</xdr:rowOff>
    </xdr:to>
    <xdr:graphicFrame macro="">
      <xdr:nvGraphicFramePr>
        <xdr:cNvPr id="73" name="Chart 72">
          <a:extLst>
            <a:ext uri="{FF2B5EF4-FFF2-40B4-BE49-F238E27FC236}">
              <a16:creationId xmlns:a16="http://schemas.microsoft.com/office/drawing/2014/main" id="{F19CD620-4851-4349-B1BE-F811B813E7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115957</xdr:colOff>
      <xdr:row>10</xdr:row>
      <xdr:rowOff>0</xdr:rowOff>
    </xdr:from>
    <xdr:to>
      <xdr:col>24</xdr:col>
      <xdr:colOff>424295</xdr:colOff>
      <xdr:row>22</xdr:row>
      <xdr:rowOff>96253</xdr:rowOff>
    </xdr:to>
    <xdr:graphicFrame macro="">
      <xdr:nvGraphicFramePr>
        <xdr:cNvPr id="74" name="Chart 73">
          <a:extLst>
            <a:ext uri="{FF2B5EF4-FFF2-40B4-BE49-F238E27FC236}">
              <a16:creationId xmlns:a16="http://schemas.microsoft.com/office/drawing/2014/main" id="{45723C31-9072-47A9-BC8B-7F576D5F31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99913</xdr:colOff>
      <xdr:row>24</xdr:row>
      <xdr:rowOff>24063</xdr:rowOff>
    </xdr:from>
    <xdr:to>
      <xdr:col>10</xdr:col>
      <xdr:colOff>496484</xdr:colOff>
      <xdr:row>38</xdr:row>
      <xdr:rowOff>8021</xdr:rowOff>
    </xdr:to>
    <xdr:sp macro="" textlink="">
      <xdr:nvSpPr>
        <xdr:cNvPr id="75" name="Rectangle: Rounded Corners 74">
          <a:extLst>
            <a:ext uri="{FF2B5EF4-FFF2-40B4-BE49-F238E27FC236}">
              <a16:creationId xmlns:a16="http://schemas.microsoft.com/office/drawing/2014/main" id="{91F8A6BC-4502-470F-A7E4-6BC13042C2E9}"/>
            </a:ext>
          </a:extLst>
        </xdr:cNvPr>
        <xdr:cNvSpPr/>
      </xdr:nvSpPr>
      <xdr:spPr>
        <a:xfrm>
          <a:off x="2520384" y="4327122"/>
          <a:ext cx="4027276" cy="2494075"/>
        </a:xfrm>
        <a:prstGeom prst="roundRect">
          <a:avLst>
            <a:gd name="adj" fmla="val 697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99915</xdr:colOff>
      <xdr:row>24</xdr:row>
      <xdr:rowOff>24063</xdr:rowOff>
    </xdr:from>
    <xdr:to>
      <xdr:col>17</xdr:col>
      <xdr:colOff>496486</xdr:colOff>
      <xdr:row>38</xdr:row>
      <xdr:rowOff>8021</xdr:rowOff>
    </xdr:to>
    <xdr:sp macro="" textlink="">
      <xdr:nvSpPr>
        <xdr:cNvPr id="76" name="Rectangle: Rounded Corners 75">
          <a:extLst>
            <a:ext uri="{FF2B5EF4-FFF2-40B4-BE49-F238E27FC236}">
              <a16:creationId xmlns:a16="http://schemas.microsoft.com/office/drawing/2014/main" id="{55BBC3E1-1D7B-4258-9D89-A14DDF549C90}"/>
            </a:ext>
          </a:extLst>
        </xdr:cNvPr>
        <xdr:cNvSpPr/>
      </xdr:nvSpPr>
      <xdr:spPr>
        <a:xfrm>
          <a:off x="6756209" y="4327122"/>
          <a:ext cx="4027277" cy="2494075"/>
        </a:xfrm>
        <a:prstGeom prst="roundRect">
          <a:avLst>
            <a:gd name="adj" fmla="val 697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91892</xdr:colOff>
      <xdr:row>24</xdr:row>
      <xdr:rowOff>32085</xdr:rowOff>
    </xdr:from>
    <xdr:to>
      <xdr:col>24</xdr:col>
      <xdr:colOff>488463</xdr:colOff>
      <xdr:row>38</xdr:row>
      <xdr:rowOff>16043</xdr:rowOff>
    </xdr:to>
    <xdr:sp macro="" textlink="">
      <xdr:nvSpPr>
        <xdr:cNvPr id="77" name="Rectangle: Rounded Corners 76">
          <a:extLst>
            <a:ext uri="{FF2B5EF4-FFF2-40B4-BE49-F238E27FC236}">
              <a16:creationId xmlns:a16="http://schemas.microsoft.com/office/drawing/2014/main" id="{CD9246C0-BAEF-46F4-A5E6-9D25DABE1E71}"/>
            </a:ext>
          </a:extLst>
        </xdr:cNvPr>
        <xdr:cNvSpPr/>
      </xdr:nvSpPr>
      <xdr:spPr>
        <a:xfrm>
          <a:off x="10984010" y="4335144"/>
          <a:ext cx="4027277" cy="2494075"/>
        </a:xfrm>
        <a:prstGeom prst="roundRect">
          <a:avLst>
            <a:gd name="adj" fmla="val 697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108520</xdr:colOff>
      <xdr:row>25</xdr:row>
      <xdr:rowOff>79876</xdr:rowOff>
    </xdr:from>
    <xdr:to>
      <xdr:col>10</xdr:col>
      <xdr:colOff>360712</xdr:colOff>
      <xdr:row>37</xdr:row>
      <xdr:rowOff>144045</xdr:rowOff>
    </xdr:to>
    <xdr:graphicFrame macro="">
      <xdr:nvGraphicFramePr>
        <xdr:cNvPr id="78" name="Chart 77">
          <a:extLst>
            <a:ext uri="{FF2B5EF4-FFF2-40B4-BE49-F238E27FC236}">
              <a16:creationId xmlns:a16="http://schemas.microsoft.com/office/drawing/2014/main" id="{FDA01802-9576-4202-ACCF-EFBF82E562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148039</xdr:colOff>
      <xdr:row>25</xdr:row>
      <xdr:rowOff>104274</xdr:rowOff>
    </xdr:from>
    <xdr:to>
      <xdr:col>17</xdr:col>
      <xdr:colOff>440336</xdr:colOff>
      <xdr:row>37</xdr:row>
      <xdr:rowOff>128337</xdr:rowOff>
    </xdr:to>
    <xdr:graphicFrame macro="">
      <xdr:nvGraphicFramePr>
        <xdr:cNvPr id="80" name="Chart 79">
          <a:extLst>
            <a:ext uri="{FF2B5EF4-FFF2-40B4-BE49-F238E27FC236}">
              <a16:creationId xmlns:a16="http://schemas.microsoft.com/office/drawing/2014/main" id="{4349A9B4-1CB0-4632-A1E8-6BA253E1B9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148039</xdr:colOff>
      <xdr:row>25</xdr:row>
      <xdr:rowOff>32085</xdr:rowOff>
    </xdr:from>
    <xdr:to>
      <xdr:col>24</xdr:col>
      <xdr:colOff>440336</xdr:colOff>
      <xdr:row>37</xdr:row>
      <xdr:rowOff>112294</xdr:rowOff>
    </xdr:to>
    <xdr:graphicFrame macro="">
      <xdr:nvGraphicFramePr>
        <xdr:cNvPr id="81" name="Chart 80">
          <a:extLst>
            <a:ext uri="{FF2B5EF4-FFF2-40B4-BE49-F238E27FC236}">
              <a16:creationId xmlns:a16="http://schemas.microsoft.com/office/drawing/2014/main" id="{D6878AD1-3851-41C5-8053-AB4BF8B029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xdr:col>
      <xdr:colOff>88129</xdr:colOff>
      <xdr:row>39</xdr:row>
      <xdr:rowOff>0</xdr:rowOff>
    </xdr:from>
    <xdr:to>
      <xdr:col>17</xdr:col>
      <xdr:colOff>476877</xdr:colOff>
      <xdr:row>52</xdr:row>
      <xdr:rowOff>162698</xdr:rowOff>
    </xdr:to>
    <xdr:sp macro="" textlink="">
      <xdr:nvSpPr>
        <xdr:cNvPr id="93" name="Rectangle: Rounded Corners 92">
          <a:extLst>
            <a:ext uri="{FF2B5EF4-FFF2-40B4-BE49-F238E27FC236}">
              <a16:creationId xmlns:a16="http://schemas.microsoft.com/office/drawing/2014/main" id="{3539A948-0B54-43DC-B611-6C6D2D926049}"/>
            </a:ext>
          </a:extLst>
        </xdr:cNvPr>
        <xdr:cNvSpPr/>
      </xdr:nvSpPr>
      <xdr:spPr>
        <a:xfrm>
          <a:off x="2508600" y="6992471"/>
          <a:ext cx="8255277" cy="2493521"/>
        </a:xfrm>
        <a:prstGeom prst="roundRect">
          <a:avLst>
            <a:gd name="adj" fmla="val 697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135166</xdr:colOff>
      <xdr:row>40</xdr:row>
      <xdr:rowOff>141111</xdr:rowOff>
    </xdr:from>
    <xdr:to>
      <xdr:col>17</xdr:col>
      <xdr:colOff>429840</xdr:colOff>
      <xdr:row>52</xdr:row>
      <xdr:rowOff>103481</xdr:rowOff>
    </xdr:to>
    <xdr:graphicFrame macro="">
      <xdr:nvGraphicFramePr>
        <xdr:cNvPr id="94" name="Chart 93">
          <a:extLst>
            <a:ext uri="{FF2B5EF4-FFF2-40B4-BE49-F238E27FC236}">
              <a16:creationId xmlns:a16="http://schemas.microsoft.com/office/drawing/2014/main" id="{4D77CD80-473F-4A1C-A381-C15967DF6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18</xdr:col>
      <xdr:colOff>91892</xdr:colOff>
      <xdr:row>39</xdr:row>
      <xdr:rowOff>16042</xdr:rowOff>
    </xdr:from>
    <xdr:to>
      <xdr:col>24</xdr:col>
      <xdr:colOff>488463</xdr:colOff>
      <xdr:row>53</xdr:row>
      <xdr:rowOff>0</xdr:rowOff>
    </xdr:to>
    <xdr:sp macro="" textlink="">
      <xdr:nvSpPr>
        <xdr:cNvPr id="96" name="Rectangle: Rounded Corners 95">
          <a:extLst>
            <a:ext uri="{FF2B5EF4-FFF2-40B4-BE49-F238E27FC236}">
              <a16:creationId xmlns:a16="http://schemas.microsoft.com/office/drawing/2014/main" id="{05670A05-380F-44E6-8A6A-C7DFBFF73849}"/>
            </a:ext>
          </a:extLst>
        </xdr:cNvPr>
        <xdr:cNvSpPr/>
      </xdr:nvSpPr>
      <xdr:spPr>
        <a:xfrm>
          <a:off x="11021830" y="6993105"/>
          <a:ext cx="4039883" cy="2484270"/>
        </a:xfrm>
        <a:prstGeom prst="roundRect">
          <a:avLst>
            <a:gd name="adj" fmla="val 697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534780</xdr:colOff>
      <xdr:row>9</xdr:row>
      <xdr:rowOff>105507</xdr:rowOff>
    </xdr:from>
    <xdr:to>
      <xdr:col>15</xdr:col>
      <xdr:colOff>527538</xdr:colOff>
      <xdr:row>10</xdr:row>
      <xdr:rowOff>142487</xdr:rowOff>
    </xdr:to>
    <xdr:sp macro="" textlink="">
      <xdr:nvSpPr>
        <xdr:cNvPr id="8" name="TextBox 7">
          <a:extLst>
            <a:ext uri="{FF2B5EF4-FFF2-40B4-BE49-F238E27FC236}">
              <a16:creationId xmlns:a16="http://schemas.microsoft.com/office/drawing/2014/main" id="{BBEA89E6-387C-7008-424B-6952BA7D0A4A}"/>
            </a:ext>
          </a:extLst>
        </xdr:cNvPr>
        <xdr:cNvSpPr txBox="1"/>
      </xdr:nvSpPr>
      <xdr:spPr>
        <a:xfrm>
          <a:off x="7849980" y="1793630"/>
          <a:ext cx="1821558" cy="2245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tx2">
                  <a:lumMod val="90000"/>
                  <a:lumOff val="10000"/>
                </a:schemeClr>
              </a:solidFill>
            </a:rPr>
            <a:t>Attrition by Job Role</a:t>
          </a:r>
        </a:p>
      </xdr:txBody>
    </xdr:sp>
    <xdr:clientData/>
  </xdr:twoCellAnchor>
  <xdr:twoCellAnchor>
    <xdr:from>
      <xdr:col>6</xdr:col>
      <xdr:colOff>67235</xdr:colOff>
      <xdr:row>9</xdr:row>
      <xdr:rowOff>67233</xdr:rowOff>
    </xdr:from>
    <xdr:to>
      <xdr:col>8</xdr:col>
      <xdr:colOff>560294</xdr:colOff>
      <xdr:row>10</xdr:row>
      <xdr:rowOff>112058</xdr:rowOff>
    </xdr:to>
    <xdr:sp macro="" textlink="">
      <xdr:nvSpPr>
        <xdr:cNvPr id="9" name="TextBox 8">
          <a:extLst>
            <a:ext uri="{FF2B5EF4-FFF2-40B4-BE49-F238E27FC236}">
              <a16:creationId xmlns:a16="http://schemas.microsoft.com/office/drawing/2014/main" id="{7311FCB7-EE00-A13C-9F3D-74EA6B22D65D}"/>
            </a:ext>
          </a:extLst>
        </xdr:cNvPr>
        <xdr:cNvSpPr txBox="1"/>
      </xdr:nvSpPr>
      <xdr:spPr>
        <a:xfrm>
          <a:off x="3697941" y="1692086"/>
          <a:ext cx="1703294" cy="224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2">
                  <a:lumMod val="90000"/>
                  <a:lumOff val="10000"/>
                </a:schemeClr>
              </a:solidFill>
            </a:rPr>
            <a:t>Attrition by Department</a:t>
          </a:r>
        </a:p>
      </xdr:txBody>
    </xdr:sp>
    <xdr:clientData/>
  </xdr:twoCellAnchor>
  <xdr:twoCellAnchor>
    <xdr:from>
      <xdr:col>20</xdr:col>
      <xdr:colOff>14304</xdr:colOff>
      <xdr:row>9</xdr:row>
      <xdr:rowOff>42022</xdr:rowOff>
    </xdr:from>
    <xdr:to>
      <xdr:col>23</xdr:col>
      <xdr:colOff>7062</xdr:colOff>
      <xdr:row>10</xdr:row>
      <xdr:rowOff>79002</xdr:rowOff>
    </xdr:to>
    <xdr:sp macro="" textlink="">
      <xdr:nvSpPr>
        <xdr:cNvPr id="10" name="TextBox 9">
          <a:extLst>
            <a:ext uri="{FF2B5EF4-FFF2-40B4-BE49-F238E27FC236}">
              <a16:creationId xmlns:a16="http://schemas.microsoft.com/office/drawing/2014/main" id="{45B5B2FB-FB75-470E-B2E0-9FEF517094A4}"/>
            </a:ext>
          </a:extLst>
        </xdr:cNvPr>
        <xdr:cNvSpPr txBox="1"/>
      </xdr:nvSpPr>
      <xdr:spPr>
        <a:xfrm>
          <a:off x="12238054" y="1693022"/>
          <a:ext cx="1826321" cy="2195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tx2">
                  <a:lumMod val="90000"/>
                  <a:lumOff val="10000"/>
                </a:schemeClr>
              </a:solidFill>
            </a:rPr>
            <a:t>Attrition by Age Group</a:t>
          </a:r>
        </a:p>
      </xdr:txBody>
    </xdr:sp>
    <xdr:clientData/>
  </xdr:twoCellAnchor>
  <xdr:twoCellAnchor>
    <xdr:from>
      <xdr:col>6</xdr:col>
      <xdr:colOff>107384</xdr:colOff>
      <xdr:row>24</xdr:row>
      <xdr:rowOff>32934</xdr:rowOff>
    </xdr:from>
    <xdr:to>
      <xdr:col>8</xdr:col>
      <xdr:colOff>600443</xdr:colOff>
      <xdr:row>25</xdr:row>
      <xdr:rowOff>77760</xdr:rowOff>
    </xdr:to>
    <xdr:sp macro="" textlink="">
      <xdr:nvSpPr>
        <xdr:cNvPr id="11" name="TextBox 10">
          <a:extLst>
            <a:ext uri="{FF2B5EF4-FFF2-40B4-BE49-F238E27FC236}">
              <a16:creationId xmlns:a16="http://schemas.microsoft.com/office/drawing/2014/main" id="{455C4829-2783-4622-886C-F14E2E47C925}"/>
            </a:ext>
          </a:extLst>
        </xdr:cNvPr>
        <xdr:cNvSpPr txBox="1"/>
      </xdr:nvSpPr>
      <xdr:spPr>
        <a:xfrm>
          <a:off x="3774509" y="4422372"/>
          <a:ext cx="1715434" cy="227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2">
                  <a:lumMod val="90000"/>
                  <a:lumOff val="10000"/>
                </a:schemeClr>
              </a:solidFill>
            </a:rPr>
            <a:t>Attrition by Salary Range</a:t>
          </a:r>
        </a:p>
      </xdr:txBody>
    </xdr:sp>
    <xdr:clientData/>
  </xdr:twoCellAnchor>
  <xdr:twoCellAnchor>
    <xdr:from>
      <xdr:col>13</xdr:col>
      <xdr:colOff>17270</xdr:colOff>
      <xdr:row>24</xdr:row>
      <xdr:rowOff>32933</xdr:rowOff>
    </xdr:from>
    <xdr:to>
      <xdr:col>16</xdr:col>
      <xdr:colOff>222249</xdr:colOff>
      <xdr:row>25</xdr:row>
      <xdr:rowOff>111124</xdr:rowOff>
    </xdr:to>
    <xdr:sp macro="" textlink="">
      <xdr:nvSpPr>
        <xdr:cNvPr id="13" name="TextBox 12">
          <a:extLst>
            <a:ext uri="{FF2B5EF4-FFF2-40B4-BE49-F238E27FC236}">
              <a16:creationId xmlns:a16="http://schemas.microsoft.com/office/drawing/2014/main" id="{9EFE6850-35EE-4A1F-8DE0-39CC7E4BEE7F}"/>
            </a:ext>
          </a:extLst>
        </xdr:cNvPr>
        <xdr:cNvSpPr txBox="1"/>
      </xdr:nvSpPr>
      <xdr:spPr>
        <a:xfrm>
          <a:off x="7962708" y="4422371"/>
          <a:ext cx="2038541" cy="260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2">
                  <a:lumMod val="90000"/>
                  <a:lumOff val="10000"/>
                </a:schemeClr>
              </a:solidFill>
            </a:rPr>
            <a:t>Attrition by Years at Company</a:t>
          </a:r>
        </a:p>
      </xdr:txBody>
    </xdr:sp>
    <xdr:clientData/>
  </xdr:twoCellAnchor>
  <xdr:twoCellAnchor>
    <xdr:from>
      <xdr:col>20</xdr:col>
      <xdr:colOff>371572</xdr:colOff>
      <xdr:row>24</xdr:row>
      <xdr:rowOff>48893</xdr:rowOff>
    </xdr:from>
    <xdr:to>
      <xdr:col>22</xdr:col>
      <xdr:colOff>539750</xdr:colOff>
      <xdr:row>25</xdr:row>
      <xdr:rowOff>127084</xdr:rowOff>
    </xdr:to>
    <xdr:sp macro="" textlink="">
      <xdr:nvSpPr>
        <xdr:cNvPr id="19" name="TextBox 18">
          <a:extLst>
            <a:ext uri="{FF2B5EF4-FFF2-40B4-BE49-F238E27FC236}">
              <a16:creationId xmlns:a16="http://schemas.microsoft.com/office/drawing/2014/main" id="{C9F7F726-F867-4616-B95A-750CC37BEEFD}"/>
            </a:ext>
          </a:extLst>
        </xdr:cNvPr>
        <xdr:cNvSpPr txBox="1"/>
      </xdr:nvSpPr>
      <xdr:spPr>
        <a:xfrm>
          <a:off x="12595322" y="4438331"/>
          <a:ext cx="1390553" cy="260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2">
                  <a:lumMod val="90000"/>
                  <a:lumOff val="10000"/>
                </a:schemeClr>
              </a:solidFill>
            </a:rPr>
            <a:t>Attrition by gender</a:t>
          </a:r>
        </a:p>
      </xdr:txBody>
    </xdr:sp>
    <xdr:clientData/>
  </xdr:twoCellAnchor>
  <xdr:twoCellAnchor>
    <xdr:from>
      <xdr:col>9</xdr:col>
      <xdr:colOff>519966</xdr:colOff>
      <xdr:row>39</xdr:row>
      <xdr:rowOff>41545</xdr:rowOff>
    </xdr:from>
    <xdr:to>
      <xdr:col>12</xdr:col>
      <xdr:colOff>604024</xdr:colOff>
      <xdr:row>40</xdr:row>
      <xdr:rowOff>139390</xdr:rowOff>
    </xdr:to>
    <xdr:sp macro="" textlink="">
      <xdr:nvSpPr>
        <xdr:cNvPr id="23" name="TextBox 22">
          <a:extLst>
            <a:ext uri="{FF2B5EF4-FFF2-40B4-BE49-F238E27FC236}">
              <a16:creationId xmlns:a16="http://schemas.microsoft.com/office/drawing/2014/main" id="{930807D8-0DB8-409B-99A4-4FB809E9BA3D}"/>
            </a:ext>
          </a:extLst>
        </xdr:cNvPr>
        <xdr:cNvSpPr txBox="1"/>
      </xdr:nvSpPr>
      <xdr:spPr>
        <a:xfrm>
          <a:off x="6039820" y="7299130"/>
          <a:ext cx="1924009" cy="283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2">
                  <a:lumMod val="90000"/>
                  <a:lumOff val="10000"/>
                </a:schemeClr>
              </a:solidFill>
            </a:rPr>
            <a:t>Job Satiffaction vs attrition</a:t>
          </a:r>
        </a:p>
      </xdr:txBody>
    </xdr:sp>
    <xdr:clientData/>
  </xdr:twoCellAnchor>
  <xdr:twoCellAnchor>
    <xdr:from>
      <xdr:col>20</xdr:col>
      <xdr:colOff>446980</xdr:colOff>
      <xdr:row>39</xdr:row>
      <xdr:rowOff>67170</xdr:rowOff>
    </xdr:from>
    <xdr:to>
      <xdr:col>22</xdr:col>
      <xdr:colOff>345282</xdr:colOff>
      <xdr:row>40</xdr:row>
      <xdr:rowOff>119063</xdr:rowOff>
    </xdr:to>
    <xdr:sp macro="" textlink="">
      <xdr:nvSpPr>
        <xdr:cNvPr id="27" name="TextBox 26">
          <a:extLst>
            <a:ext uri="{FF2B5EF4-FFF2-40B4-BE49-F238E27FC236}">
              <a16:creationId xmlns:a16="http://schemas.microsoft.com/office/drawing/2014/main" id="{CADE3487-829B-4E60-B50C-497DCEFCFAAB}"/>
            </a:ext>
          </a:extLst>
        </xdr:cNvPr>
        <xdr:cNvSpPr txBox="1"/>
      </xdr:nvSpPr>
      <xdr:spPr>
        <a:xfrm>
          <a:off x="12591355" y="7044233"/>
          <a:ext cx="1112740" cy="230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KEY INSIGHTS</a:t>
          </a:r>
          <a:endParaRPr lang="en-IN" sz="1200" b="1">
            <a:solidFill>
              <a:schemeClr val="tx2">
                <a:lumMod val="90000"/>
                <a:lumOff val="10000"/>
              </a:schemeClr>
            </a:solidFill>
          </a:endParaRPr>
        </a:p>
      </xdr:txBody>
    </xdr:sp>
    <xdr:clientData/>
  </xdr:twoCellAnchor>
  <xdr:twoCellAnchor>
    <xdr:from>
      <xdr:col>18</xdr:col>
      <xdr:colOff>128337</xdr:colOff>
      <xdr:row>41</xdr:row>
      <xdr:rowOff>11906</xdr:rowOff>
    </xdr:from>
    <xdr:to>
      <xdr:col>24</xdr:col>
      <xdr:colOff>433137</xdr:colOff>
      <xdr:row>52</xdr:row>
      <xdr:rowOff>47625</xdr:rowOff>
    </xdr:to>
    <xdr:sp macro="" textlink="">
      <xdr:nvSpPr>
        <xdr:cNvPr id="31" name="TextBox 30">
          <a:extLst>
            <a:ext uri="{FF2B5EF4-FFF2-40B4-BE49-F238E27FC236}">
              <a16:creationId xmlns:a16="http://schemas.microsoft.com/office/drawing/2014/main" id="{9052E04D-785E-686D-35E0-19C3B510FE48}"/>
            </a:ext>
          </a:extLst>
        </xdr:cNvPr>
        <xdr:cNvSpPr txBox="1"/>
      </xdr:nvSpPr>
      <xdr:spPr>
        <a:xfrm>
          <a:off x="11101137" y="7583780"/>
          <a:ext cx="3962400" cy="20650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34495E"/>
              </a:solidFill>
            </a:rPr>
            <a:t>• </a:t>
          </a:r>
          <a:r>
            <a:rPr lang="en-IN" sz="1200">
              <a:solidFill>
                <a:srgbClr val="34495E"/>
              </a:solidFill>
            </a:rPr>
            <a:t>Overall attrition rate is </a:t>
          </a:r>
          <a:r>
            <a:rPr lang="en-IN" sz="1200" b="1">
              <a:solidFill>
                <a:srgbClr val="34495E"/>
              </a:solidFill>
            </a:rPr>
            <a:t>16.12%</a:t>
          </a:r>
          <a:r>
            <a:rPr lang="en-IN" sz="1200">
              <a:solidFill>
                <a:srgbClr val="34495E"/>
              </a:solidFill>
            </a:rPr>
            <a:t>.</a:t>
          </a:r>
        </a:p>
        <a:p>
          <a:r>
            <a:rPr lang="en-IN" sz="1200"/>
            <a:t>• Attrition varies noticeably across </a:t>
          </a:r>
          <a:r>
            <a:rPr lang="en-IN" sz="1200" b="1"/>
            <a:t>departments  and job </a:t>
          </a:r>
        </a:p>
        <a:p>
          <a:r>
            <a:rPr lang="en-IN" sz="1200" b="1">
              <a:solidFill>
                <a:srgbClr val="34495E"/>
              </a:solidFill>
            </a:rPr>
            <a:t>   </a:t>
          </a:r>
          <a:r>
            <a:rPr lang="en-IN" sz="1100" b="1">
              <a:solidFill>
                <a:schemeClr val="dk1"/>
              </a:solidFill>
              <a:effectLst/>
              <a:latin typeface="+mn-lt"/>
              <a:ea typeface="+mn-ea"/>
              <a:cs typeface="+mn-cs"/>
            </a:rPr>
            <a:t>roles</a:t>
          </a:r>
          <a:r>
            <a:rPr lang="en-IN" sz="1100">
              <a:solidFill>
                <a:schemeClr val="dk1"/>
              </a:solidFill>
              <a:effectLst/>
              <a:latin typeface="+mn-lt"/>
              <a:ea typeface="+mn-ea"/>
              <a:cs typeface="+mn-cs"/>
            </a:rPr>
            <a:t>.</a:t>
          </a:r>
          <a:br>
            <a:rPr lang="en-IN" sz="1200">
              <a:solidFill>
                <a:srgbClr val="34495E"/>
              </a:solidFill>
            </a:rPr>
          </a:br>
          <a:r>
            <a:rPr lang="en-IN" sz="1200"/>
            <a:t>• The </a:t>
          </a:r>
          <a:r>
            <a:rPr lang="en-IN" sz="1200" b="1"/>
            <a:t>25–34 age group</a:t>
          </a:r>
          <a:r>
            <a:rPr lang="en-IN" sz="1200"/>
            <a:t> shows a relatively higher number of</a:t>
          </a:r>
        </a:p>
        <a:p>
          <a:r>
            <a:rPr lang="en-IN" sz="1200">
              <a:solidFill>
                <a:srgbClr val="34495E"/>
              </a:solidFill>
            </a:rPr>
            <a:t>    </a:t>
          </a:r>
          <a:r>
            <a:rPr lang="en-IN" sz="1200"/>
            <a:t>employees leaving.</a:t>
          </a:r>
        </a:p>
        <a:p>
          <a:r>
            <a:rPr lang="en-IN" sz="1200"/>
            <a:t>• Attrition differs across </a:t>
          </a:r>
          <a:r>
            <a:rPr lang="en-IN" sz="1200" b="1"/>
            <a:t>salary ranges and tenure levels</a:t>
          </a:r>
          <a:r>
            <a:rPr lang="en-IN" sz="1200"/>
            <a:t>.</a:t>
          </a:r>
        </a:p>
        <a:p>
          <a:r>
            <a:rPr lang="en-IN" sz="1200"/>
            <a:t>• Job satisfaction levels show differences in attrition patterns.</a:t>
          </a:r>
        </a:p>
        <a:p>
          <a:endParaRPr lang="en-IN" sz="1200">
            <a:solidFill>
              <a:srgbClr val="34495E"/>
            </a:solidFill>
          </a:endParaRPr>
        </a:p>
        <a:p>
          <a:pPr algn="ctr"/>
          <a:r>
            <a:rPr lang="en-IN" sz="1200" b="1" i="1"/>
            <a:t>Better Insights. A Stronger Tomorrow</a:t>
          </a:r>
          <a:r>
            <a:rPr lang="en-IN" sz="1200"/>
            <a:t>.</a:t>
          </a:r>
          <a:endParaRPr lang="en-IN" sz="1200">
            <a:solidFill>
              <a:srgbClr val="34495E"/>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ur Barase" refreshedDate="46285.802178356484" createdVersion="8" refreshedVersion="8" minRefreshableVersion="3" recordCount="1470" xr:uid="{E2811838-B3E9-4EB4-92BD-A1547DD6B556}">
  <cacheSource type="worksheet">
    <worksheetSource name="EmployeeData"/>
  </cacheSource>
  <cacheFields count="37">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ount="29">
        <n v="1"/>
        <n v="8"/>
        <n v="2"/>
        <n v="3"/>
        <n v="24"/>
        <n v="23"/>
        <n v="27"/>
        <n v="16"/>
        <n v="15"/>
        <n v="26"/>
        <n v="19"/>
        <n v="21"/>
        <n v="5"/>
        <n v="11"/>
        <n v="9"/>
        <n v="7"/>
        <n v="6"/>
        <n v="10"/>
        <n v="4"/>
        <n v="25"/>
        <n v="12"/>
        <n v="18"/>
        <n v="29"/>
        <n v="22"/>
        <n v="14"/>
        <n v="20"/>
        <n v="28"/>
        <n v="17"/>
        <n v="13"/>
      </sharedItems>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ge Group" numFmtId="0">
      <sharedItems count="5">
        <s v="35-44"/>
        <s v="45-54"/>
        <s v="25-34"/>
        <s v="55+"/>
        <s v="Under 25"/>
      </sharedItems>
    </cacheField>
    <cacheField name="Salary Range" numFmtId="0">
      <sharedItems count="5">
        <s v="3K-6K"/>
        <s v="Below 3K"/>
        <s v="9K-12K"/>
        <s v="12K+"/>
        <s v="6K-9K"/>
      </sharedItems>
    </cacheField>
  </cacheFields>
  <extLst>
    <ext xmlns:x14="http://schemas.microsoft.com/office/spreadsheetml/2009/9/main" uri="{725AE2AE-9491-48be-B2B4-4EB974FC3084}">
      <x14:pivotCacheDefinition pivotCacheId="20356607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x v="0"/>
    <x v="0"/>
    <n v="2"/>
    <s v="Life Sciences"/>
    <n v="1"/>
    <n v="1"/>
    <n v="2"/>
    <x v="0"/>
    <n v="94"/>
    <n v="3"/>
    <n v="2"/>
    <x v="0"/>
    <x v="0"/>
    <s v="Single"/>
    <n v="5993"/>
    <n v="19479"/>
    <n v="8"/>
    <s v="Y"/>
    <s v="Yes"/>
    <n v="11"/>
    <n v="3"/>
    <n v="1"/>
    <n v="80"/>
    <n v="0"/>
    <n v="8"/>
    <n v="0"/>
    <n v="1"/>
    <x v="0"/>
    <n v="4"/>
    <n v="0"/>
    <n v="5"/>
    <x v="0"/>
    <x v="0"/>
  </r>
  <r>
    <n v="49"/>
    <x v="1"/>
    <s v="Travel_Frequently"/>
    <n v="279"/>
    <x v="1"/>
    <x v="1"/>
    <n v="1"/>
    <s v="Life Sciences"/>
    <n v="1"/>
    <n v="2"/>
    <n v="3"/>
    <x v="1"/>
    <n v="61"/>
    <n v="2"/>
    <n v="2"/>
    <x v="1"/>
    <x v="1"/>
    <s v="Married"/>
    <n v="5130"/>
    <n v="24907"/>
    <n v="1"/>
    <s v="Y"/>
    <s v="No"/>
    <n v="23"/>
    <n v="4"/>
    <n v="4"/>
    <n v="80"/>
    <n v="1"/>
    <n v="10"/>
    <n v="3"/>
    <n v="3"/>
    <x v="1"/>
    <n v="7"/>
    <n v="1"/>
    <n v="7"/>
    <x v="1"/>
    <x v="0"/>
  </r>
  <r>
    <n v="37"/>
    <x v="0"/>
    <s v="Travel_Rarely"/>
    <n v="1373"/>
    <x v="1"/>
    <x v="2"/>
    <n v="2"/>
    <s v="Other"/>
    <n v="1"/>
    <n v="4"/>
    <n v="4"/>
    <x v="1"/>
    <n v="92"/>
    <n v="2"/>
    <n v="1"/>
    <x v="2"/>
    <x v="2"/>
    <s v="Single"/>
    <n v="2090"/>
    <n v="2396"/>
    <n v="6"/>
    <s v="Y"/>
    <s v="Yes"/>
    <n v="15"/>
    <n v="3"/>
    <n v="2"/>
    <n v="80"/>
    <n v="0"/>
    <n v="7"/>
    <n v="3"/>
    <n v="3"/>
    <x v="2"/>
    <n v="0"/>
    <n v="0"/>
    <n v="0"/>
    <x v="0"/>
    <x v="1"/>
  </r>
  <r>
    <n v="33"/>
    <x v="1"/>
    <s v="Travel_Frequently"/>
    <n v="1392"/>
    <x v="1"/>
    <x v="3"/>
    <n v="4"/>
    <s v="Life Sciences"/>
    <n v="1"/>
    <n v="5"/>
    <n v="4"/>
    <x v="0"/>
    <n v="56"/>
    <n v="3"/>
    <n v="1"/>
    <x v="1"/>
    <x v="2"/>
    <s v="Married"/>
    <n v="2909"/>
    <n v="23159"/>
    <n v="1"/>
    <s v="Y"/>
    <s v="Yes"/>
    <n v="11"/>
    <n v="3"/>
    <n v="3"/>
    <n v="80"/>
    <n v="0"/>
    <n v="8"/>
    <n v="3"/>
    <n v="3"/>
    <x v="3"/>
    <n v="7"/>
    <n v="3"/>
    <n v="0"/>
    <x v="2"/>
    <x v="1"/>
  </r>
  <r>
    <n v="27"/>
    <x v="1"/>
    <s v="Travel_Rarely"/>
    <n v="591"/>
    <x v="1"/>
    <x v="2"/>
    <n v="1"/>
    <s v="Medical"/>
    <n v="1"/>
    <n v="7"/>
    <n v="1"/>
    <x v="1"/>
    <n v="40"/>
    <n v="3"/>
    <n v="1"/>
    <x v="2"/>
    <x v="1"/>
    <s v="Married"/>
    <n v="3468"/>
    <n v="16632"/>
    <n v="9"/>
    <s v="Y"/>
    <s v="No"/>
    <n v="12"/>
    <n v="3"/>
    <n v="4"/>
    <n v="80"/>
    <n v="1"/>
    <n v="6"/>
    <n v="3"/>
    <n v="3"/>
    <x v="4"/>
    <n v="2"/>
    <n v="2"/>
    <n v="2"/>
    <x v="2"/>
    <x v="0"/>
  </r>
  <r>
    <n v="32"/>
    <x v="1"/>
    <s v="Travel_Frequently"/>
    <n v="1005"/>
    <x v="1"/>
    <x v="2"/>
    <n v="2"/>
    <s v="Life Sciences"/>
    <n v="1"/>
    <n v="8"/>
    <n v="4"/>
    <x v="1"/>
    <n v="79"/>
    <n v="3"/>
    <n v="1"/>
    <x v="2"/>
    <x v="0"/>
    <s v="Single"/>
    <n v="3068"/>
    <n v="11864"/>
    <n v="0"/>
    <s v="Y"/>
    <s v="No"/>
    <n v="13"/>
    <n v="3"/>
    <n v="3"/>
    <n v="80"/>
    <n v="0"/>
    <n v="8"/>
    <n v="2"/>
    <n v="2"/>
    <x v="5"/>
    <n v="7"/>
    <n v="3"/>
    <n v="6"/>
    <x v="2"/>
    <x v="0"/>
  </r>
  <r>
    <n v="59"/>
    <x v="1"/>
    <s v="Travel_Rarely"/>
    <n v="1324"/>
    <x v="1"/>
    <x v="3"/>
    <n v="3"/>
    <s v="Medical"/>
    <n v="1"/>
    <n v="10"/>
    <n v="3"/>
    <x v="0"/>
    <n v="81"/>
    <n v="4"/>
    <n v="1"/>
    <x v="2"/>
    <x v="3"/>
    <s v="Married"/>
    <n v="2670"/>
    <n v="9964"/>
    <n v="4"/>
    <s v="Y"/>
    <s v="Yes"/>
    <n v="20"/>
    <n v="4"/>
    <n v="1"/>
    <n v="80"/>
    <n v="3"/>
    <n v="12"/>
    <n v="3"/>
    <n v="2"/>
    <x v="6"/>
    <n v="0"/>
    <n v="0"/>
    <n v="0"/>
    <x v="3"/>
    <x v="1"/>
  </r>
  <r>
    <n v="30"/>
    <x v="1"/>
    <s v="Travel_Rarely"/>
    <n v="1358"/>
    <x v="1"/>
    <x v="4"/>
    <n v="1"/>
    <s v="Life Sciences"/>
    <n v="1"/>
    <n v="11"/>
    <n v="4"/>
    <x v="1"/>
    <n v="67"/>
    <n v="3"/>
    <n v="1"/>
    <x v="2"/>
    <x v="2"/>
    <s v="Divorced"/>
    <n v="2693"/>
    <n v="13335"/>
    <n v="1"/>
    <s v="Y"/>
    <s v="No"/>
    <n v="22"/>
    <n v="4"/>
    <n v="2"/>
    <n v="80"/>
    <n v="1"/>
    <n v="1"/>
    <n v="2"/>
    <n v="3"/>
    <x v="6"/>
    <n v="0"/>
    <n v="0"/>
    <n v="0"/>
    <x v="2"/>
    <x v="1"/>
  </r>
  <r>
    <n v="38"/>
    <x v="1"/>
    <s v="Travel_Frequently"/>
    <n v="216"/>
    <x v="1"/>
    <x v="5"/>
    <n v="3"/>
    <s v="Life Sciences"/>
    <n v="1"/>
    <n v="12"/>
    <n v="4"/>
    <x v="1"/>
    <n v="44"/>
    <n v="2"/>
    <n v="3"/>
    <x v="3"/>
    <x v="2"/>
    <s v="Single"/>
    <n v="9526"/>
    <n v="8787"/>
    <n v="0"/>
    <s v="Y"/>
    <s v="No"/>
    <n v="21"/>
    <n v="4"/>
    <n v="2"/>
    <n v="80"/>
    <n v="0"/>
    <n v="10"/>
    <n v="2"/>
    <n v="3"/>
    <x v="7"/>
    <n v="7"/>
    <n v="1"/>
    <n v="8"/>
    <x v="0"/>
    <x v="2"/>
  </r>
  <r>
    <n v="36"/>
    <x v="1"/>
    <s v="Travel_Rarely"/>
    <n v="1299"/>
    <x v="1"/>
    <x v="6"/>
    <n v="3"/>
    <s v="Medical"/>
    <n v="1"/>
    <n v="13"/>
    <n v="3"/>
    <x v="1"/>
    <n v="94"/>
    <n v="3"/>
    <n v="2"/>
    <x v="4"/>
    <x v="2"/>
    <s v="Married"/>
    <n v="5237"/>
    <n v="16577"/>
    <n v="6"/>
    <s v="Y"/>
    <s v="No"/>
    <n v="13"/>
    <n v="3"/>
    <n v="2"/>
    <n v="80"/>
    <n v="2"/>
    <n v="17"/>
    <n v="3"/>
    <n v="2"/>
    <x v="5"/>
    <n v="7"/>
    <n v="7"/>
    <n v="7"/>
    <x v="0"/>
    <x v="0"/>
  </r>
  <r>
    <n v="35"/>
    <x v="1"/>
    <s v="Travel_Rarely"/>
    <n v="809"/>
    <x v="1"/>
    <x v="7"/>
    <n v="3"/>
    <s v="Medical"/>
    <n v="1"/>
    <n v="14"/>
    <n v="1"/>
    <x v="1"/>
    <n v="84"/>
    <n v="4"/>
    <n v="1"/>
    <x v="2"/>
    <x v="1"/>
    <s v="Married"/>
    <n v="2426"/>
    <n v="16479"/>
    <n v="0"/>
    <s v="Y"/>
    <s v="No"/>
    <n v="13"/>
    <n v="3"/>
    <n v="3"/>
    <n v="80"/>
    <n v="1"/>
    <n v="6"/>
    <n v="5"/>
    <n v="3"/>
    <x v="8"/>
    <n v="4"/>
    <n v="0"/>
    <n v="3"/>
    <x v="0"/>
    <x v="1"/>
  </r>
  <r>
    <n v="29"/>
    <x v="1"/>
    <s v="Travel_Rarely"/>
    <n v="153"/>
    <x v="1"/>
    <x v="8"/>
    <n v="2"/>
    <s v="Life Sciences"/>
    <n v="1"/>
    <n v="15"/>
    <n v="4"/>
    <x v="0"/>
    <n v="49"/>
    <n v="2"/>
    <n v="2"/>
    <x v="2"/>
    <x v="2"/>
    <s v="Single"/>
    <n v="4193"/>
    <n v="12682"/>
    <n v="0"/>
    <s v="Y"/>
    <s v="Yes"/>
    <n v="12"/>
    <n v="3"/>
    <n v="4"/>
    <n v="80"/>
    <n v="0"/>
    <n v="10"/>
    <n v="3"/>
    <n v="3"/>
    <x v="7"/>
    <n v="5"/>
    <n v="0"/>
    <n v="8"/>
    <x v="2"/>
    <x v="0"/>
  </r>
  <r>
    <n v="31"/>
    <x v="1"/>
    <s v="Travel_Rarely"/>
    <n v="670"/>
    <x v="1"/>
    <x v="9"/>
    <n v="1"/>
    <s v="Life Sciences"/>
    <n v="1"/>
    <n v="16"/>
    <n v="1"/>
    <x v="1"/>
    <n v="31"/>
    <n v="3"/>
    <n v="1"/>
    <x v="1"/>
    <x v="2"/>
    <s v="Divorced"/>
    <n v="2911"/>
    <n v="15170"/>
    <n v="1"/>
    <s v="Y"/>
    <s v="No"/>
    <n v="17"/>
    <n v="3"/>
    <n v="4"/>
    <n v="80"/>
    <n v="1"/>
    <n v="5"/>
    <n v="1"/>
    <n v="2"/>
    <x v="8"/>
    <n v="2"/>
    <n v="4"/>
    <n v="3"/>
    <x v="2"/>
    <x v="1"/>
  </r>
  <r>
    <n v="34"/>
    <x v="1"/>
    <s v="Travel_Rarely"/>
    <n v="1346"/>
    <x v="1"/>
    <x v="10"/>
    <n v="2"/>
    <s v="Medical"/>
    <n v="1"/>
    <n v="18"/>
    <n v="2"/>
    <x v="1"/>
    <n v="93"/>
    <n v="3"/>
    <n v="1"/>
    <x v="2"/>
    <x v="0"/>
    <s v="Divorced"/>
    <n v="2661"/>
    <n v="8758"/>
    <n v="0"/>
    <s v="Y"/>
    <s v="No"/>
    <n v="11"/>
    <n v="3"/>
    <n v="3"/>
    <n v="80"/>
    <n v="1"/>
    <n v="3"/>
    <n v="2"/>
    <n v="3"/>
    <x v="4"/>
    <n v="2"/>
    <n v="1"/>
    <n v="2"/>
    <x v="2"/>
    <x v="1"/>
  </r>
  <r>
    <n v="28"/>
    <x v="0"/>
    <s v="Travel_Rarely"/>
    <n v="103"/>
    <x v="1"/>
    <x v="4"/>
    <n v="3"/>
    <s v="Life Sciences"/>
    <n v="1"/>
    <n v="19"/>
    <n v="3"/>
    <x v="1"/>
    <n v="50"/>
    <n v="2"/>
    <n v="1"/>
    <x v="2"/>
    <x v="2"/>
    <s v="Single"/>
    <n v="2028"/>
    <n v="12947"/>
    <n v="5"/>
    <s v="Y"/>
    <s v="Yes"/>
    <n v="14"/>
    <n v="3"/>
    <n v="2"/>
    <n v="80"/>
    <n v="0"/>
    <n v="6"/>
    <n v="4"/>
    <n v="3"/>
    <x v="9"/>
    <n v="2"/>
    <n v="0"/>
    <n v="3"/>
    <x v="2"/>
    <x v="1"/>
  </r>
  <r>
    <n v="29"/>
    <x v="1"/>
    <s v="Travel_Rarely"/>
    <n v="1389"/>
    <x v="1"/>
    <x v="11"/>
    <n v="4"/>
    <s v="Life Sciences"/>
    <n v="1"/>
    <n v="20"/>
    <n v="2"/>
    <x v="0"/>
    <n v="51"/>
    <n v="4"/>
    <n v="3"/>
    <x v="3"/>
    <x v="3"/>
    <s v="Divorced"/>
    <n v="9980"/>
    <n v="10195"/>
    <n v="1"/>
    <s v="Y"/>
    <s v="No"/>
    <n v="11"/>
    <n v="3"/>
    <n v="3"/>
    <n v="80"/>
    <n v="1"/>
    <n v="10"/>
    <n v="1"/>
    <n v="3"/>
    <x v="1"/>
    <n v="9"/>
    <n v="8"/>
    <n v="8"/>
    <x v="2"/>
    <x v="2"/>
  </r>
  <r>
    <n v="32"/>
    <x v="1"/>
    <s v="Travel_Rarely"/>
    <n v="334"/>
    <x v="1"/>
    <x v="12"/>
    <n v="2"/>
    <s v="Life Sciences"/>
    <n v="1"/>
    <n v="21"/>
    <n v="1"/>
    <x v="1"/>
    <n v="80"/>
    <n v="4"/>
    <n v="1"/>
    <x v="1"/>
    <x v="1"/>
    <s v="Divorced"/>
    <n v="3298"/>
    <n v="15053"/>
    <n v="0"/>
    <s v="Y"/>
    <s v="Yes"/>
    <n v="12"/>
    <n v="3"/>
    <n v="4"/>
    <n v="80"/>
    <n v="2"/>
    <n v="7"/>
    <n v="5"/>
    <n v="2"/>
    <x v="0"/>
    <n v="2"/>
    <n v="0"/>
    <n v="5"/>
    <x v="2"/>
    <x v="0"/>
  </r>
  <r>
    <n v="22"/>
    <x v="1"/>
    <s v="Non-Travel"/>
    <n v="1123"/>
    <x v="1"/>
    <x v="7"/>
    <n v="2"/>
    <s v="Medical"/>
    <n v="1"/>
    <n v="22"/>
    <n v="4"/>
    <x v="1"/>
    <n v="96"/>
    <n v="4"/>
    <n v="1"/>
    <x v="2"/>
    <x v="0"/>
    <s v="Divorced"/>
    <n v="2935"/>
    <n v="7324"/>
    <n v="1"/>
    <s v="Y"/>
    <s v="Yes"/>
    <n v="13"/>
    <n v="3"/>
    <n v="2"/>
    <n v="80"/>
    <n v="2"/>
    <n v="1"/>
    <n v="2"/>
    <n v="2"/>
    <x v="6"/>
    <n v="0"/>
    <n v="0"/>
    <n v="0"/>
    <x v="4"/>
    <x v="1"/>
  </r>
  <r>
    <n v="53"/>
    <x v="1"/>
    <s v="Travel_Rarely"/>
    <n v="1219"/>
    <x v="0"/>
    <x v="2"/>
    <n v="4"/>
    <s v="Life Sciences"/>
    <n v="1"/>
    <n v="23"/>
    <n v="1"/>
    <x v="0"/>
    <n v="78"/>
    <n v="2"/>
    <n v="4"/>
    <x v="5"/>
    <x v="0"/>
    <s v="Married"/>
    <n v="15427"/>
    <n v="22021"/>
    <n v="2"/>
    <s v="Y"/>
    <s v="No"/>
    <n v="16"/>
    <n v="3"/>
    <n v="3"/>
    <n v="80"/>
    <n v="0"/>
    <n v="31"/>
    <n v="3"/>
    <n v="3"/>
    <x v="10"/>
    <n v="8"/>
    <n v="3"/>
    <n v="7"/>
    <x v="1"/>
    <x v="3"/>
  </r>
  <r>
    <n v="38"/>
    <x v="1"/>
    <s v="Travel_Rarely"/>
    <n v="371"/>
    <x v="1"/>
    <x v="2"/>
    <n v="3"/>
    <s v="Life Sciences"/>
    <n v="1"/>
    <n v="24"/>
    <n v="4"/>
    <x v="1"/>
    <n v="45"/>
    <n v="3"/>
    <n v="1"/>
    <x v="1"/>
    <x v="0"/>
    <s v="Single"/>
    <n v="3944"/>
    <n v="4306"/>
    <n v="5"/>
    <s v="Y"/>
    <s v="Yes"/>
    <n v="11"/>
    <n v="3"/>
    <n v="3"/>
    <n v="80"/>
    <n v="0"/>
    <n v="6"/>
    <n v="3"/>
    <n v="3"/>
    <x v="11"/>
    <n v="2"/>
    <n v="1"/>
    <n v="2"/>
    <x v="0"/>
    <x v="0"/>
  </r>
  <r>
    <n v="24"/>
    <x v="1"/>
    <s v="Non-Travel"/>
    <n v="673"/>
    <x v="1"/>
    <x v="13"/>
    <n v="2"/>
    <s v="Other"/>
    <n v="1"/>
    <n v="26"/>
    <n v="1"/>
    <x v="0"/>
    <n v="96"/>
    <n v="4"/>
    <n v="2"/>
    <x v="3"/>
    <x v="2"/>
    <s v="Divorced"/>
    <n v="4011"/>
    <n v="8232"/>
    <n v="0"/>
    <s v="Y"/>
    <s v="No"/>
    <n v="18"/>
    <n v="3"/>
    <n v="4"/>
    <n v="80"/>
    <n v="1"/>
    <n v="5"/>
    <n v="5"/>
    <n v="2"/>
    <x v="9"/>
    <n v="2"/>
    <n v="1"/>
    <n v="3"/>
    <x v="4"/>
    <x v="0"/>
  </r>
  <r>
    <n v="36"/>
    <x v="0"/>
    <s v="Travel_Rarely"/>
    <n v="1218"/>
    <x v="0"/>
    <x v="14"/>
    <n v="4"/>
    <s v="Life Sciences"/>
    <n v="1"/>
    <n v="27"/>
    <n v="3"/>
    <x v="1"/>
    <n v="82"/>
    <n v="2"/>
    <n v="1"/>
    <x v="6"/>
    <x v="3"/>
    <s v="Single"/>
    <n v="3407"/>
    <n v="6986"/>
    <n v="7"/>
    <s v="Y"/>
    <s v="No"/>
    <n v="23"/>
    <n v="4"/>
    <n v="2"/>
    <n v="80"/>
    <n v="0"/>
    <n v="10"/>
    <n v="4"/>
    <n v="3"/>
    <x v="8"/>
    <n v="3"/>
    <n v="0"/>
    <n v="3"/>
    <x v="0"/>
    <x v="0"/>
  </r>
  <r>
    <n v="34"/>
    <x v="1"/>
    <s v="Travel_Rarely"/>
    <n v="419"/>
    <x v="1"/>
    <x v="15"/>
    <n v="4"/>
    <s v="Life Sciences"/>
    <n v="1"/>
    <n v="28"/>
    <n v="1"/>
    <x v="0"/>
    <n v="53"/>
    <n v="3"/>
    <n v="3"/>
    <x v="7"/>
    <x v="1"/>
    <s v="Single"/>
    <n v="11994"/>
    <n v="21293"/>
    <n v="0"/>
    <s v="Y"/>
    <s v="No"/>
    <n v="11"/>
    <n v="3"/>
    <n v="3"/>
    <n v="80"/>
    <n v="0"/>
    <n v="13"/>
    <n v="4"/>
    <n v="3"/>
    <x v="12"/>
    <n v="6"/>
    <n v="2"/>
    <n v="11"/>
    <x v="2"/>
    <x v="2"/>
  </r>
  <r>
    <n v="21"/>
    <x v="1"/>
    <s v="Travel_Rarely"/>
    <n v="391"/>
    <x v="1"/>
    <x v="8"/>
    <n v="2"/>
    <s v="Life Sciences"/>
    <n v="1"/>
    <n v="30"/>
    <n v="3"/>
    <x v="1"/>
    <n v="96"/>
    <n v="3"/>
    <n v="1"/>
    <x v="1"/>
    <x v="0"/>
    <s v="Single"/>
    <n v="1232"/>
    <n v="19281"/>
    <n v="1"/>
    <s v="Y"/>
    <s v="No"/>
    <n v="14"/>
    <n v="3"/>
    <n v="4"/>
    <n v="80"/>
    <n v="0"/>
    <n v="0"/>
    <n v="6"/>
    <n v="3"/>
    <x v="2"/>
    <n v="0"/>
    <n v="0"/>
    <n v="0"/>
    <x v="4"/>
    <x v="1"/>
  </r>
  <r>
    <n v="34"/>
    <x v="0"/>
    <s v="Travel_Rarely"/>
    <n v="699"/>
    <x v="1"/>
    <x v="16"/>
    <n v="1"/>
    <s v="Medical"/>
    <n v="1"/>
    <n v="31"/>
    <n v="2"/>
    <x v="1"/>
    <n v="83"/>
    <n v="3"/>
    <n v="1"/>
    <x v="1"/>
    <x v="3"/>
    <s v="Single"/>
    <n v="2960"/>
    <n v="17102"/>
    <n v="2"/>
    <s v="Y"/>
    <s v="No"/>
    <n v="11"/>
    <n v="3"/>
    <n v="3"/>
    <n v="80"/>
    <n v="0"/>
    <n v="8"/>
    <n v="2"/>
    <n v="3"/>
    <x v="9"/>
    <n v="2"/>
    <n v="1"/>
    <n v="3"/>
    <x v="2"/>
    <x v="1"/>
  </r>
  <r>
    <n v="53"/>
    <x v="1"/>
    <s v="Travel_Rarely"/>
    <n v="1282"/>
    <x v="1"/>
    <x v="12"/>
    <n v="3"/>
    <s v="Other"/>
    <n v="1"/>
    <n v="32"/>
    <n v="3"/>
    <x v="0"/>
    <n v="58"/>
    <n v="3"/>
    <n v="5"/>
    <x v="5"/>
    <x v="2"/>
    <s v="Divorced"/>
    <n v="19094"/>
    <n v="10735"/>
    <n v="4"/>
    <s v="Y"/>
    <s v="No"/>
    <n v="11"/>
    <n v="3"/>
    <n v="4"/>
    <n v="80"/>
    <n v="1"/>
    <n v="26"/>
    <n v="3"/>
    <n v="2"/>
    <x v="13"/>
    <n v="13"/>
    <n v="4"/>
    <n v="8"/>
    <x v="1"/>
    <x v="3"/>
  </r>
  <r>
    <n v="32"/>
    <x v="0"/>
    <s v="Travel_Frequently"/>
    <n v="1125"/>
    <x v="1"/>
    <x v="7"/>
    <n v="1"/>
    <s v="Life Sciences"/>
    <n v="1"/>
    <n v="33"/>
    <n v="2"/>
    <x v="0"/>
    <n v="72"/>
    <n v="1"/>
    <n v="1"/>
    <x v="1"/>
    <x v="3"/>
    <s v="Single"/>
    <n v="3919"/>
    <n v="4681"/>
    <n v="1"/>
    <s v="Y"/>
    <s v="Yes"/>
    <n v="22"/>
    <n v="4"/>
    <n v="2"/>
    <n v="80"/>
    <n v="0"/>
    <n v="10"/>
    <n v="5"/>
    <n v="3"/>
    <x v="1"/>
    <n v="2"/>
    <n v="6"/>
    <n v="7"/>
    <x v="2"/>
    <x v="0"/>
  </r>
  <r>
    <n v="42"/>
    <x v="1"/>
    <s v="Travel_Rarely"/>
    <n v="691"/>
    <x v="0"/>
    <x v="1"/>
    <n v="4"/>
    <s v="Marketing"/>
    <n v="1"/>
    <n v="35"/>
    <n v="3"/>
    <x v="1"/>
    <n v="48"/>
    <n v="3"/>
    <n v="2"/>
    <x v="0"/>
    <x v="1"/>
    <s v="Married"/>
    <n v="6825"/>
    <n v="21173"/>
    <n v="0"/>
    <s v="Y"/>
    <s v="No"/>
    <n v="11"/>
    <n v="3"/>
    <n v="4"/>
    <n v="80"/>
    <n v="1"/>
    <n v="10"/>
    <n v="2"/>
    <n v="3"/>
    <x v="7"/>
    <n v="7"/>
    <n v="4"/>
    <n v="2"/>
    <x v="0"/>
    <x v="4"/>
  </r>
  <r>
    <n v="44"/>
    <x v="1"/>
    <s v="Travel_Rarely"/>
    <n v="477"/>
    <x v="1"/>
    <x v="15"/>
    <n v="4"/>
    <s v="Medical"/>
    <n v="1"/>
    <n v="36"/>
    <n v="1"/>
    <x v="0"/>
    <n v="42"/>
    <n v="2"/>
    <n v="3"/>
    <x v="4"/>
    <x v="0"/>
    <s v="Married"/>
    <n v="10248"/>
    <n v="2094"/>
    <n v="3"/>
    <s v="Y"/>
    <s v="No"/>
    <n v="14"/>
    <n v="3"/>
    <n v="4"/>
    <n v="80"/>
    <n v="1"/>
    <n v="24"/>
    <n v="4"/>
    <n v="3"/>
    <x v="14"/>
    <n v="6"/>
    <n v="5"/>
    <n v="17"/>
    <x v="0"/>
    <x v="2"/>
  </r>
  <r>
    <n v="46"/>
    <x v="1"/>
    <s v="Travel_Rarely"/>
    <n v="705"/>
    <x v="0"/>
    <x v="2"/>
    <n v="4"/>
    <s v="Marketing"/>
    <n v="1"/>
    <n v="38"/>
    <n v="2"/>
    <x v="0"/>
    <n v="83"/>
    <n v="3"/>
    <n v="5"/>
    <x v="5"/>
    <x v="3"/>
    <s v="Single"/>
    <n v="18947"/>
    <n v="22822"/>
    <n v="3"/>
    <s v="Y"/>
    <s v="No"/>
    <n v="12"/>
    <n v="3"/>
    <n v="4"/>
    <n v="80"/>
    <n v="0"/>
    <n v="22"/>
    <n v="2"/>
    <n v="2"/>
    <x v="4"/>
    <n v="2"/>
    <n v="2"/>
    <n v="1"/>
    <x v="1"/>
    <x v="3"/>
  </r>
  <r>
    <n v="33"/>
    <x v="1"/>
    <s v="Travel_Rarely"/>
    <n v="924"/>
    <x v="1"/>
    <x v="2"/>
    <n v="3"/>
    <s v="Medical"/>
    <n v="1"/>
    <n v="39"/>
    <n v="3"/>
    <x v="1"/>
    <n v="78"/>
    <n v="3"/>
    <n v="1"/>
    <x v="2"/>
    <x v="0"/>
    <s v="Single"/>
    <n v="2496"/>
    <n v="6670"/>
    <n v="4"/>
    <s v="Y"/>
    <s v="No"/>
    <n v="11"/>
    <n v="3"/>
    <n v="4"/>
    <n v="80"/>
    <n v="0"/>
    <n v="7"/>
    <n v="3"/>
    <n v="3"/>
    <x v="6"/>
    <n v="1"/>
    <n v="0"/>
    <n v="0"/>
    <x v="2"/>
    <x v="1"/>
  </r>
  <r>
    <n v="44"/>
    <x v="1"/>
    <s v="Travel_Rarely"/>
    <n v="1459"/>
    <x v="1"/>
    <x v="17"/>
    <n v="4"/>
    <s v="Other"/>
    <n v="1"/>
    <n v="40"/>
    <n v="4"/>
    <x v="1"/>
    <n v="41"/>
    <n v="3"/>
    <n v="2"/>
    <x v="4"/>
    <x v="0"/>
    <s v="Married"/>
    <n v="6465"/>
    <n v="19121"/>
    <n v="2"/>
    <s v="Y"/>
    <s v="Yes"/>
    <n v="13"/>
    <n v="3"/>
    <n v="4"/>
    <n v="80"/>
    <n v="0"/>
    <n v="9"/>
    <n v="5"/>
    <n v="4"/>
    <x v="9"/>
    <n v="2"/>
    <n v="1"/>
    <n v="3"/>
    <x v="0"/>
    <x v="4"/>
  </r>
  <r>
    <n v="30"/>
    <x v="1"/>
    <s v="Travel_Rarely"/>
    <n v="125"/>
    <x v="1"/>
    <x v="14"/>
    <n v="2"/>
    <s v="Medical"/>
    <n v="1"/>
    <n v="41"/>
    <n v="4"/>
    <x v="1"/>
    <n v="83"/>
    <n v="2"/>
    <n v="1"/>
    <x v="2"/>
    <x v="2"/>
    <s v="Single"/>
    <n v="2206"/>
    <n v="16117"/>
    <n v="1"/>
    <s v="Y"/>
    <s v="No"/>
    <n v="13"/>
    <n v="3"/>
    <n v="1"/>
    <n v="80"/>
    <n v="0"/>
    <n v="10"/>
    <n v="5"/>
    <n v="3"/>
    <x v="1"/>
    <n v="0"/>
    <n v="1"/>
    <n v="8"/>
    <x v="2"/>
    <x v="1"/>
  </r>
  <r>
    <n v="39"/>
    <x v="0"/>
    <s v="Travel_Rarely"/>
    <n v="895"/>
    <x v="0"/>
    <x v="12"/>
    <n v="3"/>
    <s v="Technical Degree"/>
    <n v="1"/>
    <n v="42"/>
    <n v="4"/>
    <x v="1"/>
    <n v="56"/>
    <n v="3"/>
    <n v="2"/>
    <x v="6"/>
    <x v="0"/>
    <s v="Married"/>
    <n v="2086"/>
    <n v="3335"/>
    <n v="3"/>
    <s v="Y"/>
    <s v="No"/>
    <n v="14"/>
    <n v="3"/>
    <n v="3"/>
    <n v="80"/>
    <n v="1"/>
    <n v="19"/>
    <n v="6"/>
    <n v="4"/>
    <x v="6"/>
    <n v="0"/>
    <n v="0"/>
    <n v="0"/>
    <x v="0"/>
    <x v="1"/>
  </r>
  <r>
    <n v="24"/>
    <x v="0"/>
    <s v="Travel_Rarely"/>
    <n v="813"/>
    <x v="1"/>
    <x v="0"/>
    <n v="3"/>
    <s v="Medical"/>
    <n v="1"/>
    <n v="45"/>
    <n v="2"/>
    <x v="1"/>
    <n v="61"/>
    <n v="3"/>
    <n v="1"/>
    <x v="1"/>
    <x v="0"/>
    <s v="Married"/>
    <n v="2293"/>
    <n v="3020"/>
    <n v="2"/>
    <s v="Y"/>
    <s v="Yes"/>
    <n v="16"/>
    <n v="3"/>
    <n v="1"/>
    <n v="80"/>
    <n v="1"/>
    <n v="6"/>
    <n v="2"/>
    <n v="2"/>
    <x v="4"/>
    <n v="0"/>
    <n v="2"/>
    <n v="0"/>
    <x v="4"/>
    <x v="1"/>
  </r>
  <r>
    <n v="43"/>
    <x v="1"/>
    <s v="Travel_Rarely"/>
    <n v="1273"/>
    <x v="1"/>
    <x v="2"/>
    <n v="2"/>
    <s v="Medical"/>
    <n v="1"/>
    <n v="46"/>
    <n v="4"/>
    <x v="0"/>
    <n v="72"/>
    <n v="4"/>
    <n v="1"/>
    <x v="1"/>
    <x v="2"/>
    <s v="Divorced"/>
    <n v="2645"/>
    <n v="21923"/>
    <n v="1"/>
    <s v="Y"/>
    <s v="No"/>
    <n v="12"/>
    <n v="3"/>
    <n v="4"/>
    <n v="80"/>
    <n v="2"/>
    <n v="6"/>
    <n v="3"/>
    <n v="2"/>
    <x v="8"/>
    <n v="3"/>
    <n v="1"/>
    <n v="4"/>
    <x v="0"/>
    <x v="1"/>
  </r>
  <r>
    <n v="50"/>
    <x v="0"/>
    <s v="Travel_Rarely"/>
    <n v="869"/>
    <x v="0"/>
    <x v="3"/>
    <n v="2"/>
    <s v="Marketing"/>
    <n v="1"/>
    <n v="47"/>
    <n v="1"/>
    <x v="1"/>
    <n v="86"/>
    <n v="2"/>
    <n v="1"/>
    <x v="6"/>
    <x v="2"/>
    <s v="Married"/>
    <n v="2683"/>
    <n v="3810"/>
    <n v="1"/>
    <s v="Y"/>
    <s v="Yes"/>
    <n v="14"/>
    <n v="3"/>
    <n v="3"/>
    <n v="80"/>
    <n v="0"/>
    <n v="3"/>
    <n v="2"/>
    <n v="3"/>
    <x v="11"/>
    <n v="2"/>
    <n v="0"/>
    <n v="2"/>
    <x v="1"/>
    <x v="1"/>
  </r>
  <r>
    <n v="35"/>
    <x v="1"/>
    <s v="Travel_Rarely"/>
    <n v="890"/>
    <x v="0"/>
    <x v="2"/>
    <n v="3"/>
    <s v="Marketing"/>
    <n v="1"/>
    <n v="49"/>
    <n v="4"/>
    <x v="0"/>
    <n v="97"/>
    <n v="3"/>
    <n v="1"/>
    <x v="6"/>
    <x v="0"/>
    <s v="Married"/>
    <n v="2014"/>
    <n v="9687"/>
    <n v="1"/>
    <s v="Y"/>
    <s v="No"/>
    <n v="13"/>
    <n v="3"/>
    <n v="1"/>
    <n v="80"/>
    <n v="0"/>
    <n v="2"/>
    <n v="3"/>
    <n v="3"/>
    <x v="4"/>
    <n v="2"/>
    <n v="2"/>
    <n v="2"/>
    <x v="0"/>
    <x v="1"/>
  </r>
  <r>
    <n v="36"/>
    <x v="1"/>
    <s v="Travel_Rarely"/>
    <n v="852"/>
    <x v="1"/>
    <x v="12"/>
    <n v="4"/>
    <s v="Life Sciences"/>
    <n v="1"/>
    <n v="51"/>
    <n v="2"/>
    <x v="0"/>
    <n v="82"/>
    <n v="2"/>
    <n v="1"/>
    <x v="1"/>
    <x v="3"/>
    <s v="Married"/>
    <n v="3419"/>
    <n v="13072"/>
    <n v="9"/>
    <s v="Y"/>
    <s v="Yes"/>
    <n v="14"/>
    <n v="3"/>
    <n v="4"/>
    <n v="80"/>
    <n v="1"/>
    <n v="6"/>
    <n v="3"/>
    <n v="4"/>
    <x v="6"/>
    <n v="1"/>
    <n v="0"/>
    <n v="0"/>
    <x v="0"/>
    <x v="0"/>
  </r>
  <r>
    <n v="33"/>
    <x v="1"/>
    <s v="Travel_Frequently"/>
    <n v="1141"/>
    <x v="0"/>
    <x v="0"/>
    <n v="3"/>
    <s v="Life Sciences"/>
    <n v="1"/>
    <n v="52"/>
    <n v="3"/>
    <x v="0"/>
    <n v="42"/>
    <n v="4"/>
    <n v="2"/>
    <x v="0"/>
    <x v="3"/>
    <s v="Married"/>
    <n v="5376"/>
    <n v="3193"/>
    <n v="2"/>
    <s v="Y"/>
    <s v="No"/>
    <n v="19"/>
    <n v="3"/>
    <n v="1"/>
    <n v="80"/>
    <n v="2"/>
    <n v="10"/>
    <n v="3"/>
    <n v="3"/>
    <x v="8"/>
    <n v="3"/>
    <n v="1"/>
    <n v="3"/>
    <x v="2"/>
    <x v="0"/>
  </r>
  <r>
    <n v="35"/>
    <x v="1"/>
    <s v="Travel_Rarely"/>
    <n v="464"/>
    <x v="1"/>
    <x v="18"/>
    <n v="2"/>
    <s v="Other"/>
    <n v="1"/>
    <n v="53"/>
    <n v="3"/>
    <x v="1"/>
    <n v="75"/>
    <n v="3"/>
    <n v="1"/>
    <x v="2"/>
    <x v="0"/>
    <s v="Divorced"/>
    <n v="1951"/>
    <n v="10910"/>
    <n v="1"/>
    <s v="Y"/>
    <s v="No"/>
    <n v="12"/>
    <n v="3"/>
    <n v="3"/>
    <n v="80"/>
    <n v="1"/>
    <n v="1"/>
    <n v="3"/>
    <n v="3"/>
    <x v="6"/>
    <n v="0"/>
    <n v="0"/>
    <n v="0"/>
    <x v="0"/>
    <x v="1"/>
  </r>
  <r>
    <n v="27"/>
    <x v="1"/>
    <s v="Travel_Rarely"/>
    <n v="1240"/>
    <x v="1"/>
    <x v="2"/>
    <n v="4"/>
    <s v="Life Sciences"/>
    <n v="1"/>
    <n v="54"/>
    <n v="4"/>
    <x v="0"/>
    <n v="33"/>
    <n v="3"/>
    <n v="1"/>
    <x v="2"/>
    <x v="3"/>
    <s v="Divorced"/>
    <n v="2341"/>
    <n v="19715"/>
    <n v="1"/>
    <s v="Y"/>
    <s v="No"/>
    <n v="13"/>
    <n v="3"/>
    <n v="4"/>
    <n v="80"/>
    <n v="1"/>
    <n v="1"/>
    <n v="6"/>
    <n v="3"/>
    <x v="6"/>
    <n v="0"/>
    <n v="0"/>
    <n v="0"/>
    <x v="2"/>
    <x v="1"/>
  </r>
  <r>
    <n v="26"/>
    <x v="0"/>
    <s v="Travel_Rarely"/>
    <n v="1357"/>
    <x v="1"/>
    <x v="19"/>
    <n v="3"/>
    <s v="Life Sciences"/>
    <n v="1"/>
    <n v="55"/>
    <n v="1"/>
    <x v="1"/>
    <n v="48"/>
    <n v="1"/>
    <n v="1"/>
    <x v="2"/>
    <x v="2"/>
    <s v="Single"/>
    <n v="2293"/>
    <n v="10558"/>
    <n v="1"/>
    <s v="Y"/>
    <s v="No"/>
    <n v="12"/>
    <n v="3"/>
    <n v="3"/>
    <n v="80"/>
    <n v="0"/>
    <n v="1"/>
    <n v="2"/>
    <n v="2"/>
    <x v="6"/>
    <n v="0"/>
    <n v="0"/>
    <n v="1"/>
    <x v="2"/>
    <x v="1"/>
  </r>
  <r>
    <n v="27"/>
    <x v="1"/>
    <s v="Travel_Frequently"/>
    <n v="994"/>
    <x v="0"/>
    <x v="1"/>
    <n v="3"/>
    <s v="Life Sciences"/>
    <n v="1"/>
    <n v="56"/>
    <n v="4"/>
    <x v="1"/>
    <n v="37"/>
    <n v="3"/>
    <n v="3"/>
    <x v="0"/>
    <x v="2"/>
    <s v="Single"/>
    <n v="8726"/>
    <n v="2975"/>
    <n v="1"/>
    <s v="Y"/>
    <s v="No"/>
    <n v="15"/>
    <n v="3"/>
    <n v="4"/>
    <n v="80"/>
    <n v="0"/>
    <n v="9"/>
    <n v="0"/>
    <n v="3"/>
    <x v="7"/>
    <n v="8"/>
    <n v="1"/>
    <n v="7"/>
    <x v="2"/>
    <x v="4"/>
  </r>
  <r>
    <n v="30"/>
    <x v="1"/>
    <s v="Travel_Frequently"/>
    <n v="721"/>
    <x v="1"/>
    <x v="0"/>
    <n v="2"/>
    <s v="Medical"/>
    <n v="1"/>
    <n v="57"/>
    <n v="3"/>
    <x v="0"/>
    <n v="58"/>
    <n v="3"/>
    <n v="2"/>
    <x v="2"/>
    <x v="0"/>
    <s v="Single"/>
    <n v="4011"/>
    <n v="10781"/>
    <n v="1"/>
    <s v="Y"/>
    <s v="No"/>
    <n v="23"/>
    <n v="4"/>
    <n v="4"/>
    <n v="80"/>
    <n v="0"/>
    <n v="12"/>
    <n v="2"/>
    <n v="3"/>
    <x v="12"/>
    <n v="8"/>
    <n v="3"/>
    <n v="7"/>
    <x v="2"/>
    <x v="0"/>
  </r>
  <r>
    <n v="41"/>
    <x v="0"/>
    <s v="Travel_Rarely"/>
    <n v="1360"/>
    <x v="1"/>
    <x v="20"/>
    <n v="3"/>
    <s v="Technical Degree"/>
    <n v="1"/>
    <n v="58"/>
    <n v="2"/>
    <x v="0"/>
    <n v="49"/>
    <n v="3"/>
    <n v="5"/>
    <x v="7"/>
    <x v="2"/>
    <s v="Married"/>
    <n v="19545"/>
    <n v="16280"/>
    <n v="1"/>
    <s v="Y"/>
    <s v="No"/>
    <n v="12"/>
    <n v="3"/>
    <n v="4"/>
    <n v="80"/>
    <n v="0"/>
    <n v="23"/>
    <n v="0"/>
    <n v="3"/>
    <x v="14"/>
    <n v="15"/>
    <n v="15"/>
    <n v="8"/>
    <x v="0"/>
    <x v="3"/>
  </r>
  <r>
    <n v="34"/>
    <x v="1"/>
    <s v="Non-Travel"/>
    <n v="1065"/>
    <x v="0"/>
    <x v="5"/>
    <n v="4"/>
    <s v="Marketing"/>
    <n v="1"/>
    <n v="60"/>
    <n v="2"/>
    <x v="1"/>
    <n v="72"/>
    <n v="3"/>
    <n v="2"/>
    <x v="0"/>
    <x v="2"/>
    <s v="Single"/>
    <n v="4568"/>
    <n v="10034"/>
    <n v="0"/>
    <s v="Y"/>
    <s v="No"/>
    <n v="20"/>
    <n v="4"/>
    <n v="3"/>
    <n v="80"/>
    <n v="0"/>
    <n v="10"/>
    <n v="2"/>
    <n v="3"/>
    <x v="7"/>
    <n v="5"/>
    <n v="8"/>
    <n v="7"/>
    <x v="2"/>
    <x v="0"/>
  </r>
  <r>
    <n v="37"/>
    <x v="1"/>
    <s v="Travel_Rarely"/>
    <n v="408"/>
    <x v="1"/>
    <x v="10"/>
    <n v="2"/>
    <s v="Life Sciences"/>
    <n v="1"/>
    <n v="61"/>
    <n v="2"/>
    <x v="1"/>
    <n v="73"/>
    <n v="3"/>
    <n v="1"/>
    <x v="1"/>
    <x v="1"/>
    <s v="Married"/>
    <n v="3022"/>
    <n v="10227"/>
    <n v="4"/>
    <s v="Y"/>
    <s v="No"/>
    <n v="21"/>
    <n v="4"/>
    <n v="1"/>
    <n v="80"/>
    <n v="0"/>
    <n v="8"/>
    <n v="1"/>
    <n v="3"/>
    <x v="6"/>
    <n v="0"/>
    <n v="0"/>
    <n v="0"/>
    <x v="0"/>
    <x v="0"/>
  </r>
  <r>
    <n v="46"/>
    <x v="1"/>
    <s v="Travel_Frequently"/>
    <n v="1211"/>
    <x v="0"/>
    <x v="12"/>
    <n v="4"/>
    <s v="Marketing"/>
    <n v="1"/>
    <n v="62"/>
    <n v="1"/>
    <x v="1"/>
    <n v="98"/>
    <n v="3"/>
    <n v="2"/>
    <x v="0"/>
    <x v="0"/>
    <s v="Single"/>
    <n v="5772"/>
    <n v="20445"/>
    <n v="4"/>
    <s v="Y"/>
    <s v="Yes"/>
    <n v="21"/>
    <n v="4"/>
    <n v="3"/>
    <n v="80"/>
    <n v="0"/>
    <n v="14"/>
    <n v="4"/>
    <n v="3"/>
    <x v="7"/>
    <n v="6"/>
    <n v="0"/>
    <n v="8"/>
    <x v="1"/>
    <x v="0"/>
  </r>
  <r>
    <n v="35"/>
    <x v="1"/>
    <s v="Travel_Rarely"/>
    <n v="1229"/>
    <x v="1"/>
    <x v="1"/>
    <n v="1"/>
    <s v="Life Sciences"/>
    <n v="1"/>
    <n v="63"/>
    <n v="4"/>
    <x v="1"/>
    <n v="36"/>
    <n v="4"/>
    <n v="1"/>
    <x v="2"/>
    <x v="0"/>
    <s v="Married"/>
    <n v="2269"/>
    <n v="4892"/>
    <n v="1"/>
    <s v="Y"/>
    <s v="No"/>
    <n v="19"/>
    <n v="3"/>
    <n v="4"/>
    <n v="80"/>
    <n v="0"/>
    <n v="1"/>
    <n v="2"/>
    <n v="3"/>
    <x v="6"/>
    <n v="0"/>
    <n v="0"/>
    <n v="1"/>
    <x v="0"/>
    <x v="1"/>
  </r>
  <r>
    <n v="48"/>
    <x v="0"/>
    <s v="Travel_Rarely"/>
    <n v="626"/>
    <x v="1"/>
    <x v="0"/>
    <n v="2"/>
    <s v="Life Sciences"/>
    <n v="1"/>
    <n v="64"/>
    <n v="1"/>
    <x v="1"/>
    <n v="98"/>
    <n v="2"/>
    <n v="3"/>
    <x v="2"/>
    <x v="2"/>
    <s v="Single"/>
    <n v="5381"/>
    <n v="19294"/>
    <n v="9"/>
    <s v="Y"/>
    <s v="Yes"/>
    <n v="13"/>
    <n v="3"/>
    <n v="4"/>
    <n v="80"/>
    <n v="0"/>
    <n v="23"/>
    <n v="2"/>
    <n v="3"/>
    <x v="6"/>
    <n v="0"/>
    <n v="0"/>
    <n v="0"/>
    <x v="1"/>
    <x v="0"/>
  </r>
  <r>
    <n v="28"/>
    <x v="0"/>
    <s v="Travel_Rarely"/>
    <n v="1434"/>
    <x v="1"/>
    <x v="12"/>
    <n v="4"/>
    <s v="Technical Degree"/>
    <n v="1"/>
    <n v="65"/>
    <n v="3"/>
    <x v="1"/>
    <n v="50"/>
    <n v="3"/>
    <n v="1"/>
    <x v="2"/>
    <x v="2"/>
    <s v="Single"/>
    <n v="3441"/>
    <n v="11179"/>
    <n v="1"/>
    <s v="Y"/>
    <s v="Yes"/>
    <n v="13"/>
    <n v="3"/>
    <n v="3"/>
    <n v="80"/>
    <n v="0"/>
    <n v="2"/>
    <n v="3"/>
    <n v="2"/>
    <x v="4"/>
    <n v="2"/>
    <n v="2"/>
    <n v="2"/>
    <x v="2"/>
    <x v="0"/>
  </r>
  <r>
    <n v="44"/>
    <x v="1"/>
    <s v="Travel_Rarely"/>
    <n v="1488"/>
    <x v="0"/>
    <x v="0"/>
    <n v="5"/>
    <s v="Marketing"/>
    <n v="1"/>
    <n v="68"/>
    <n v="2"/>
    <x v="0"/>
    <n v="75"/>
    <n v="3"/>
    <n v="2"/>
    <x v="0"/>
    <x v="3"/>
    <s v="Divorced"/>
    <n v="5454"/>
    <n v="4009"/>
    <n v="5"/>
    <s v="Y"/>
    <s v="Yes"/>
    <n v="21"/>
    <n v="4"/>
    <n v="3"/>
    <n v="80"/>
    <n v="1"/>
    <n v="9"/>
    <n v="2"/>
    <n v="2"/>
    <x v="9"/>
    <n v="3"/>
    <n v="1"/>
    <n v="3"/>
    <x v="0"/>
    <x v="0"/>
  </r>
  <r>
    <n v="35"/>
    <x v="1"/>
    <s v="Non-Travel"/>
    <n v="1097"/>
    <x v="1"/>
    <x v="13"/>
    <n v="2"/>
    <s v="Medical"/>
    <n v="1"/>
    <n v="70"/>
    <n v="3"/>
    <x v="1"/>
    <n v="79"/>
    <n v="2"/>
    <n v="3"/>
    <x v="4"/>
    <x v="3"/>
    <s v="Married"/>
    <n v="9884"/>
    <n v="8302"/>
    <n v="2"/>
    <s v="Y"/>
    <s v="Yes"/>
    <n v="13"/>
    <n v="3"/>
    <n v="3"/>
    <n v="80"/>
    <n v="1"/>
    <n v="10"/>
    <n v="3"/>
    <n v="3"/>
    <x v="9"/>
    <n v="0"/>
    <n v="2"/>
    <n v="3"/>
    <x v="0"/>
    <x v="2"/>
  </r>
  <r>
    <n v="26"/>
    <x v="1"/>
    <s v="Travel_Rarely"/>
    <n v="1443"/>
    <x v="0"/>
    <x v="5"/>
    <n v="3"/>
    <s v="Marketing"/>
    <n v="1"/>
    <n v="72"/>
    <n v="3"/>
    <x v="0"/>
    <n v="47"/>
    <n v="2"/>
    <n v="2"/>
    <x v="0"/>
    <x v="0"/>
    <s v="Married"/>
    <n v="4157"/>
    <n v="21436"/>
    <n v="7"/>
    <s v="Y"/>
    <s v="Yes"/>
    <n v="19"/>
    <n v="3"/>
    <n v="3"/>
    <n v="80"/>
    <n v="1"/>
    <n v="5"/>
    <n v="2"/>
    <n v="2"/>
    <x v="4"/>
    <n v="2"/>
    <n v="0"/>
    <n v="0"/>
    <x v="2"/>
    <x v="0"/>
  </r>
  <r>
    <n v="33"/>
    <x v="1"/>
    <s v="Travel_Frequently"/>
    <n v="515"/>
    <x v="1"/>
    <x v="0"/>
    <n v="2"/>
    <s v="Life Sciences"/>
    <n v="1"/>
    <n v="73"/>
    <n v="1"/>
    <x v="0"/>
    <n v="98"/>
    <n v="3"/>
    <n v="3"/>
    <x v="7"/>
    <x v="0"/>
    <s v="Single"/>
    <n v="13458"/>
    <n v="15146"/>
    <n v="1"/>
    <s v="Y"/>
    <s v="Yes"/>
    <n v="12"/>
    <n v="3"/>
    <n v="3"/>
    <n v="80"/>
    <n v="0"/>
    <n v="15"/>
    <n v="1"/>
    <n v="3"/>
    <x v="15"/>
    <n v="14"/>
    <n v="8"/>
    <n v="12"/>
    <x v="2"/>
    <x v="3"/>
  </r>
  <r>
    <n v="35"/>
    <x v="1"/>
    <s v="Travel_Frequently"/>
    <n v="853"/>
    <x v="0"/>
    <x v="21"/>
    <n v="5"/>
    <s v="Life Sciences"/>
    <n v="1"/>
    <n v="74"/>
    <n v="2"/>
    <x v="1"/>
    <n v="71"/>
    <n v="3"/>
    <n v="3"/>
    <x v="0"/>
    <x v="3"/>
    <s v="Married"/>
    <n v="9069"/>
    <n v="11031"/>
    <n v="1"/>
    <s v="Y"/>
    <s v="No"/>
    <n v="22"/>
    <n v="4"/>
    <n v="4"/>
    <n v="80"/>
    <n v="1"/>
    <n v="9"/>
    <n v="3"/>
    <n v="2"/>
    <x v="7"/>
    <n v="8"/>
    <n v="1"/>
    <n v="8"/>
    <x v="0"/>
    <x v="2"/>
  </r>
  <r>
    <n v="35"/>
    <x v="1"/>
    <s v="Travel_Rarely"/>
    <n v="1142"/>
    <x v="1"/>
    <x v="5"/>
    <n v="4"/>
    <s v="Medical"/>
    <n v="1"/>
    <n v="75"/>
    <n v="3"/>
    <x v="0"/>
    <n v="30"/>
    <n v="3"/>
    <n v="1"/>
    <x v="2"/>
    <x v="3"/>
    <s v="Married"/>
    <n v="4014"/>
    <n v="16002"/>
    <n v="3"/>
    <s v="Y"/>
    <s v="Yes"/>
    <n v="15"/>
    <n v="3"/>
    <n v="3"/>
    <n v="80"/>
    <n v="1"/>
    <n v="4"/>
    <n v="3"/>
    <n v="3"/>
    <x v="4"/>
    <n v="2"/>
    <n v="2"/>
    <n v="2"/>
    <x v="0"/>
    <x v="0"/>
  </r>
  <r>
    <n v="31"/>
    <x v="1"/>
    <s v="Travel_Rarely"/>
    <n v="655"/>
    <x v="1"/>
    <x v="15"/>
    <n v="4"/>
    <s v="Life Sciences"/>
    <n v="1"/>
    <n v="76"/>
    <n v="4"/>
    <x v="1"/>
    <n v="48"/>
    <n v="3"/>
    <n v="2"/>
    <x v="2"/>
    <x v="0"/>
    <s v="Divorced"/>
    <n v="5915"/>
    <n v="9528"/>
    <n v="3"/>
    <s v="Y"/>
    <s v="No"/>
    <n v="22"/>
    <n v="4"/>
    <n v="4"/>
    <n v="80"/>
    <n v="1"/>
    <n v="10"/>
    <n v="3"/>
    <n v="2"/>
    <x v="5"/>
    <n v="7"/>
    <n v="1"/>
    <n v="7"/>
    <x v="2"/>
    <x v="0"/>
  </r>
  <r>
    <n v="37"/>
    <x v="1"/>
    <s v="Travel_Rarely"/>
    <n v="1115"/>
    <x v="1"/>
    <x v="0"/>
    <n v="4"/>
    <s v="Life Sciences"/>
    <n v="1"/>
    <n v="77"/>
    <n v="1"/>
    <x v="1"/>
    <n v="51"/>
    <n v="2"/>
    <n v="2"/>
    <x v="3"/>
    <x v="2"/>
    <s v="Divorced"/>
    <n v="5993"/>
    <n v="2689"/>
    <n v="1"/>
    <s v="Y"/>
    <s v="No"/>
    <n v="18"/>
    <n v="3"/>
    <n v="3"/>
    <n v="80"/>
    <n v="1"/>
    <n v="7"/>
    <n v="2"/>
    <n v="4"/>
    <x v="5"/>
    <n v="5"/>
    <n v="0"/>
    <n v="7"/>
    <x v="0"/>
    <x v="0"/>
  </r>
  <r>
    <n v="32"/>
    <x v="1"/>
    <s v="Travel_Rarely"/>
    <n v="427"/>
    <x v="1"/>
    <x v="0"/>
    <n v="3"/>
    <s v="Medical"/>
    <n v="1"/>
    <n v="78"/>
    <n v="1"/>
    <x v="1"/>
    <n v="33"/>
    <n v="3"/>
    <n v="2"/>
    <x v="3"/>
    <x v="0"/>
    <s v="Married"/>
    <n v="6162"/>
    <n v="10877"/>
    <n v="1"/>
    <s v="Y"/>
    <s v="Yes"/>
    <n v="22"/>
    <n v="4"/>
    <n v="2"/>
    <n v="80"/>
    <n v="1"/>
    <n v="9"/>
    <n v="3"/>
    <n v="3"/>
    <x v="7"/>
    <n v="8"/>
    <n v="7"/>
    <n v="8"/>
    <x v="2"/>
    <x v="4"/>
  </r>
  <r>
    <n v="38"/>
    <x v="1"/>
    <s v="Travel_Frequently"/>
    <n v="653"/>
    <x v="1"/>
    <x v="22"/>
    <n v="5"/>
    <s v="Life Sciences"/>
    <n v="1"/>
    <n v="79"/>
    <n v="4"/>
    <x v="0"/>
    <n v="50"/>
    <n v="3"/>
    <n v="2"/>
    <x v="2"/>
    <x v="0"/>
    <s v="Single"/>
    <n v="2406"/>
    <n v="5456"/>
    <n v="1"/>
    <s v="Y"/>
    <s v="No"/>
    <n v="11"/>
    <n v="3"/>
    <n v="4"/>
    <n v="80"/>
    <n v="0"/>
    <n v="10"/>
    <n v="2"/>
    <n v="3"/>
    <x v="1"/>
    <n v="3"/>
    <n v="9"/>
    <n v="9"/>
    <x v="0"/>
    <x v="1"/>
  </r>
  <r>
    <n v="50"/>
    <x v="1"/>
    <s v="Travel_Rarely"/>
    <n v="989"/>
    <x v="1"/>
    <x v="15"/>
    <n v="2"/>
    <s v="Medical"/>
    <n v="1"/>
    <n v="80"/>
    <n v="2"/>
    <x v="0"/>
    <n v="43"/>
    <n v="2"/>
    <n v="5"/>
    <x v="7"/>
    <x v="2"/>
    <s v="Divorced"/>
    <n v="18740"/>
    <n v="16701"/>
    <n v="5"/>
    <s v="Y"/>
    <s v="Yes"/>
    <n v="12"/>
    <n v="3"/>
    <n v="4"/>
    <n v="80"/>
    <n v="1"/>
    <n v="29"/>
    <n v="2"/>
    <n v="2"/>
    <x v="16"/>
    <n v="3"/>
    <n v="13"/>
    <n v="8"/>
    <x v="1"/>
    <x v="3"/>
  </r>
  <r>
    <n v="59"/>
    <x v="1"/>
    <s v="Travel_Rarely"/>
    <n v="1435"/>
    <x v="0"/>
    <x v="19"/>
    <n v="3"/>
    <s v="Life Sciences"/>
    <n v="1"/>
    <n v="81"/>
    <n v="1"/>
    <x v="0"/>
    <n v="99"/>
    <n v="3"/>
    <n v="3"/>
    <x v="0"/>
    <x v="3"/>
    <s v="Single"/>
    <n v="7637"/>
    <n v="2354"/>
    <n v="7"/>
    <s v="Y"/>
    <s v="No"/>
    <n v="11"/>
    <n v="3"/>
    <n v="4"/>
    <n v="80"/>
    <n v="0"/>
    <n v="28"/>
    <n v="3"/>
    <n v="2"/>
    <x v="17"/>
    <n v="16"/>
    <n v="7"/>
    <n v="9"/>
    <x v="3"/>
    <x v="4"/>
  </r>
  <r>
    <n v="36"/>
    <x v="1"/>
    <s v="Travel_Rarely"/>
    <n v="1223"/>
    <x v="1"/>
    <x v="1"/>
    <n v="3"/>
    <s v="Technical Degree"/>
    <n v="1"/>
    <n v="83"/>
    <n v="3"/>
    <x v="0"/>
    <n v="59"/>
    <n v="3"/>
    <n v="3"/>
    <x v="4"/>
    <x v="2"/>
    <s v="Divorced"/>
    <n v="10096"/>
    <n v="8202"/>
    <n v="1"/>
    <s v="Y"/>
    <s v="No"/>
    <n v="13"/>
    <n v="3"/>
    <n v="2"/>
    <n v="80"/>
    <n v="3"/>
    <n v="17"/>
    <n v="2"/>
    <n v="3"/>
    <x v="18"/>
    <n v="14"/>
    <n v="12"/>
    <n v="8"/>
    <x v="0"/>
    <x v="2"/>
  </r>
  <r>
    <n v="55"/>
    <x v="1"/>
    <s v="Travel_Rarely"/>
    <n v="836"/>
    <x v="1"/>
    <x v="1"/>
    <n v="3"/>
    <s v="Medical"/>
    <n v="1"/>
    <n v="84"/>
    <n v="4"/>
    <x v="0"/>
    <n v="33"/>
    <n v="3"/>
    <n v="4"/>
    <x v="5"/>
    <x v="2"/>
    <s v="Divorced"/>
    <n v="14756"/>
    <n v="19730"/>
    <n v="2"/>
    <s v="Y"/>
    <s v="Yes"/>
    <n v="14"/>
    <n v="3"/>
    <n v="3"/>
    <n v="80"/>
    <n v="3"/>
    <n v="21"/>
    <n v="2"/>
    <n v="3"/>
    <x v="8"/>
    <n v="0"/>
    <n v="0"/>
    <n v="2"/>
    <x v="3"/>
    <x v="3"/>
  </r>
  <r>
    <n v="36"/>
    <x v="1"/>
    <s v="Travel_Frequently"/>
    <n v="1195"/>
    <x v="1"/>
    <x v="13"/>
    <n v="3"/>
    <s v="Life Sciences"/>
    <n v="1"/>
    <n v="85"/>
    <n v="2"/>
    <x v="1"/>
    <n v="95"/>
    <n v="2"/>
    <n v="2"/>
    <x v="3"/>
    <x v="1"/>
    <s v="Single"/>
    <n v="6499"/>
    <n v="22656"/>
    <n v="1"/>
    <s v="Y"/>
    <s v="No"/>
    <n v="13"/>
    <n v="3"/>
    <n v="3"/>
    <n v="80"/>
    <n v="0"/>
    <n v="6"/>
    <n v="3"/>
    <n v="3"/>
    <x v="0"/>
    <n v="5"/>
    <n v="0"/>
    <n v="3"/>
    <x v="0"/>
    <x v="4"/>
  </r>
  <r>
    <n v="45"/>
    <x v="1"/>
    <s v="Travel_Rarely"/>
    <n v="1339"/>
    <x v="1"/>
    <x v="15"/>
    <n v="3"/>
    <s v="Life Sciences"/>
    <n v="1"/>
    <n v="86"/>
    <n v="2"/>
    <x v="1"/>
    <n v="59"/>
    <n v="3"/>
    <n v="3"/>
    <x v="1"/>
    <x v="3"/>
    <s v="Divorced"/>
    <n v="9724"/>
    <n v="18787"/>
    <n v="2"/>
    <s v="Y"/>
    <s v="No"/>
    <n v="17"/>
    <n v="3"/>
    <n v="3"/>
    <n v="80"/>
    <n v="1"/>
    <n v="25"/>
    <n v="2"/>
    <n v="3"/>
    <x v="6"/>
    <n v="0"/>
    <n v="0"/>
    <n v="0"/>
    <x v="1"/>
    <x v="2"/>
  </r>
  <r>
    <n v="35"/>
    <x v="1"/>
    <s v="Travel_Frequently"/>
    <n v="664"/>
    <x v="1"/>
    <x v="0"/>
    <n v="3"/>
    <s v="Medical"/>
    <n v="1"/>
    <n v="88"/>
    <n v="2"/>
    <x v="1"/>
    <n v="79"/>
    <n v="3"/>
    <n v="1"/>
    <x v="1"/>
    <x v="3"/>
    <s v="Married"/>
    <n v="2194"/>
    <n v="5868"/>
    <n v="4"/>
    <s v="Y"/>
    <s v="No"/>
    <n v="13"/>
    <n v="3"/>
    <n v="4"/>
    <n v="80"/>
    <n v="1"/>
    <n v="5"/>
    <n v="2"/>
    <n v="2"/>
    <x v="11"/>
    <n v="2"/>
    <n v="1"/>
    <n v="2"/>
    <x v="0"/>
    <x v="1"/>
  </r>
  <r>
    <n v="36"/>
    <x v="0"/>
    <s v="Travel_Rarely"/>
    <n v="318"/>
    <x v="1"/>
    <x v="14"/>
    <n v="3"/>
    <s v="Medical"/>
    <n v="1"/>
    <n v="90"/>
    <n v="4"/>
    <x v="1"/>
    <n v="79"/>
    <n v="2"/>
    <n v="1"/>
    <x v="1"/>
    <x v="2"/>
    <s v="Married"/>
    <n v="3388"/>
    <n v="21777"/>
    <n v="0"/>
    <s v="Y"/>
    <s v="Yes"/>
    <n v="17"/>
    <n v="3"/>
    <n v="1"/>
    <n v="80"/>
    <n v="1"/>
    <n v="2"/>
    <n v="0"/>
    <n v="2"/>
    <x v="6"/>
    <n v="0"/>
    <n v="0"/>
    <n v="0"/>
    <x v="0"/>
    <x v="0"/>
  </r>
  <r>
    <n v="59"/>
    <x v="1"/>
    <s v="Travel_Frequently"/>
    <n v="1225"/>
    <x v="0"/>
    <x v="0"/>
    <n v="1"/>
    <s v="Life Sciences"/>
    <n v="1"/>
    <n v="91"/>
    <n v="1"/>
    <x v="0"/>
    <n v="57"/>
    <n v="2"/>
    <n v="2"/>
    <x v="0"/>
    <x v="2"/>
    <s v="Single"/>
    <n v="5473"/>
    <n v="24668"/>
    <n v="7"/>
    <s v="Y"/>
    <s v="No"/>
    <n v="11"/>
    <n v="3"/>
    <n v="4"/>
    <n v="80"/>
    <n v="0"/>
    <n v="20"/>
    <n v="2"/>
    <n v="2"/>
    <x v="9"/>
    <n v="3"/>
    <n v="1"/>
    <n v="3"/>
    <x v="3"/>
    <x v="0"/>
  </r>
  <r>
    <n v="29"/>
    <x v="1"/>
    <s v="Travel_Rarely"/>
    <n v="1328"/>
    <x v="1"/>
    <x v="2"/>
    <n v="3"/>
    <s v="Life Sciences"/>
    <n v="1"/>
    <n v="94"/>
    <n v="3"/>
    <x v="1"/>
    <n v="76"/>
    <n v="3"/>
    <n v="1"/>
    <x v="1"/>
    <x v="1"/>
    <s v="Married"/>
    <n v="2703"/>
    <n v="4956"/>
    <n v="0"/>
    <s v="Y"/>
    <s v="No"/>
    <n v="23"/>
    <n v="4"/>
    <n v="4"/>
    <n v="80"/>
    <n v="1"/>
    <n v="6"/>
    <n v="3"/>
    <n v="3"/>
    <x v="8"/>
    <n v="4"/>
    <n v="0"/>
    <n v="4"/>
    <x v="2"/>
    <x v="1"/>
  </r>
  <r>
    <n v="31"/>
    <x v="1"/>
    <s v="Travel_Rarely"/>
    <n v="1082"/>
    <x v="1"/>
    <x v="0"/>
    <n v="4"/>
    <s v="Medical"/>
    <n v="1"/>
    <n v="95"/>
    <n v="3"/>
    <x v="1"/>
    <n v="87"/>
    <n v="3"/>
    <n v="1"/>
    <x v="1"/>
    <x v="1"/>
    <s v="Single"/>
    <n v="2501"/>
    <n v="18775"/>
    <n v="1"/>
    <s v="Y"/>
    <s v="No"/>
    <n v="17"/>
    <n v="3"/>
    <n v="2"/>
    <n v="80"/>
    <n v="0"/>
    <n v="1"/>
    <n v="4"/>
    <n v="3"/>
    <x v="6"/>
    <n v="1"/>
    <n v="1"/>
    <n v="0"/>
    <x v="2"/>
    <x v="1"/>
  </r>
  <r>
    <n v="32"/>
    <x v="1"/>
    <s v="Travel_Rarely"/>
    <n v="548"/>
    <x v="1"/>
    <x v="0"/>
    <n v="3"/>
    <s v="Life Sciences"/>
    <n v="1"/>
    <n v="96"/>
    <n v="2"/>
    <x v="1"/>
    <n v="66"/>
    <n v="3"/>
    <n v="2"/>
    <x v="1"/>
    <x v="1"/>
    <s v="Married"/>
    <n v="6220"/>
    <n v="7346"/>
    <n v="1"/>
    <s v="Y"/>
    <s v="No"/>
    <n v="17"/>
    <n v="3"/>
    <n v="2"/>
    <n v="80"/>
    <n v="2"/>
    <n v="10"/>
    <n v="3"/>
    <n v="3"/>
    <x v="1"/>
    <n v="4"/>
    <n v="0"/>
    <n v="9"/>
    <x v="2"/>
    <x v="4"/>
  </r>
  <r>
    <n v="36"/>
    <x v="1"/>
    <s v="Travel_Rarely"/>
    <n v="132"/>
    <x v="1"/>
    <x v="16"/>
    <n v="3"/>
    <s v="Life Sciences"/>
    <n v="1"/>
    <n v="97"/>
    <n v="2"/>
    <x v="0"/>
    <n v="55"/>
    <n v="4"/>
    <n v="1"/>
    <x v="2"/>
    <x v="0"/>
    <s v="Married"/>
    <n v="3038"/>
    <n v="22002"/>
    <n v="3"/>
    <s v="Y"/>
    <s v="No"/>
    <n v="12"/>
    <n v="3"/>
    <n v="2"/>
    <n v="80"/>
    <n v="0"/>
    <n v="5"/>
    <n v="3"/>
    <n v="3"/>
    <x v="6"/>
    <n v="0"/>
    <n v="0"/>
    <n v="0"/>
    <x v="0"/>
    <x v="0"/>
  </r>
  <r>
    <n v="31"/>
    <x v="1"/>
    <s v="Travel_Rarely"/>
    <n v="746"/>
    <x v="1"/>
    <x v="1"/>
    <n v="4"/>
    <s v="Life Sciences"/>
    <n v="1"/>
    <n v="98"/>
    <n v="3"/>
    <x v="0"/>
    <n v="61"/>
    <n v="3"/>
    <n v="2"/>
    <x v="3"/>
    <x v="0"/>
    <s v="Single"/>
    <n v="4424"/>
    <n v="20682"/>
    <n v="1"/>
    <s v="Y"/>
    <s v="No"/>
    <n v="23"/>
    <n v="4"/>
    <n v="4"/>
    <n v="80"/>
    <n v="0"/>
    <n v="11"/>
    <n v="2"/>
    <n v="3"/>
    <x v="19"/>
    <n v="7"/>
    <n v="1"/>
    <n v="8"/>
    <x v="2"/>
    <x v="0"/>
  </r>
  <r>
    <n v="35"/>
    <x v="1"/>
    <s v="Travel_Rarely"/>
    <n v="776"/>
    <x v="0"/>
    <x v="0"/>
    <n v="4"/>
    <s v="Marketing"/>
    <n v="1"/>
    <n v="100"/>
    <n v="3"/>
    <x v="1"/>
    <n v="32"/>
    <n v="2"/>
    <n v="2"/>
    <x v="0"/>
    <x v="3"/>
    <s v="Single"/>
    <n v="4312"/>
    <n v="23016"/>
    <n v="0"/>
    <s v="Y"/>
    <s v="No"/>
    <n v="14"/>
    <n v="3"/>
    <n v="2"/>
    <n v="80"/>
    <n v="0"/>
    <n v="16"/>
    <n v="2"/>
    <n v="3"/>
    <x v="15"/>
    <n v="13"/>
    <n v="2"/>
    <n v="8"/>
    <x v="0"/>
    <x v="0"/>
  </r>
  <r>
    <n v="45"/>
    <x v="1"/>
    <s v="Travel_Rarely"/>
    <n v="193"/>
    <x v="1"/>
    <x v="16"/>
    <n v="4"/>
    <s v="Other"/>
    <n v="1"/>
    <n v="101"/>
    <n v="4"/>
    <x v="1"/>
    <n v="52"/>
    <n v="3"/>
    <n v="3"/>
    <x v="7"/>
    <x v="3"/>
    <s v="Married"/>
    <n v="13245"/>
    <n v="15067"/>
    <n v="4"/>
    <s v="Y"/>
    <s v="Yes"/>
    <n v="14"/>
    <n v="3"/>
    <n v="2"/>
    <n v="80"/>
    <n v="0"/>
    <n v="17"/>
    <n v="3"/>
    <n v="4"/>
    <x v="2"/>
    <n v="0"/>
    <n v="0"/>
    <n v="0"/>
    <x v="1"/>
    <x v="3"/>
  </r>
  <r>
    <n v="37"/>
    <x v="1"/>
    <s v="Travel_Rarely"/>
    <n v="397"/>
    <x v="1"/>
    <x v="15"/>
    <n v="4"/>
    <s v="Medical"/>
    <n v="1"/>
    <n v="102"/>
    <n v="1"/>
    <x v="1"/>
    <n v="30"/>
    <n v="3"/>
    <n v="3"/>
    <x v="7"/>
    <x v="2"/>
    <s v="Single"/>
    <n v="13664"/>
    <n v="25258"/>
    <n v="4"/>
    <s v="Y"/>
    <s v="No"/>
    <n v="13"/>
    <n v="3"/>
    <n v="1"/>
    <n v="80"/>
    <n v="0"/>
    <n v="16"/>
    <n v="3"/>
    <n v="4"/>
    <x v="8"/>
    <n v="2"/>
    <n v="0"/>
    <n v="2"/>
    <x v="0"/>
    <x v="3"/>
  </r>
  <r>
    <n v="46"/>
    <x v="1"/>
    <s v="Travel_Rarely"/>
    <n v="945"/>
    <x v="2"/>
    <x v="12"/>
    <n v="2"/>
    <s v="Medical"/>
    <n v="1"/>
    <n v="103"/>
    <n v="2"/>
    <x v="1"/>
    <n v="80"/>
    <n v="3"/>
    <n v="2"/>
    <x v="8"/>
    <x v="1"/>
    <s v="Divorced"/>
    <n v="5021"/>
    <n v="10425"/>
    <n v="8"/>
    <s v="Y"/>
    <s v="Yes"/>
    <n v="22"/>
    <n v="4"/>
    <n v="4"/>
    <n v="80"/>
    <n v="1"/>
    <n v="16"/>
    <n v="2"/>
    <n v="3"/>
    <x v="9"/>
    <n v="2"/>
    <n v="0"/>
    <n v="2"/>
    <x v="1"/>
    <x v="0"/>
  </r>
  <r>
    <n v="30"/>
    <x v="1"/>
    <s v="Travel_Rarely"/>
    <n v="852"/>
    <x v="1"/>
    <x v="0"/>
    <n v="1"/>
    <s v="Life Sciences"/>
    <n v="1"/>
    <n v="104"/>
    <n v="4"/>
    <x v="1"/>
    <n v="55"/>
    <n v="2"/>
    <n v="2"/>
    <x v="2"/>
    <x v="0"/>
    <s v="Married"/>
    <n v="5126"/>
    <n v="15998"/>
    <n v="1"/>
    <s v="Y"/>
    <s v="Yes"/>
    <n v="12"/>
    <n v="3"/>
    <n v="3"/>
    <n v="80"/>
    <n v="2"/>
    <n v="10"/>
    <n v="1"/>
    <n v="2"/>
    <x v="1"/>
    <n v="8"/>
    <n v="3"/>
    <n v="0"/>
    <x v="2"/>
    <x v="0"/>
  </r>
  <r>
    <n v="35"/>
    <x v="1"/>
    <s v="Travel_Rarely"/>
    <n v="1214"/>
    <x v="1"/>
    <x v="0"/>
    <n v="3"/>
    <s v="Medical"/>
    <n v="1"/>
    <n v="105"/>
    <n v="2"/>
    <x v="1"/>
    <n v="30"/>
    <n v="2"/>
    <n v="1"/>
    <x v="1"/>
    <x v="2"/>
    <s v="Single"/>
    <n v="2859"/>
    <n v="26278"/>
    <n v="1"/>
    <s v="Y"/>
    <s v="No"/>
    <n v="18"/>
    <n v="3"/>
    <n v="1"/>
    <n v="80"/>
    <n v="0"/>
    <n v="6"/>
    <n v="3"/>
    <n v="3"/>
    <x v="0"/>
    <n v="4"/>
    <n v="0"/>
    <n v="4"/>
    <x v="0"/>
    <x v="1"/>
  </r>
  <r>
    <n v="55"/>
    <x v="1"/>
    <s v="Travel_Rarely"/>
    <n v="111"/>
    <x v="0"/>
    <x v="0"/>
    <n v="2"/>
    <s v="Life Sciences"/>
    <n v="1"/>
    <n v="106"/>
    <n v="1"/>
    <x v="1"/>
    <n v="70"/>
    <n v="3"/>
    <n v="3"/>
    <x v="0"/>
    <x v="0"/>
    <s v="Married"/>
    <n v="10239"/>
    <n v="18092"/>
    <n v="3"/>
    <s v="Y"/>
    <s v="No"/>
    <n v="14"/>
    <n v="3"/>
    <n v="4"/>
    <n v="80"/>
    <n v="1"/>
    <n v="24"/>
    <n v="4"/>
    <n v="3"/>
    <x v="6"/>
    <n v="0"/>
    <n v="1"/>
    <n v="0"/>
    <x v="3"/>
    <x v="2"/>
  </r>
  <r>
    <n v="38"/>
    <x v="1"/>
    <s v="Non-Travel"/>
    <n v="573"/>
    <x v="1"/>
    <x v="16"/>
    <n v="3"/>
    <s v="Medical"/>
    <n v="1"/>
    <n v="107"/>
    <n v="2"/>
    <x v="0"/>
    <n v="79"/>
    <n v="1"/>
    <n v="2"/>
    <x v="1"/>
    <x v="0"/>
    <s v="Divorced"/>
    <n v="5329"/>
    <n v="15717"/>
    <n v="7"/>
    <s v="Y"/>
    <s v="Yes"/>
    <n v="12"/>
    <n v="3"/>
    <n v="4"/>
    <n v="80"/>
    <n v="3"/>
    <n v="17"/>
    <n v="3"/>
    <n v="3"/>
    <x v="20"/>
    <n v="11"/>
    <n v="1"/>
    <n v="9"/>
    <x v="0"/>
    <x v="0"/>
  </r>
  <r>
    <n v="34"/>
    <x v="1"/>
    <s v="Travel_Rarely"/>
    <n v="1153"/>
    <x v="1"/>
    <x v="0"/>
    <n v="2"/>
    <s v="Medical"/>
    <n v="1"/>
    <n v="110"/>
    <n v="1"/>
    <x v="1"/>
    <n v="94"/>
    <n v="3"/>
    <n v="2"/>
    <x v="3"/>
    <x v="1"/>
    <s v="Married"/>
    <n v="4325"/>
    <n v="17736"/>
    <n v="1"/>
    <s v="Y"/>
    <s v="No"/>
    <n v="15"/>
    <n v="3"/>
    <n v="3"/>
    <n v="80"/>
    <n v="0"/>
    <n v="5"/>
    <n v="2"/>
    <n v="3"/>
    <x v="8"/>
    <n v="2"/>
    <n v="1"/>
    <n v="3"/>
    <x v="2"/>
    <x v="0"/>
  </r>
  <r>
    <n v="56"/>
    <x v="1"/>
    <s v="Travel_Rarely"/>
    <n v="1400"/>
    <x v="1"/>
    <x v="15"/>
    <n v="3"/>
    <s v="Life Sciences"/>
    <n v="1"/>
    <n v="112"/>
    <n v="4"/>
    <x v="1"/>
    <n v="49"/>
    <n v="1"/>
    <n v="3"/>
    <x v="3"/>
    <x v="0"/>
    <s v="Single"/>
    <n v="7260"/>
    <n v="21698"/>
    <n v="4"/>
    <s v="Y"/>
    <s v="No"/>
    <n v="11"/>
    <n v="3"/>
    <n v="1"/>
    <n v="80"/>
    <n v="0"/>
    <n v="37"/>
    <n v="3"/>
    <n v="2"/>
    <x v="0"/>
    <n v="4"/>
    <n v="0"/>
    <n v="2"/>
    <x v="3"/>
    <x v="4"/>
  </r>
  <r>
    <n v="23"/>
    <x v="1"/>
    <s v="Travel_Rarely"/>
    <n v="541"/>
    <x v="0"/>
    <x v="2"/>
    <n v="1"/>
    <s v="Technical Degree"/>
    <n v="1"/>
    <n v="113"/>
    <n v="3"/>
    <x v="1"/>
    <n v="62"/>
    <n v="3"/>
    <n v="1"/>
    <x v="6"/>
    <x v="3"/>
    <s v="Divorced"/>
    <n v="2322"/>
    <n v="9518"/>
    <n v="3"/>
    <s v="Y"/>
    <s v="No"/>
    <n v="13"/>
    <n v="3"/>
    <n v="3"/>
    <n v="80"/>
    <n v="1"/>
    <n v="3"/>
    <n v="3"/>
    <n v="3"/>
    <x v="2"/>
    <n v="0"/>
    <n v="0"/>
    <n v="0"/>
    <x v="4"/>
    <x v="1"/>
  </r>
  <r>
    <n v="51"/>
    <x v="1"/>
    <s v="Travel_Rarely"/>
    <n v="432"/>
    <x v="1"/>
    <x v="14"/>
    <n v="4"/>
    <s v="Life Sciences"/>
    <n v="1"/>
    <n v="116"/>
    <n v="4"/>
    <x v="1"/>
    <n v="96"/>
    <n v="3"/>
    <n v="1"/>
    <x v="2"/>
    <x v="0"/>
    <s v="Married"/>
    <n v="2075"/>
    <n v="18725"/>
    <n v="3"/>
    <s v="Y"/>
    <s v="No"/>
    <n v="23"/>
    <n v="4"/>
    <n v="2"/>
    <n v="80"/>
    <n v="2"/>
    <n v="10"/>
    <n v="4"/>
    <n v="3"/>
    <x v="9"/>
    <n v="2"/>
    <n v="0"/>
    <n v="3"/>
    <x v="1"/>
    <x v="1"/>
  </r>
  <r>
    <n v="30"/>
    <x v="1"/>
    <s v="Travel_Rarely"/>
    <n v="288"/>
    <x v="1"/>
    <x v="2"/>
    <n v="3"/>
    <s v="Life Sciences"/>
    <n v="1"/>
    <n v="117"/>
    <n v="3"/>
    <x v="1"/>
    <n v="99"/>
    <n v="2"/>
    <n v="2"/>
    <x v="4"/>
    <x v="0"/>
    <s v="Married"/>
    <n v="4152"/>
    <n v="15830"/>
    <n v="1"/>
    <s v="Y"/>
    <s v="No"/>
    <n v="19"/>
    <n v="3"/>
    <n v="1"/>
    <n v="80"/>
    <n v="3"/>
    <n v="11"/>
    <n v="3"/>
    <n v="3"/>
    <x v="19"/>
    <n v="10"/>
    <n v="10"/>
    <n v="8"/>
    <x v="2"/>
    <x v="0"/>
  </r>
  <r>
    <n v="46"/>
    <x v="0"/>
    <s v="Travel_Rarely"/>
    <n v="669"/>
    <x v="0"/>
    <x v="14"/>
    <n v="2"/>
    <s v="Medical"/>
    <n v="1"/>
    <n v="118"/>
    <n v="3"/>
    <x v="1"/>
    <n v="64"/>
    <n v="2"/>
    <n v="3"/>
    <x v="0"/>
    <x v="0"/>
    <s v="Single"/>
    <n v="9619"/>
    <n v="13596"/>
    <n v="1"/>
    <s v="Y"/>
    <s v="No"/>
    <n v="16"/>
    <n v="3"/>
    <n v="4"/>
    <n v="80"/>
    <n v="0"/>
    <n v="9"/>
    <n v="3"/>
    <n v="3"/>
    <x v="7"/>
    <n v="8"/>
    <n v="4"/>
    <n v="7"/>
    <x v="1"/>
    <x v="2"/>
  </r>
  <r>
    <n v="40"/>
    <x v="1"/>
    <s v="Travel_Frequently"/>
    <n v="530"/>
    <x v="1"/>
    <x v="0"/>
    <n v="4"/>
    <s v="Life Sciences"/>
    <n v="1"/>
    <n v="119"/>
    <n v="3"/>
    <x v="1"/>
    <n v="78"/>
    <n v="2"/>
    <n v="4"/>
    <x v="4"/>
    <x v="1"/>
    <s v="Married"/>
    <n v="13503"/>
    <n v="14115"/>
    <n v="1"/>
    <s v="Y"/>
    <s v="No"/>
    <n v="22"/>
    <n v="4"/>
    <n v="4"/>
    <n v="80"/>
    <n v="1"/>
    <n v="22"/>
    <n v="3"/>
    <n v="2"/>
    <x v="14"/>
    <n v="3"/>
    <n v="11"/>
    <n v="11"/>
    <x v="0"/>
    <x v="3"/>
  </r>
  <r>
    <n v="51"/>
    <x v="1"/>
    <s v="Travel_Rarely"/>
    <n v="632"/>
    <x v="0"/>
    <x v="11"/>
    <n v="4"/>
    <s v="Marketing"/>
    <n v="1"/>
    <n v="120"/>
    <n v="3"/>
    <x v="1"/>
    <n v="71"/>
    <n v="3"/>
    <n v="2"/>
    <x v="0"/>
    <x v="0"/>
    <s v="Single"/>
    <n v="5441"/>
    <n v="8423"/>
    <n v="0"/>
    <s v="Y"/>
    <s v="Yes"/>
    <n v="22"/>
    <n v="4"/>
    <n v="4"/>
    <n v="80"/>
    <n v="0"/>
    <n v="11"/>
    <n v="2"/>
    <n v="1"/>
    <x v="1"/>
    <n v="7"/>
    <n v="1"/>
    <n v="0"/>
    <x v="1"/>
    <x v="0"/>
  </r>
  <r>
    <n v="30"/>
    <x v="1"/>
    <s v="Travel_Rarely"/>
    <n v="1334"/>
    <x v="0"/>
    <x v="18"/>
    <n v="2"/>
    <s v="Medical"/>
    <n v="1"/>
    <n v="121"/>
    <n v="3"/>
    <x v="0"/>
    <n v="63"/>
    <n v="2"/>
    <n v="2"/>
    <x v="0"/>
    <x v="1"/>
    <s v="Divorced"/>
    <n v="5209"/>
    <n v="19760"/>
    <n v="1"/>
    <s v="Y"/>
    <s v="Yes"/>
    <n v="12"/>
    <n v="3"/>
    <n v="2"/>
    <n v="80"/>
    <n v="3"/>
    <n v="11"/>
    <n v="4"/>
    <n v="2"/>
    <x v="19"/>
    <n v="8"/>
    <n v="2"/>
    <n v="7"/>
    <x v="2"/>
    <x v="0"/>
  </r>
  <r>
    <n v="46"/>
    <x v="1"/>
    <s v="Travel_Frequently"/>
    <n v="638"/>
    <x v="1"/>
    <x v="0"/>
    <n v="3"/>
    <s v="Medical"/>
    <n v="1"/>
    <n v="124"/>
    <n v="3"/>
    <x v="1"/>
    <n v="40"/>
    <n v="2"/>
    <n v="3"/>
    <x v="4"/>
    <x v="3"/>
    <s v="Married"/>
    <n v="10673"/>
    <n v="3142"/>
    <n v="2"/>
    <s v="Y"/>
    <s v="Yes"/>
    <n v="13"/>
    <n v="3"/>
    <n v="3"/>
    <n v="80"/>
    <n v="1"/>
    <n v="21"/>
    <n v="5"/>
    <n v="2"/>
    <x v="1"/>
    <n v="9"/>
    <n v="9"/>
    <n v="5"/>
    <x v="1"/>
    <x v="2"/>
  </r>
  <r>
    <n v="32"/>
    <x v="1"/>
    <s v="Travel_Rarely"/>
    <n v="1093"/>
    <x v="0"/>
    <x v="16"/>
    <n v="4"/>
    <s v="Medical"/>
    <n v="1"/>
    <n v="125"/>
    <n v="2"/>
    <x v="1"/>
    <n v="87"/>
    <n v="3"/>
    <n v="2"/>
    <x v="0"/>
    <x v="2"/>
    <s v="Single"/>
    <n v="5010"/>
    <n v="24301"/>
    <n v="1"/>
    <s v="Y"/>
    <s v="No"/>
    <n v="16"/>
    <n v="3"/>
    <n v="1"/>
    <n v="80"/>
    <n v="0"/>
    <n v="12"/>
    <n v="0"/>
    <n v="3"/>
    <x v="19"/>
    <n v="8"/>
    <n v="5"/>
    <n v="7"/>
    <x v="2"/>
    <x v="0"/>
  </r>
  <r>
    <n v="54"/>
    <x v="1"/>
    <s v="Travel_Rarely"/>
    <n v="1217"/>
    <x v="1"/>
    <x v="2"/>
    <n v="4"/>
    <s v="Technical Degree"/>
    <n v="1"/>
    <n v="126"/>
    <n v="1"/>
    <x v="0"/>
    <n v="60"/>
    <n v="3"/>
    <n v="3"/>
    <x v="7"/>
    <x v="2"/>
    <s v="Married"/>
    <n v="13549"/>
    <n v="24001"/>
    <n v="9"/>
    <s v="Y"/>
    <s v="No"/>
    <n v="12"/>
    <n v="3"/>
    <n v="1"/>
    <n v="80"/>
    <n v="1"/>
    <n v="16"/>
    <n v="5"/>
    <n v="1"/>
    <x v="9"/>
    <n v="3"/>
    <n v="0"/>
    <n v="3"/>
    <x v="1"/>
    <x v="3"/>
  </r>
  <r>
    <n v="24"/>
    <x v="1"/>
    <s v="Travel_Rarely"/>
    <n v="1353"/>
    <x v="0"/>
    <x v="3"/>
    <n v="2"/>
    <s v="Other"/>
    <n v="1"/>
    <n v="128"/>
    <n v="1"/>
    <x v="0"/>
    <n v="33"/>
    <n v="3"/>
    <n v="2"/>
    <x v="0"/>
    <x v="2"/>
    <s v="Married"/>
    <n v="4999"/>
    <n v="17519"/>
    <n v="0"/>
    <s v="Y"/>
    <s v="No"/>
    <n v="21"/>
    <n v="4"/>
    <n v="1"/>
    <n v="80"/>
    <n v="1"/>
    <n v="4"/>
    <n v="2"/>
    <n v="2"/>
    <x v="11"/>
    <n v="2"/>
    <n v="0"/>
    <n v="2"/>
    <x v="4"/>
    <x v="0"/>
  </r>
  <r>
    <n v="28"/>
    <x v="1"/>
    <s v="Non-Travel"/>
    <n v="120"/>
    <x v="0"/>
    <x v="18"/>
    <n v="3"/>
    <s v="Medical"/>
    <n v="1"/>
    <n v="129"/>
    <n v="2"/>
    <x v="1"/>
    <n v="43"/>
    <n v="3"/>
    <n v="2"/>
    <x v="0"/>
    <x v="2"/>
    <s v="Married"/>
    <n v="4221"/>
    <n v="8863"/>
    <n v="1"/>
    <s v="Y"/>
    <s v="No"/>
    <n v="15"/>
    <n v="3"/>
    <n v="2"/>
    <n v="80"/>
    <n v="0"/>
    <n v="5"/>
    <n v="3"/>
    <n v="4"/>
    <x v="8"/>
    <n v="4"/>
    <n v="0"/>
    <n v="4"/>
    <x v="2"/>
    <x v="0"/>
  </r>
  <r>
    <n v="58"/>
    <x v="1"/>
    <s v="Travel_Rarely"/>
    <n v="682"/>
    <x v="0"/>
    <x v="17"/>
    <n v="4"/>
    <s v="Medical"/>
    <n v="1"/>
    <n v="131"/>
    <n v="4"/>
    <x v="1"/>
    <n v="37"/>
    <n v="3"/>
    <n v="4"/>
    <x v="0"/>
    <x v="2"/>
    <s v="Single"/>
    <n v="13872"/>
    <n v="24409"/>
    <n v="0"/>
    <s v="Y"/>
    <s v="No"/>
    <n v="13"/>
    <n v="3"/>
    <n v="3"/>
    <n v="80"/>
    <n v="0"/>
    <n v="38"/>
    <n v="1"/>
    <n v="2"/>
    <x v="21"/>
    <n v="10"/>
    <n v="1"/>
    <n v="8"/>
    <x v="3"/>
    <x v="3"/>
  </r>
  <r>
    <n v="44"/>
    <x v="1"/>
    <s v="Non-Travel"/>
    <n v="489"/>
    <x v="1"/>
    <x v="5"/>
    <n v="3"/>
    <s v="Medical"/>
    <n v="1"/>
    <n v="132"/>
    <n v="2"/>
    <x v="1"/>
    <n v="67"/>
    <n v="3"/>
    <n v="2"/>
    <x v="2"/>
    <x v="1"/>
    <s v="Married"/>
    <n v="2042"/>
    <n v="25043"/>
    <n v="4"/>
    <s v="Y"/>
    <s v="No"/>
    <n v="12"/>
    <n v="3"/>
    <n v="3"/>
    <n v="80"/>
    <n v="1"/>
    <n v="17"/>
    <n v="3"/>
    <n v="4"/>
    <x v="11"/>
    <n v="2"/>
    <n v="1"/>
    <n v="2"/>
    <x v="0"/>
    <x v="1"/>
  </r>
  <r>
    <n v="37"/>
    <x v="0"/>
    <s v="Travel_Rarely"/>
    <n v="807"/>
    <x v="2"/>
    <x v="16"/>
    <n v="4"/>
    <s v="Human Resources"/>
    <n v="1"/>
    <n v="133"/>
    <n v="3"/>
    <x v="1"/>
    <n v="63"/>
    <n v="3"/>
    <n v="1"/>
    <x v="8"/>
    <x v="3"/>
    <s v="Divorced"/>
    <n v="2073"/>
    <n v="23648"/>
    <n v="4"/>
    <s v="Y"/>
    <s v="Yes"/>
    <n v="22"/>
    <n v="4"/>
    <n v="4"/>
    <n v="80"/>
    <n v="0"/>
    <n v="7"/>
    <n v="3"/>
    <n v="3"/>
    <x v="11"/>
    <n v="2"/>
    <n v="0"/>
    <n v="2"/>
    <x v="0"/>
    <x v="1"/>
  </r>
  <r>
    <n v="32"/>
    <x v="1"/>
    <s v="Travel_Rarely"/>
    <n v="827"/>
    <x v="1"/>
    <x v="0"/>
    <n v="1"/>
    <s v="Life Sciences"/>
    <n v="1"/>
    <n v="134"/>
    <n v="4"/>
    <x v="1"/>
    <n v="71"/>
    <n v="3"/>
    <n v="1"/>
    <x v="1"/>
    <x v="3"/>
    <s v="Single"/>
    <n v="2956"/>
    <n v="15178"/>
    <n v="1"/>
    <s v="Y"/>
    <s v="No"/>
    <n v="13"/>
    <n v="3"/>
    <n v="4"/>
    <n v="80"/>
    <n v="0"/>
    <n v="1"/>
    <n v="2"/>
    <n v="3"/>
    <x v="6"/>
    <n v="0"/>
    <n v="0"/>
    <n v="0"/>
    <x v="2"/>
    <x v="1"/>
  </r>
  <r>
    <n v="20"/>
    <x v="0"/>
    <s v="Travel_Frequently"/>
    <n v="871"/>
    <x v="1"/>
    <x v="16"/>
    <n v="3"/>
    <s v="Life Sciences"/>
    <n v="1"/>
    <n v="137"/>
    <n v="4"/>
    <x v="0"/>
    <n v="66"/>
    <n v="2"/>
    <n v="1"/>
    <x v="2"/>
    <x v="0"/>
    <s v="Single"/>
    <n v="2926"/>
    <n v="19783"/>
    <n v="1"/>
    <s v="Y"/>
    <s v="Yes"/>
    <n v="18"/>
    <n v="3"/>
    <n v="2"/>
    <n v="80"/>
    <n v="0"/>
    <n v="1"/>
    <n v="5"/>
    <n v="3"/>
    <x v="6"/>
    <n v="0"/>
    <n v="1"/>
    <n v="0"/>
    <x v="4"/>
    <x v="1"/>
  </r>
  <r>
    <n v="34"/>
    <x v="1"/>
    <s v="Travel_Rarely"/>
    <n v="665"/>
    <x v="1"/>
    <x v="16"/>
    <n v="4"/>
    <s v="Other"/>
    <n v="1"/>
    <n v="138"/>
    <n v="1"/>
    <x v="0"/>
    <n v="41"/>
    <n v="3"/>
    <n v="2"/>
    <x v="1"/>
    <x v="2"/>
    <s v="Single"/>
    <n v="4809"/>
    <n v="12482"/>
    <n v="1"/>
    <s v="Y"/>
    <s v="No"/>
    <n v="14"/>
    <n v="3"/>
    <n v="3"/>
    <n v="80"/>
    <n v="0"/>
    <n v="16"/>
    <n v="3"/>
    <n v="3"/>
    <x v="22"/>
    <n v="13"/>
    <n v="2"/>
    <n v="10"/>
    <x v="2"/>
    <x v="0"/>
  </r>
  <r>
    <n v="37"/>
    <x v="1"/>
    <s v="Non-Travel"/>
    <n v="1040"/>
    <x v="1"/>
    <x v="2"/>
    <n v="2"/>
    <s v="Life Sciences"/>
    <n v="1"/>
    <n v="139"/>
    <n v="3"/>
    <x v="1"/>
    <n v="100"/>
    <n v="2"/>
    <n v="2"/>
    <x v="4"/>
    <x v="0"/>
    <s v="Divorced"/>
    <n v="5163"/>
    <n v="15850"/>
    <n v="5"/>
    <s v="Y"/>
    <s v="No"/>
    <n v="14"/>
    <n v="3"/>
    <n v="4"/>
    <n v="80"/>
    <n v="1"/>
    <n v="17"/>
    <n v="2"/>
    <n v="4"/>
    <x v="6"/>
    <n v="0"/>
    <n v="0"/>
    <n v="0"/>
    <x v="0"/>
    <x v="0"/>
  </r>
  <r>
    <n v="59"/>
    <x v="1"/>
    <s v="Non-Travel"/>
    <n v="1420"/>
    <x v="2"/>
    <x v="2"/>
    <n v="4"/>
    <s v="Human Resources"/>
    <n v="1"/>
    <n v="140"/>
    <n v="3"/>
    <x v="0"/>
    <n v="32"/>
    <n v="2"/>
    <n v="5"/>
    <x v="5"/>
    <x v="0"/>
    <s v="Married"/>
    <n v="18844"/>
    <n v="21922"/>
    <n v="9"/>
    <s v="Y"/>
    <s v="No"/>
    <n v="21"/>
    <n v="4"/>
    <n v="4"/>
    <n v="80"/>
    <n v="1"/>
    <n v="30"/>
    <n v="3"/>
    <n v="3"/>
    <x v="11"/>
    <n v="2"/>
    <n v="2"/>
    <n v="2"/>
    <x v="3"/>
    <x v="3"/>
  </r>
  <r>
    <n v="50"/>
    <x v="1"/>
    <s v="Travel_Frequently"/>
    <n v="1115"/>
    <x v="1"/>
    <x v="0"/>
    <n v="3"/>
    <s v="Life Sciences"/>
    <n v="1"/>
    <n v="141"/>
    <n v="1"/>
    <x v="0"/>
    <n v="73"/>
    <n v="3"/>
    <n v="5"/>
    <x v="7"/>
    <x v="1"/>
    <s v="Married"/>
    <n v="18172"/>
    <n v="9755"/>
    <n v="3"/>
    <s v="Y"/>
    <s v="Yes"/>
    <n v="19"/>
    <n v="3"/>
    <n v="1"/>
    <n v="80"/>
    <n v="0"/>
    <n v="28"/>
    <n v="1"/>
    <n v="2"/>
    <x v="3"/>
    <n v="3"/>
    <n v="0"/>
    <n v="7"/>
    <x v="1"/>
    <x v="3"/>
  </r>
  <r>
    <n v="25"/>
    <x v="0"/>
    <s v="Travel_Rarely"/>
    <n v="240"/>
    <x v="0"/>
    <x v="12"/>
    <n v="3"/>
    <s v="Marketing"/>
    <n v="1"/>
    <n v="142"/>
    <n v="3"/>
    <x v="1"/>
    <n v="46"/>
    <n v="2"/>
    <n v="2"/>
    <x v="0"/>
    <x v="2"/>
    <s v="Single"/>
    <n v="5744"/>
    <n v="26959"/>
    <n v="1"/>
    <s v="Y"/>
    <s v="Yes"/>
    <n v="11"/>
    <n v="3"/>
    <n v="4"/>
    <n v="80"/>
    <n v="0"/>
    <n v="6"/>
    <n v="1"/>
    <n v="3"/>
    <x v="0"/>
    <n v="4"/>
    <n v="0"/>
    <n v="3"/>
    <x v="2"/>
    <x v="0"/>
  </r>
  <r>
    <n v="25"/>
    <x v="1"/>
    <s v="Travel_Rarely"/>
    <n v="1280"/>
    <x v="1"/>
    <x v="15"/>
    <n v="1"/>
    <s v="Medical"/>
    <n v="1"/>
    <n v="143"/>
    <n v="4"/>
    <x v="1"/>
    <n v="64"/>
    <n v="2"/>
    <n v="1"/>
    <x v="1"/>
    <x v="0"/>
    <s v="Married"/>
    <n v="2889"/>
    <n v="26897"/>
    <n v="1"/>
    <s v="Y"/>
    <s v="No"/>
    <n v="11"/>
    <n v="3"/>
    <n v="3"/>
    <n v="80"/>
    <n v="2"/>
    <n v="2"/>
    <n v="2"/>
    <n v="3"/>
    <x v="4"/>
    <n v="2"/>
    <n v="2"/>
    <n v="1"/>
    <x v="2"/>
    <x v="1"/>
  </r>
  <r>
    <n v="22"/>
    <x v="1"/>
    <s v="Travel_Rarely"/>
    <n v="534"/>
    <x v="1"/>
    <x v="8"/>
    <n v="3"/>
    <s v="Medical"/>
    <n v="1"/>
    <n v="144"/>
    <n v="2"/>
    <x v="0"/>
    <n v="59"/>
    <n v="3"/>
    <n v="1"/>
    <x v="2"/>
    <x v="0"/>
    <s v="Single"/>
    <n v="2871"/>
    <n v="23785"/>
    <n v="1"/>
    <s v="Y"/>
    <s v="No"/>
    <n v="15"/>
    <n v="3"/>
    <n v="3"/>
    <n v="80"/>
    <n v="0"/>
    <n v="1"/>
    <n v="5"/>
    <n v="3"/>
    <x v="2"/>
    <n v="0"/>
    <n v="0"/>
    <n v="0"/>
    <x v="4"/>
    <x v="1"/>
  </r>
  <r>
    <n v="51"/>
    <x v="1"/>
    <s v="Travel_Frequently"/>
    <n v="1456"/>
    <x v="1"/>
    <x v="0"/>
    <n v="4"/>
    <s v="Medical"/>
    <n v="1"/>
    <n v="145"/>
    <n v="1"/>
    <x v="0"/>
    <n v="30"/>
    <n v="2"/>
    <n v="3"/>
    <x v="4"/>
    <x v="3"/>
    <s v="Single"/>
    <n v="7484"/>
    <n v="25796"/>
    <n v="3"/>
    <s v="Y"/>
    <s v="No"/>
    <n v="20"/>
    <n v="4"/>
    <n v="3"/>
    <n v="80"/>
    <n v="0"/>
    <n v="23"/>
    <n v="1"/>
    <n v="2"/>
    <x v="20"/>
    <n v="12"/>
    <n v="12"/>
    <n v="8"/>
    <x v="1"/>
    <x v="4"/>
  </r>
  <r>
    <n v="34"/>
    <x v="0"/>
    <s v="Travel_Frequently"/>
    <n v="658"/>
    <x v="1"/>
    <x v="15"/>
    <n v="3"/>
    <s v="Life Sciences"/>
    <n v="1"/>
    <n v="147"/>
    <n v="1"/>
    <x v="1"/>
    <n v="66"/>
    <n v="1"/>
    <n v="2"/>
    <x v="2"/>
    <x v="2"/>
    <s v="Single"/>
    <n v="6074"/>
    <n v="22887"/>
    <n v="1"/>
    <s v="Y"/>
    <s v="Yes"/>
    <n v="24"/>
    <n v="4"/>
    <n v="4"/>
    <n v="80"/>
    <n v="0"/>
    <n v="9"/>
    <n v="3"/>
    <n v="3"/>
    <x v="7"/>
    <n v="7"/>
    <n v="0"/>
    <n v="6"/>
    <x v="2"/>
    <x v="4"/>
  </r>
  <r>
    <n v="54"/>
    <x v="1"/>
    <s v="Non-Travel"/>
    <n v="142"/>
    <x v="2"/>
    <x v="9"/>
    <n v="3"/>
    <s v="Human Resources"/>
    <n v="1"/>
    <n v="148"/>
    <n v="4"/>
    <x v="0"/>
    <n v="30"/>
    <n v="4"/>
    <n v="4"/>
    <x v="5"/>
    <x v="0"/>
    <s v="Single"/>
    <n v="17328"/>
    <n v="13871"/>
    <n v="2"/>
    <s v="Y"/>
    <s v="Yes"/>
    <n v="12"/>
    <n v="3"/>
    <n v="3"/>
    <n v="80"/>
    <n v="0"/>
    <n v="23"/>
    <n v="3"/>
    <n v="3"/>
    <x v="8"/>
    <n v="3"/>
    <n v="4"/>
    <n v="4"/>
    <x v="1"/>
    <x v="3"/>
  </r>
  <r>
    <n v="24"/>
    <x v="1"/>
    <s v="Travel_Rarely"/>
    <n v="1127"/>
    <x v="1"/>
    <x v="21"/>
    <n v="1"/>
    <s v="Life Sciences"/>
    <n v="1"/>
    <n v="150"/>
    <n v="2"/>
    <x v="1"/>
    <n v="52"/>
    <n v="3"/>
    <n v="1"/>
    <x v="2"/>
    <x v="2"/>
    <s v="Married"/>
    <n v="2774"/>
    <n v="13257"/>
    <n v="0"/>
    <s v="Y"/>
    <s v="No"/>
    <n v="12"/>
    <n v="3"/>
    <n v="3"/>
    <n v="80"/>
    <n v="1"/>
    <n v="6"/>
    <n v="2"/>
    <n v="3"/>
    <x v="8"/>
    <n v="3"/>
    <n v="1"/>
    <n v="2"/>
    <x v="4"/>
    <x v="1"/>
  </r>
  <r>
    <n v="34"/>
    <x v="1"/>
    <s v="Travel_Rarely"/>
    <n v="1031"/>
    <x v="1"/>
    <x v="16"/>
    <n v="4"/>
    <s v="Life Sciences"/>
    <n v="1"/>
    <n v="151"/>
    <n v="3"/>
    <x v="0"/>
    <n v="45"/>
    <n v="2"/>
    <n v="2"/>
    <x v="1"/>
    <x v="1"/>
    <s v="Divorced"/>
    <n v="4505"/>
    <n v="15000"/>
    <n v="6"/>
    <s v="Y"/>
    <s v="No"/>
    <n v="15"/>
    <n v="3"/>
    <n v="3"/>
    <n v="80"/>
    <n v="1"/>
    <n v="12"/>
    <n v="3"/>
    <n v="3"/>
    <x v="6"/>
    <n v="0"/>
    <n v="0"/>
    <n v="0"/>
    <x v="2"/>
    <x v="0"/>
  </r>
  <r>
    <n v="37"/>
    <x v="1"/>
    <s v="Travel_Rarely"/>
    <n v="1189"/>
    <x v="0"/>
    <x v="3"/>
    <n v="3"/>
    <s v="Life Sciences"/>
    <n v="1"/>
    <n v="152"/>
    <n v="3"/>
    <x v="1"/>
    <n v="87"/>
    <n v="3"/>
    <n v="3"/>
    <x v="0"/>
    <x v="0"/>
    <s v="Single"/>
    <n v="7428"/>
    <n v="14506"/>
    <n v="2"/>
    <s v="Y"/>
    <s v="No"/>
    <n v="12"/>
    <n v="3"/>
    <n v="1"/>
    <n v="80"/>
    <n v="0"/>
    <n v="12"/>
    <n v="3"/>
    <n v="3"/>
    <x v="8"/>
    <n v="3"/>
    <n v="1"/>
    <n v="3"/>
    <x v="0"/>
    <x v="4"/>
  </r>
  <r>
    <n v="34"/>
    <x v="1"/>
    <s v="Travel_Rarely"/>
    <n v="1354"/>
    <x v="1"/>
    <x v="12"/>
    <n v="3"/>
    <s v="Medical"/>
    <n v="1"/>
    <n v="153"/>
    <n v="3"/>
    <x v="0"/>
    <n v="45"/>
    <n v="2"/>
    <n v="3"/>
    <x v="5"/>
    <x v="3"/>
    <s v="Single"/>
    <n v="11631"/>
    <n v="5615"/>
    <n v="2"/>
    <s v="Y"/>
    <s v="No"/>
    <n v="12"/>
    <n v="3"/>
    <n v="4"/>
    <n v="80"/>
    <n v="0"/>
    <n v="14"/>
    <n v="6"/>
    <n v="3"/>
    <x v="19"/>
    <n v="10"/>
    <n v="5"/>
    <n v="8"/>
    <x v="2"/>
    <x v="2"/>
  </r>
  <r>
    <n v="36"/>
    <x v="1"/>
    <s v="Travel_Frequently"/>
    <n v="1467"/>
    <x v="0"/>
    <x v="13"/>
    <n v="2"/>
    <s v="Technical Degree"/>
    <n v="1"/>
    <n v="154"/>
    <n v="2"/>
    <x v="0"/>
    <n v="92"/>
    <n v="3"/>
    <n v="3"/>
    <x v="0"/>
    <x v="0"/>
    <s v="Married"/>
    <n v="9738"/>
    <n v="22952"/>
    <n v="0"/>
    <s v="Y"/>
    <s v="No"/>
    <n v="14"/>
    <n v="3"/>
    <n v="3"/>
    <n v="80"/>
    <n v="1"/>
    <n v="10"/>
    <n v="6"/>
    <n v="3"/>
    <x v="7"/>
    <n v="7"/>
    <n v="2"/>
    <n v="8"/>
    <x v="0"/>
    <x v="2"/>
  </r>
  <r>
    <n v="36"/>
    <x v="1"/>
    <s v="Travel_Rarely"/>
    <n v="922"/>
    <x v="1"/>
    <x v="3"/>
    <n v="2"/>
    <s v="Life Sciences"/>
    <n v="1"/>
    <n v="155"/>
    <n v="1"/>
    <x v="0"/>
    <n v="39"/>
    <n v="3"/>
    <n v="1"/>
    <x v="2"/>
    <x v="0"/>
    <s v="Divorced"/>
    <n v="2835"/>
    <n v="2561"/>
    <n v="5"/>
    <s v="Y"/>
    <s v="No"/>
    <n v="22"/>
    <n v="4"/>
    <n v="1"/>
    <n v="80"/>
    <n v="1"/>
    <n v="7"/>
    <n v="2"/>
    <n v="3"/>
    <x v="6"/>
    <n v="0"/>
    <n v="0"/>
    <n v="0"/>
    <x v="0"/>
    <x v="1"/>
  </r>
  <r>
    <n v="43"/>
    <x v="1"/>
    <s v="Travel_Frequently"/>
    <n v="394"/>
    <x v="0"/>
    <x v="9"/>
    <n v="2"/>
    <s v="Life Sciences"/>
    <n v="1"/>
    <n v="158"/>
    <n v="3"/>
    <x v="1"/>
    <n v="92"/>
    <n v="3"/>
    <n v="4"/>
    <x v="5"/>
    <x v="0"/>
    <s v="Married"/>
    <n v="16959"/>
    <n v="19494"/>
    <n v="1"/>
    <s v="Y"/>
    <s v="Yes"/>
    <n v="12"/>
    <n v="3"/>
    <n v="4"/>
    <n v="80"/>
    <n v="2"/>
    <n v="25"/>
    <n v="3"/>
    <n v="4"/>
    <x v="10"/>
    <n v="12"/>
    <n v="4"/>
    <n v="12"/>
    <x v="0"/>
    <x v="3"/>
  </r>
  <r>
    <n v="30"/>
    <x v="1"/>
    <s v="Travel_Frequently"/>
    <n v="1312"/>
    <x v="1"/>
    <x v="5"/>
    <n v="3"/>
    <s v="Life Sciences"/>
    <n v="1"/>
    <n v="159"/>
    <n v="1"/>
    <x v="1"/>
    <n v="96"/>
    <n v="1"/>
    <n v="1"/>
    <x v="1"/>
    <x v="2"/>
    <s v="Divorced"/>
    <n v="2613"/>
    <n v="22310"/>
    <n v="1"/>
    <s v="Y"/>
    <s v="No"/>
    <n v="25"/>
    <n v="4"/>
    <n v="3"/>
    <n v="80"/>
    <n v="3"/>
    <n v="10"/>
    <n v="2"/>
    <n v="2"/>
    <x v="1"/>
    <n v="7"/>
    <n v="0"/>
    <n v="9"/>
    <x v="2"/>
    <x v="1"/>
  </r>
  <r>
    <n v="33"/>
    <x v="1"/>
    <s v="Non-Travel"/>
    <n v="750"/>
    <x v="0"/>
    <x v="23"/>
    <n v="2"/>
    <s v="Marketing"/>
    <n v="1"/>
    <n v="160"/>
    <n v="3"/>
    <x v="1"/>
    <n v="95"/>
    <n v="3"/>
    <n v="2"/>
    <x v="0"/>
    <x v="1"/>
    <s v="Married"/>
    <n v="6146"/>
    <n v="15480"/>
    <n v="0"/>
    <s v="Y"/>
    <s v="No"/>
    <n v="13"/>
    <n v="3"/>
    <n v="1"/>
    <n v="80"/>
    <n v="1"/>
    <n v="8"/>
    <n v="2"/>
    <n v="4"/>
    <x v="5"/>
    <n v="7"/>
    <n v="0"/>
    <n v="7"/>
    <x v="2"/>
    <x v="4"/>
  </r>
  <r>
    <n v="56"/>
    <x v="0"/>
    <s v="Travel_Rarely"/>
    <n v="441"/>
    <x v="1"/>
    <x v="24"/>
    <n v="4"/>
    <s v="Life Sciences"/>
    <n v="1"/>
    <n v="161"/>
    <n v="2"/>
    <x v="0"/>
    <n v="72"/>
    <n v="3"/>
    <n v="1"/>
    <x v="1"/>
    <x v="1"/>
    <s v="Married"/>
    <n v="4963"/>
    <n v="4510"/>
    <n v="9"/>
    <s v="Y"/>
    <s v="Yes"/>
    <n v="18"/>
    <n v="3"/>
    <n v="1"/>
    <n v="80"/>
    <n v="3"/>
    <n v="7"/>
    <n v="2"/>
    <n v="3"/>
    <x v="8"/>
    <n v="4"/>
    <n v="4"/>
    <n v="3"/>
    <x v="3"/>
    <x v="0"/>
  </r>
  <r>
    <n v="51"/>
    <x v="1"/>
    <s v="Travel_Rarely"/>
    <n v="684"/>
    <x v="1"/>
    <x v="16"/>
    <n v="3"/>
    <s v="Life Sciences"/>
    <n v="1"/>
    <n v="162"/>
    <n v="1"/>
    <x v="1"/>
    <n v="51"/>
    <n v="3"/>
    <n v="5"/>
    <x v="7"/>
    <x v="2"/>
    <s v="Single"/>
    <n v="19537"/>
    <n v="6462"/>
    <n v="7"/>
    <s v="Y"/>
    <s v="No"/>
    <n v="13"/>
    <n v="3"/>
    <n v="3"/>
    <n v="80"/>
    <n v="0"/>
    <n v="23"/>
    <n v="5"/>
    <n v="3"/>
    <x v="23"/>
    <n v="18"/>
    <n v="15"/>
    <n v="15"/>
    <x v="1"/>
    <x v="3"/>
  </r>
  <r>
    <n v="31"/>
    <x v="0"/>
    <s v="Travel_Rarely"/>
    <n v="249"/>
    <x v="0"/>
    <x v="16"/>
    <n v="4"/>
    <s v="Life Sciences"/>
    <n v="1"/>
    <n v="163"/>
    <n v="2"/>
    <x v="1"/>
    <n v="76"/>
    <n v="1"/>
    <n v="2"/>
    <x v="0"/>
    <x v="2"/>
    <s v="Married"/>
    <n v="6172"/>
    <n v="20739"/>
    <n v="4"/>
    <s v="Y"/>
    <s v="Yes"/>
    <n v="18"/>
    <n v="3"/>
    <n v="2"/>
    <n v="80"/>
    <n v="0"/>
    <n v="12"/>
    <n v="3"/>
    <n v="2"/>
    <x v="5"/>
    <n v="7"/>
    <n v="7"/>
    <n v="7"/>
    <x v="2"/>
    <x v="4"/>
  </r>
  <r>
    <n v="26"/>
    <x v="1"/>
    <s v="Travel_Rarely"/>
    <n v="841"/>
    <x v="1"/>
    <x v="16"/>
    <n v="3"/>
    <s v="Other"/>
    <n v="1"/>
    <n v="164"/>
    <n v="3"/>
    <x v="0"/>
    <n v="46"/>
    <n v="2"/>
    <n v="1"/>
    <x v="1"/>
    <x v="1"/>
    <s v="Married"/>
    <n v="2368"/>
    <n v="23300"/>
    <n v="1"/>
    <s v="Y"/>
    <s v="No"/>
    <n v="19"/>
    <n v="3"/>
    <n v="3"/>
    <n v="80"/>
    <n v="0"/>
    <n v="5"/>
    <n v="3"/>
    <n v="2"/>
    <x v="8"/>
    <n v="4"/>
    <n v="4"/>
    <n v="3"/>
    <x v="2"/>
    <x v="1"/>
  </r>
  <r>
    <n v="58"/>
    <x v="0"/>
    <s v="Travel_Rarely"/>
    <n v="147"/>
    <x v="1"/>
    <x v="5"/>
    <n v="4"/>
    <s v="Medical"/>
    <n v="1"/>
    <n v="165"/>
    <n v="4"/>
    <x v="0"/>
    <n v="94"/>
    <n v="3"/>
    <n v="3"/>
    <x v="4"/>
    <x v="0"/>
    <s v="Married"/>
    <n v="10312"/>
    <n v="3465"/>
    <n v="1"/>
    <s v="Y"/>
    <s v="No"/>
    <n v="12"/>
    <n v="3"/>
    <n v="4"/>
    <n v="80"/>
    <n v="1"/>
    <n v="40"/>
    <n v="3"/>
    <n v="2"/>
    <x v="24"/>
    <n v="10"/>
    <n v="15"/>
    <n v="6"/>
    <x v="3"/>
    <x v="2"/>
  </r>
  <r>
    <n v="19"/>
    <x v="0"/>
    <s v="Travel_Rarely"/>
    <n v="528"/>
    <x v="0"/>
    <x v="23"/>
    <n v="1"/>
    <s v="Marketing"/>
    <n v="1"/>
    <n v="167"/>
    <n v="4"/>
    <x v="1"/>
    <n v="50"/>
    <n v="3"/>
    <n v="1"/>
    <x v="6"/>
    <x v="2"/>
    <s v="Single"/>
    <n v="1675"/>
    <n v="26820"/>
    <n v="1"/>
    <s v="Y"/>
    <s v="Yes"/>
    <n v="19"/>
    <n v="3"/>
    <n v="4"/>
    <n v="80"/>
    <n v="0"/>
    <n v="0"/>
    <n v="2"/>
    <n v="2"/>
    <x v="2"/>
    <n v="0"/>
    <n v="0"/>
    <n v="0"/>
    <x v="4"/>
    <x v="1"/>
  </r>
  <r>
    <n v="22"/>
    <x v="1"/>
    <s v="Travel_Rarely"/>
    <n v="594"/>
    <x v="1"/>
    <x v="2"/>
    <n v="1"/>
    <s v="Technical Degree"/>
    <n v="1"/>
    <n v="169"/>
    <n v="3"/>
    <x v="1"/>
    <n v="100"/>
    <n v="3"/>
    <n v="1"/>
    <x v="2"/>
    <x v="0"/>
    <s v="Married"/>
    <n v="2523"/>
    <n v="19299"/>
    <n v="0"/>
    <s v="Y"/>
    <s v="No"/>
    <n v="14"/>
    <n v="3"/>
    <n v="3"/>
    <n v="80"/>
    <n v="1"/>
    <n v="3"/>
    <n v="2"/>
    <n v="3"/>
    <x v="4"/>
    <n v="1"/>
    <n v="2"/>
    <n v="1"/>
    <x v="4"/>
    <x v="1"/>
  </r>
  <r>
    <n v="49"/>
    <x v="1"/>
    <s v="Travel_Rarely"/>
    <n v="470"/>
    <x v="1"/>
    <x v="25"/>
    <n v="4"/>
    <s v="Medical"/>
    <n v="1"/>
    <n v="170"/>
    <n v="3"/>
    <x v="0"/>
    <n v="96"/>
    <n v="3"/>
    <n v="2"/>
    <x v="3"/>
    <x v="3"/>
    <s v="Married"/>
    <n v="6567"/>
    <n v="5549"/>
    <n v="1"/>
    <s v="Y"/>
    <s v="No"/>
    <n v="14"/>
    <n v="3"/>
    <n v="3"/>
    <n v="80"/>
    <n v="0"/>
    <n v="16"/>
    <n v="2"/>
    <n v="2"/>
    <x v="15"/>
    <n v="11"/>
    <n v="5"/>
    <n v="11"/>
    <x v="1"/>
    <x v="4"/>
  </r>
  <r>
    <n v="43"/>
    <x v="1"/>
    <s v="Travel_Frequently"/>
    <n v="957"/>
    <x v="1"/>
    <x v="26"/>
    <n v="3"/>
    <s v="Medical"/>
    <n v="1"/>
    <n v="171"/>
    <n v="2"/>
    <x v="0"/>
    <n v="72"/>
    <n v="4"/>
    <n v="1"/>
    <x v="1"/>
    <x v="2"/>
    <s v="Single"/>
    <n v="4739"/>
    <n v="16090"/>
    <n v="4"/>
    <s v="Y"/>
    <s v="No"/>
    <n v="12"/>
    <n v="3"/>
    <n v="4"/>
    <n v="80"/>
    <n v="0"/>
    <n v="18"/>
    <n v="2"/>
    <n v="3"/>
    <x v="11"/>
    <n v="2"/>
    <n v="1"/>
    <n v="2"/>
    <x v="0"/>
    <x v="0"/>
  </r>
  <r>
    <n v="50"/>
    <x v="1"/>
    <s v="Travel_Frequently"/>
    <n v="809"/>
    <x v="0"/>
    <x v="20"/>
    <n v="3"/>
    <s v="Marketing"/>
    <n v="1"/>
    <n v="174"/>
    <n v="3"/>
    <x v="0"/>
    <n v="77"/>
    <n v="3"/>
    <n v="3"/>
    <x v="0"/>
    <x v="0"/>
    <s v="Single"/>
    <n v="9208"/>
    <n v="6645"/>
    <n v="4"/>
    <s v="Y"/>
    <s v="No"/>
    <n v="11"/>
    <n v="3"/>
    <n v="4"/>
    <n v="80"/>
    <n v="0"/>
    <n v="16"/>
    <n v="3"/>
    <n v="3"/>
    <x v="4"/>
    <n v="2"/>
    <n v="2"/>
    <n v="1"/>
    <x v="1"/>
    <x v="2"/>
  </r>
  <r>
    <n v="31"/>
    <x v="0"/>
    <s v="Travel_Rarely"/>
    <n v="542"/>
    <x v="0"/>
    <x v="25"/>
    <n v="3"/>
    <s v="Life Sciences"/>
    <n v="1"/>
    <n v="175"/>
    <n v="2"/>
    <x v="0"/>
    <n v="71"/>
    <n v="1"/>
    <n v="2"/>
    <x v="0"/>
    <x v="2"/>
    <s v="Married"/>
    <n v="4559"/>
    <n v="24788"/>
    <n v="3"/>
    <s v="Y"/>
    <s v="Yes"/>
    <n v="11"/>
    <n v="3"/>
    <n v="3"/>
    <n v="80"/>
    <n v="1"/>
    <n v="4"/>
    <n v="2"/>
    <n v="3"/>
    <x v="4"/>
    <n v="2"/>
    <n v="2"/>
    <n v="2"/>
    <x v="2"/>
    <x v="0"/>
  </r>
  <r>
    <n v="41"/>
    <x v="1"/>
    <s v="Travel_Rarely"/>
    <n v="802"/>
    <x v="0"/>
    <x v="14"/>
    <n v="1"/>
    <s v="Life Sciences"/>
    <n v="1"/>
    <n v="176"/>
    <n v="3"/>
    <x v="1"/>
    <n v="96"/>
    <n v="3"/>
    <n v="3"/>
    <x v="0"/>
    <x v="2"/>
    <s v="Divorced"/>
    <n v="8189"/>
    <n v="21196"/>
    <n v="3"/>
    <s v="Y"/>
    <s v="Yes"/>
    <n v="13"/>
    <n v="3"/>
    <n v="3"/>
    <n v="80"/>
    <n v="1"/>
    <n v="12"/>
    <n v="2"/>
    <n v="3"/>
    <x v="7"/>
    <n v="7"/>
    <n v="0"/>
    <n v="7"/>
    <x v="0"/>
    <x v="4"/>
  </r>
  <r>
    <n v="26"/>
    <x v="1"/>
    <s v="Travel_Rarely"/>
    <n v="1355"/>
    <x v="2"/>
    <x v="19"/>
    <n v="1"/>
    <s v="Life Sciences"/>
    <n v="1"/>
    <n v="177"/>
    <n v="3"/>
    <x v="0"/>
    <n v="61"/>
    <n v="3"/>
    <n v="1"/>
    <x v="8"/>
    <x v="2"/>
    <s v="Married"/>
    <n v="2942"/>
    <n v="8916"/>
    <n v="1"/>
    <s v="Y"/>
    <s v="No"/>
    <n v="23"/>
    <n v="4"/>
    <n v="4"/>
    <n v="80"/>
    <n v="1"/>
    <n v="8"/>
    <n v="3"/>
    <n v="3"/>
    <x v="3"/>
    <n v="7"/>
    <n v="5"/>
    <n v="7"/>
    <x v="2"/>
    <x v="1"/>
  </r>
  <r>
    <n v="36"/>
    <x v="1"/>
    <s v="Travel_Rarely"/>
    <n v="216"/>
    <x v="1"/>
    <x v="16"/>
    <n v="2"/>
    <s v="Medical"/>
    <n v="1"/>
    <n v="178"/>
    <n v="2"/>
    <x v="1"/>
    <n v="84"/>
    <n v="3"/>
    <n v="2"/>
    <x v="3"/>
    <x v="1"/>
    <s v="Divorced"/>
    <n v="4941"/>
    <n v="2819"/>
    <n v="6"/>
    <s v="Y"/>
    <s v="No"/>
    <n v="20"/>
    <n v="4"/>
    <n v="4"/>
    <n v="80"/>
    <n v="2"/>
    <n v="7"/>
    <n v="0"/>
    <n v="3"/>
    <x v="11"/>
    <n v="2"/>
    <n v="0"/>
    <n v="1"/>
    <x v="0"/>
    <x v="0"/>
  </r>
  <r>
    <n v="51"/>
    <x v="0"/>
    <s v="Travel_Frequently"/>
    <n v="1150"/>
    <x v="1"/>
    <x v="1"/>
    <n v="4"/>
    <s v="Life Sciences"/>
    <n v="1"/>
    <n v="179"/>
    <n v="1"/>
    <x v="1"/>
    <n v="53"/>
    <n v="1"/>
    <n v="3"/>
    <x v="3"/>
    <x v="0"/>
    <s v="Single"/>
    <n v="10650"/>
    <n v="25150"/>
    <n v="2"/>
    <s v="Y"/>
    <s v="No"/>
    <n v="15"/>
    <n v="3"/>
    <n v="4"/>
    <n v="80"/>
    <n v="0"/>
    <n v="18"/>
    <n v="2"/>
    <n v="3"/>
    <x v="9"/>
    <n v="2"/>
    <n v="0"/>
    <n v="3"/>
    <x v="1"/>
    <x v="2"/>
  </r>
  <r>
    <n v="39"/>
    <x v="1"/>
    <s v="Travel_Rarely"/>
    <n v="1329"/>
    <x v="0"/>
    <x v="18"/>
    <n v="4"/>
    <s v="Life Sciences"/>
    <n v="1"/>
    <n v="182"/>
    <n v="4"/>
    <x v="0"/>
    <n v="47"/>
    <n v="2"/>
    <n v="2"/>
    <x v="0"/>
    <x v="2"/>
    <s v="Married"/>
    <n v="5902"/>
    <n v="14590"/>
    <n v="4"/>
    <s v="Y"/>
    <s v="No"/>
    <n v="14"/>
    <n v="3"/>
    <n v="3"/>
    <n v="80"/>
    <n v="1"/>
    <n v="17"/>
    <n v="1"/>
    <n v="4"/>
    <x v="15"/>
    <n v="11"/>
    <n v="5"/>
    <n v="9"/>
    <x v="0"/>
    <x v="0"/>
  </r>
  <r>
    <n v="25"/>
    <x v="1"/>
    <s v="Travel_Rarely"/>
    <n v="959"/>
    <x v="0"/>
    <x v="26"/>
    <n v="3"/>
    <s v="Life Sciences"/>
    <n v="1"/>
    <n v="183"/>
    <n v="1"/>
    <x v="1"/>
    <n v="41"/>
    <n v="2"/>
    <n v="2"/>
    <x v="0"/>
    <x v="2"/>
    <s v="Married"/>
    <n v="8639"/>
    <n v="24835"/>
    <n v="2"/>
    <s v="Y"/>
    <s v="No"/>
    <n v="18"/>
    <n v="3"/>
    <n v="4"/>
    <n v="80"/>
    <n v="0"/>
    <n v="6"/>
    <n v="3"/>
    <n v="3"/>
    <x v="4"/>
    <n v="2"/>
    <n v="2"/>
    <n v="2"/>
    <x v="2"/>
    <x v="4"/>
  </r>
  <r>
    <n v="30"/>
    <x v="1"/>
    <s v="Travel_Rarely"/>
    <n v="1240"/>
    <x v="2"/>
    <x v="14"/>
    <n v="3"/>
    <s v="Human Resources"/>
    <n v="1"/>
    <n v="184"/>
    <n v="3"/>
    <x v="1"/>
    <n v="48"/>
    <n v="3"/>
    <n v="2"/>
    <x v="8"/>
    <x v="0"/>
    <s v="Married"/>
    <n v="6347"/>
    <n v="13982"/>
    <n v="0"/>
    <s v="Y"/>
    <s v="Yes"/>
    <n v="19"/>
    <n v="3"/>
    <n v="4"/>
    <n v="80"/>
    <n v="0"/>
    <n v="12"/>
    <n v="2"/>
    <n v="1"/>
    <x v="19"/>
    <n v="9"/>
    <n v="4"/>
    <n v="7"/>
    <x v="2"/>
    <x v="4"/>
  </r>
  <r>
    <n v="32"/>
    <x v="0"/>
    <s v="Travel_Rarely"/>
    <n v="1033"/>
    <x v="1"/>
    <x v="14"/>
    <n v="3"/>
    <s v="Medical"/>
    <n v="1"/>
    <n v="190"/>
    <n v="1"/>
    <x v="0"/>
    <n v="41"/>
    <n v="3"/>
    <n v="1"/>
    <x v="2"/>
    <x v="3"/>
    <s v="Single"/>
    <n v="4200"/>
    <n v="10224"/>
    <n v="7"/>
    <s v="Y"/>
    <s v="No"/>
    <n v="22"/>
    <n v="4"/>
    <n v="1"/>
    <n v="80"/>
    <n v="0"/>
    <n v="10"/>
    <n v="2"/>
    <n v="4"/>
    <x v="8"/>
    <n v="4"/>
    <n v="0"/>
    <n v="4"/>
    <x v="2"/>
    <x v="0"/>
  </r>
  <r>
    <n v="45"/>
    <x v="1"/>
    <s v="Travel_Rarely"/>
    <n v="1316"/>
    <x v="1"/>
    <x v="22"/>
    <n v="3"/>
    <s v="Medical"/>
    <n v="1"/>
    <n v="192"/>
    <n v="3"/>
    <x v="1"/>
    <n v="83"/>
    <n v="3"/>
    <n v="1"/>
    <x v="1"/>
    <x v="0"/>
    <s v="Single"/>
    <n v="3452"/>
    <n v="9752"/>
    <n v="5"/>
    <s v="Y"/>
    <s v="No"/>
    <n v="13"/>
    <n v="3"/>
    <n v="2"/>
    <n v="80"/>
    <n v="0"/>
    <n v="9"/>
    <n v="2"/>
    <n v="2"/>
    <x v="0"/>
    <n v="5"/>
    <n v="0"/>
    <n v="3"/>
    <x v="1"/>
    <x v="0"/>
  </r>
  <r>
    <n v="38"/>
    <x v="1"/>
    <s v="Travel_Rarely"/>
    <n v="364"/>
    <x v="1"/>
    <x v="3"/>
    <n v="5"/>
    <s v="Technical Degree"/>
    <n v="1"/>
    <n v="193"/>
    <n v="4"/>
    <x v="0"/>
    <n v="32"/>
    <n v="3"/>
    <n v="2"/>
    <x v="1"/>
    <x v="2"/>
    <s v="Single"/>
    <n v="4317"/>
    <n v="2302"/>
    <n v="3"/>
    <s v="Y"/>
    <s v="Yes"/>
    <n v="20"/>
    <n v="4"/>
    <n v="2"/>
    <n v="80"/>
    <n v="0"/>
    <n v="19"/>
    <n v="2"/>
    <n v="3"/>
    <x v="11"/>
    <n v="2"/>
    <n v="2"/>
    <n v="2"/>
    <x v="0"/>
    <x v="0"/>
  </r>
  <r>
    <n v="30"/>
    <x v="1"/>
    <s v="Travel_Rarely"/>
    <n v="438"/>
    <x v="1"/>
    <x v="21"/>
    <n v="3"/>
    <s v="Life Sciences"/>
    <n v="1"/>
    <n v="194"/>
    <n v="1"/>
    <x v="0"/>
    <n v="75"/>
    <n v="3"/>
    <n v="1"/>
    <x v="1"/>
    <x v="2"/>
    <s v="Single"/>
    <n v="2632"/>
    <n v="23910"/>
    <n v="1"/>
    <s v="Y"/>
    <s v="No"/>
    <n v="14"/>
    <n v="3"/>
    <n v="3"/>
    <n v="80"/>
    <n v="0"/>
    <n v="5"/>
    <n v="4"/>
    <n v="2"/>
    <x v="8"/>
    <n v="4"/>
    <n v="0"/>
    <n v="4"/>
    <x v="2"/>
    <x v="1"/>
  </r>
  <r>
    <n v="32"/>
    <x v="1"/>
    <s v="Travel_Frequently"/>
    <n v="689"/>
    <x v="0"/>
    <x v="14"/>
    <n v="2"/>
    <s v="Medical"/>
    <n v="1"/>
    <n v="195"/>
    <n v="4"/>
    <x v="1"/>
    <n v="35"/>
    <n v="1"/>
    <n v="2"/>
    <x v="0"/>
    <x v="0"/>
    <s v="Divorced"/>
    <n v="4668"/>
    <n v="22812"/>
    <n v="0"/>
    <s v="Y"/>
    <s v="No"/>
    <n v="17"/>
    <n v="3"/>
    <n v="4"/>
    <n v="80"/>
    <n v="3"/>
    <n v="9"/>
    <n v="2"/>
    <n v="4"/>
    <x v="3"/>
    <n v="7"/>
    <n v="0"/>
    <n v="7"/>
    <x v="2"/>
    <x v="0"/>
  </r>
  <r>
    <n v="30"/>
    <x v="1"/>
    <s v="Travel_Rarely"/>
    <n v="201"/>
    <x v="1"/>
    <x v="12"/>
    <n v="3"/>
    <s v="Technical Degree"/>
    <n v="1"/>
    <n v="197"/>
    <n v="4"/>
    <x v="0"/>
    <n v="84"/>
    <n v="3"/>
    <n v="1"/>
    <x v="1"/>
    <x v="3"/>
    <s v="Divorced"/>
    <n v="3204"/>
    <n v="10415"/>
    <n v="5"/>
    <s v="Y"/>
    <s v="No"/>
    <n v="14"/>
    <n v="3"/>
    <n v="4"/>
    <n v="80"/>
    <n v="1"/>
    <n v="8"/>
    <n v="3"/>
    <n v="3"/>
    <x v="11"/>
    <n v="2"/>
    <n v="2"/>
    <n v="2"/>
    <x v="2"/>
    <x v="0"/>
  </r>
  <r>
    <n v="30"/>
    <x v="1"/>
    <s v="Travel_Rarely"/>
    <n v="1427"/>
    <x v="1"/>
    <x v="2"/>
    <n v="1"/>
    <s v="Medical"/>
    <n v="1"/>
    <n v="198"/>
    <n v="2"/>
    <x v="1"/>
    <n v="35"/>
    <n v="2"/>
    <n v="1"/>
    <x v="2"/>
    <x v="0"/>
    <s v="Single"/>
    <n v="2720"/>
    <n v="11162"/>
    <n v="0"/>
    <s v="Y"/>
    <s v="No"/>
    <n v="13"/>
    <n v="3"/>
    <n v="4"/>
    <n v="80"/>
    <n v="0"/>
    <n v="6"/>
    <n v="3"/>
    <n v="3"/>
    <x v="8"/>
    <n v="3"/>
    <n v="1"/>
    <n v="2"/>
    <x v="2"/>
    <x v="1"/>
  </r>
  <r>
    <n v="41"/>
    <x v="1"/>
    <s v="Travel_Frequently"/>
    <n v="857"/>
    <x v="1"/>
    <x v="17"/>
    <n v="3"/>
    <s v="Life Sciences"/>
    <n v="1"/>
    <n v="199"/>
    <n v="4"/>
    <x v="1"/>
    <n v="91"/>
    <n v="2"/>
    <n v="4"/>
    <x v="5"/>
    <x v="3"/>
    <s v="Divorced"/>
    <n v="17181"/>
    <n v="12888"/>
    <n v="4"/>
    <s v="Y"/>
    <s v="No"/>
    <n v="13"/>
    <n v="3"/>
    <n v="2"/>
    <n v="80"/>
    <n v="1"/>
    <n v="21"/>
    <n v="2"/>
    <n v="2"/>
    <x v="5"/>
    <n v="6"/>
    <n v="7"/>
    <n v="7"/>
    <x v="0"/>
    <x v="3"/>
  </r>
  <r>
    <n v="41"/>
    <x v="1"/>
    <s v="Travel_Rarely"/>
    <n v="933"/>
    <x v="1"/>
    <x v="14"/>
    <n v="4"/>
    <s v="Life Sciences"/>
    <n v="1"/>
    <n v="200"/>
    <n v="3"/>
    <x v="1"/>
    <n v="94"/>
    <n v="3"/>
    <n v="1"/>
    <x v="2"/>
    <x v="3"/>
    <s v="Married"/>
    <n v="2238"/>
    <n v="6961"/>
    <n v="2"/>
    <s v="Y"/>
    <s v="No"/>
    <n v="21"/>
    <n v="4"/>
    <n v="4"/>
    <n v="80"/>
    <n v="1"/>
    <n v="7"/>
    <n v="2"/>
    <n v="3"/>
    <x v="8"/>
    <n v="0"/>
    <n v="1"/>
    <n v="4"/>
    <x v="0"/>
    <x v="1"/>
  </r>
  <r>
    <n v="19"/>
    <x v="1"/>
    <s v="Travel_Rarely"/>
    <n v="1181"/>
    <x v="1"/>
    <x v="3"/>
    <n v="1"/>
    <s v="Medical"/>
    <n v="1"/>
    <n v="201"/>
    <n v="2"/>
    <x v="0"/>
    <n v="79"/>
    <n v="3"/>
    <n v="1"/>
    <x v="2"/>
    <x v="1"/>
    <s v="Single"/>
    <n v="1483"/>
    <n v="16102"/>
    <n v="1"/>
    <s v="Y"/>
    <s v="No"/>
    <n v="14"/>
    <n v="3"/>
    <n v="4"/>
    <n v="80"/>
    <n v="0"/>
    <n v="1"/>
    <n v="3"/>
    <n v="3"/>
    <x v="6"/>
    <n v="0"/>
    <n v="0"/>
    <n v="0"/>
    <x v="4"/>
    <x v="1"/>
  </r>
  <r>
    <n v="40"/>
    <x v="1"/>
    <s v="Travel_Frequently"/>
    <n v="1395"/>
    <x v="1"/>
    <x v="9"/>
    <n v="3"/>
    <s v="Medical"/>
    <n v="1"/>
    <n v="202"/>
    <n v="2"/>
    <x v="0"/>
    <n v="54"/>
    <n v="3"/>
    <n v="2"/>
    <x v="1"/>
    <x v="1"/>
    <s v="Divorced"/>
    <n v="5605"/>
    <n v="8504"/>
    <n v="1"/>
    <s v="Y"/>
    <s v="No"/>
    <n v="11"/>
    <n v="3"/>
    <n v="1"/>
    <n v="80"/>
    <n v="1"/>
    <n v="20"/>
    <n v="2"/>
    <n v="3"/>
    <x v="23"/>
    <n v="7"/>
    <n v="2"/>
    <n v="13"/>
    <x v="0"/>
    <x v="0"/>
  </r>
  <r>
    <n v="35"/>
    <x v="1"/>
    <s v="Travel_Rarely"/>
    <n v="662"/>
    <x v="0"/>
    <x v="0"/>
    <n v="5"/>
    <s v="Marketing"/>
    <n v="1"/>
    <n v="204"/>
    <n v="3"/>
    <x v="1"/>
    <n v="94"/>
    <n v="3"/>
    <n v="3"/>
    <x v="0"/>
    <x v="1"/>
    <s v="Married"/>
    <n v="7295"/>
    <n v="11439"/>
    <n v="1"/>
    <s v="Y"/>
    <s v="No"/>
    <n v="13"/>
    <n v="3"/>
    <n v="1"/>
    <n v="80"/>
    <n v="2"/>
    <n v="10"/>
    <n v="3"/>
    <n v="3"/>
    <x v="1"/>
    <n v="8"/>
    <n v="0"/>
    <n v="6"/>
    <x v="0"/>
    <x v="4"/>
  </r>
  <r>
    <n v="53"/>
    <x v="1"/>
    <s v="Travel_Rarely"/>
    <n v="1436"/>
    <x v="0"/>
    <x v="16"/>
    <n v="2"/>
    <s v="Marketing"/>
    <n v="1"/>
    <n v="205"/>
    <n v="2"/>
    <x v="1"/>
    <n v="34"/>
    <n v="3"/>
    <n v="2"/>
    <x v="6"/>
    <x v="2"/>
    <s v="Married"/>
    <n v="2306"/>
    <n v="16047"/>
    <n v="2"/>
    <s v="Y"/>
    <s v="Yes"/>
    <n v="20"/>
    <n v="4"/>
    <n v="4"/>
    <n v="80"/>
    <n v="1"/>
    <n v="13"/>
    <n v="3"/>
    <n v="1"/>
    <x v="5"/>
    <n v="7"/>
    <n v="4"/>
    <n v="5"/>
    <x v="1"/>
    <x v="1"/>
  </r>
  <r>
    <n v="45"/>
    <x v="1"/>
    <s v="Travel_Rarely"/>
    <n v="194"/>
    <x v="1"/>
    <x v="14"/>
    <n v="3"/>
    <s v="Life Sciences"/>
    <n v="1"/>
    <n v="206"/>
    <n v="2"/>
    <x v="1"/>
    <n v="60"/>
    <n v="3"/>
    <n v="2"/>
    <x v="2"/>
    <x v="1"/>
    <s v="Divorced"/>
    <n v="2348"/>
    <n v="10901"/>
    <n v="8"/>
    <s v="Y"/>
    <s v="No"/>
    <n v="18"/>
    <n v="3"/>
    <n v="3"/>
    <n v="80"/>
    <n v="1"/>
    <n v="20"/>
    <n v="2"/>
    <n v="1"/>
    <x v="18"/>
    <n v="9"/>
    <n v="0"/>
    <n v="15"/>
    <x v="1"/>
    <x v="1"/>
  </r>
  <r>
    <n v="32"/>
    <x v="1"/>
    <s v="Travel_Frequently"/>
    <n v="967"/>
    <x v="0"/>
    <x v="1"/>
    <n v="3"/>
    <s v="Marketing"/>
    <n v="1"/>
    <n v="207"/>
    <n v="2"/>
    <x v="0"/>
    <n v="43"/>
    <n v="3"/>
    <n v="3"/>
    <x v="0"/>
    <x v="0"/>
    <s v="Single"/>
    <n v="8998"/>
    <n v="15589"/>
    <n v="1"/>
    <s v="Y"/>
    <s v="No"/>
    <n v="14"/>
    <n v="3"/>
    <n v="4"/>
    <n v="80"/>
    <n v="0"/>
    <n v="9"/>
    <n v="2"/>
    <n v="3"/>
    <x v="7"/>
    <n v="8"/>
    <n v="3"/>
    <n v="7"/>
    <x v="2"/>
    <x v="4"/>
  </r>
  <r>
    <n v="29"/>
    <x v="1"/>
    <s v="Non-Travel"/>
    <n v="1496"/>
    <x v="1"/>
    <x v="0"/>
    <n v="1"/>
    <s v="Technical Degree"/>
    <n v="1"/>
    <n v="208"/>
    <n v="4"/>
    <x v="1"/>
    <n v="41"/>
    <n v="3"/>
    <n v="2"/>
    <x v="3"/>
    <x v="2"/>
    <s v="Married"/>
    <n v="4319"/>
    <n v="26283"/>
    <n v="1"/>
    <s v="Y"/>
    <s v="No"/>
    <n v="13"/>
    <n v="3"/>
    <n v="1"/>
    <n v="80"/>
    <n v="1"/>
    <n v="10"/>
    <n v="1"/>
    <n v="3"/>
    <x v="1"/>
    <n v="7"/>
    <n v="0"/>
    <n v="9"/>
    <x v="2"/>
    <x v="0"/>
  </r>
  <r>
    <n v="51"/>
    <x v="1"/>
    <s v="Travel_Rarely"/>
    <n v="1169"/>
    <x v="1"/>
    <x v="15"/>
    <n v="4"/>
    <s v="Medical"/>
    <n v="1"/>
    <n v="211"/>
    <n v="2"/>
    <x v="1"/>
    <n v="34"/>
    <n v="2"/>
    <n v="2"/>
    <x v="3"/>
    <x v="2"/>
    <s v="Married"/>
    <n v="6132"/>
    <n v="13983"/>
    <n v="2"/>
    <s v="Y"/>
    <s v="No"/>
    <n v="17"/>
    <n v="3"/>
    <n v="3"/>
    <n v="80"/>
    <n v="0"/>
    <n v="10"/>
    <n v="2"/>
    <n v="3"/>
    <x v="6"/>
    <n v="0"/>
    <n v="0"/>
    <n v="0"/>
    <x v="1"/>
    <x v="4"/>
  </r>
  <r>
    <n v="58"/>
    <x v="1"/>
    <s v="Travel_Rarely"/>
    <n v="1145"/>
    <x v="1"/>
    <x v="14"/>
    <n v="3"/>
    <s v="Medical"/>
    <n v="1"/>
    <n v="214"/>
    <n v="2"/>
    <x v="0"/>
    <n v="75"/>
    <n v="2"/>
    <n v="1"/>
    <x v="1"/>
    <x v="1"/>
    <s v="Married"/>
    <n v="3346"/>
    <n v="11873"/>
    <n v="4"/>
    <s v="Y"/>
    <s v="Yes"/>
    <n v="20"/>
    <n v="4"/>
    <n v="2"/>
    <n v="80"/>
    <n v="1"/>
    <n v="9"/>
    <n v="3"/>
    <n v="2"/>
    <x v="6"/>
    <n v="0"/>
    <n v="0"/>
    <n v="0"/>
    <x v="3"/>
    <x v="0"/>
  </r>
  <r>
    <n v="40"/>
    <x v="1"/>
    <s v="Travel_Rarely"/>
    <n v="630"/>
    <x v="0"/>
    <x v="18"/>
    <n v="4"/>
    <s v="Marketing"/>
    <n v="1"/>
    <n v="215"/>
    <n v="3"/>
    <x v="1"/>
    <n v="67"/>
    <n v="2"/>
    <n v="3"/>
    <x v="0"/>
    <x v="0"/>
    <s v="Married"/>
    <n v="10855"/>
    <n v="8552"/>
    <n v="7"/>
    <s v="Y"/>
    <s v="No"/>
    <n v="11"/>
    <n v="3"/>
    <n v="1"/>
    <n v="80"/>
    <n v="1"/>
    <n v="15"/>
    <n v="2"/>
    <n v="2"/>
    <x v="12"/>
    <n v="11"/>
    <n v="2"/>
    <n v="11"/>
    <x v="0"/>
    <x v="2"/>
  </r>
  <r>
    <n v="34"/>
    <x v="1"/>
    <s v="Travel_Frequently"/>
    <n v="303"/>
    <x v="0"/>
    <x v="2"/>
    <n v="4"/>
    <s v="Marketing"/>
    <n v="1"/>
    <n v="216"/>
    <n v="3"/>
    <x v="0"/>
    <n v="75"/>
    <n v="3"/>
    <n v="1"/>
    <x v="6"/>
    <x v="2"/>
    <s v="Married"/>
    <n v="2231"/>
    <n v="11314"/>
    <n v="6"/>
    <s v="Y"/>
    <s v="No"/>
    <n v="18"/>
    <n v="3"/>
    <n v="4"/>
    <n v="80"/>
    <n v="1"/>
    <n v="6"/>
    <n v="3"/>
    <n v="3"/>
    <x v="9"/>
    <n v="3"/>
    <n v="1"/>
    <n v="2"/>
    <x v="2"/>
    <x v="1"/>
  </r>
  <r>
    <n v="22"/>
    <x v="1"/>
    <s v="Travel_Rarely"/>
    <n v="1256"/>
    <x v="1"/>
    <x v="10"/>
    <n v="1"/>
    <s v="Medical"/>
    <n v="1"/>
    <n v="217"/>
    <n v="3"/>
    <x v="1"/>
    <n v="80"/>
    <n v="3"/>
    <n v="1"/>
    <x v="1"/>
    <x v="0"/>
    <s v="Married"/>
    <n v="2323"/>
    <n v="11992"/>
    <n v="1"/>
    <s v="Y"/>
    <s v="No"/>
    <n v="24"/>
    <n v="4"/>
    <n v="1"/>
    <n v="80"/>
    <n v="2"/>
    <n v="2"/>
    <n v="6"/>
    <n v="3"/>
    <x v="4"/>
    <n v="2"/>
    <n v="2"/>
    <n v="2"/>
    <x v="4"/>
    <x v="1"/>
  </r>
  <r>
    <n v="27"/>
    <x v="1"/>
    <s v="Non-Travel"/>
    <n v="691"/>
    <x v="1"/>
    <x v="14"/>
    <n v="3"/>
    <s v="Medical"/>
    <n v="1"/>
    <n v="218"/>
    <n v="4"/>
    <x v="1"/>
    <n v="57"/>
    <n v="3"/>
    <n v="1"/>
    <x v="1"/>
    <x v="1"/>
    <s v="Divorced"/>
    <n v="2024"/>
    <n v="5970"/>
    <n v="6"/>
    <s v="Y"/>
    <s v="No"/>
    <n v="18"/>
    <n v="3"/>
    <n v="4"/>
    <n v="80"/>
    <n v="1"/>
    <n v="6"/>
    <n v="1"/>
    <n v="1"/>
    <x v="4"/>
    <n v="2"/>
    <n v="2"/>
    <n v="2"/>
    <x v="2"/>
    <x v="1"/>
  </r>
  <r>
    <n v="28"/>
    <x v="1"/>
    <s v="Travel_Rarely"/>
    <n v="440"/>
    <x v="1"/>
    <x v="11"/>
    <n v="3"/>
    <s v="Medical"/>
    <n v="1"/>
    <n v="221"/>
    <n v="3"/>
    <x v="1"/>
    <n v="42"/>
    <n v="3"/>
    <n v="1"/>
    <x v="1"/>
    <x v="0"/>
    <s v="Married"/>
    <n v="2713"/>
    <n v="6672"/>
    <n v="1"/>
    <s v="Y"/>
    <s v="No"/>
    <n v="11"/>
    <n v="3"/>
    <n v="3"/>
    <n v="80"/>
    <n v="1"/>
    <n v="5"/>
    <n v="2"/>
    <n v="1"/>
    <x v="8"/>
    <n v="2"/>
    <n v="0"/>
    <n v="2"/>
    <x v="2"/>
    <x v="1"/>
  </r>
  <r>
    <n v="57"/>
    <x v="1"/>
    <s v="Travel_Rarely"/>
    <n v="334"/>
    <x v="1"/>
    <x v="4"/>
    <n v="2"/>
    <s v="Life Sciences"/>
    <n v="1"/>
    <n v="223"/>
    <n v="3"/>
    <x v="1"/>
    <n v="83"/>
    <n v="4"/>
    <n v="3"/>
    <x v="4"/>
    <x v="0"/>
    <s v="Divorced"/>
    <n v="9439"/>
    <n v="23402"/>
    <n v="3"/>
    <s v="Y"/>
    <s v="Yes"/>
    <n v="16"/>
    <n v="3"/>
    <n v="2"/>
    <n v="80"/>
    <n v="1"/>
    <n v="12"/>
    <n v="2"/>
    <n v="1"/>
    <x v="8"/>
    <n v="3"/>
    <n v="1"/>
    <n v="4"/>
    <x v="3"/>
    <x v="2"/>
  </r>
  <r>
    <n v="27"/>
    <x v="1"/>
    <s v="Non-Travel"/>
    <n v="1450"/>
    <x v="1"/>
    <x v="3"/>
    <n v="3"/>
    <s v="Medical"/>
    <n v="1"/>
    <n v="224"/>
    <n v="3"/>
    <x v="1"/>
    <n v="79"/>
    <n v="2"/>
    <n v="1"/>
    <x v="1"/>
    <x v="2"/>
    <s v="Divorced"/>
    <n v="2566"/>
    <n v="25326"/>
    <n v="1"/>
    <s v="Y"/>
    <s v="Yes"/>
    <n v="15"/>
    <n v="3"/>
    <n v="4"/>
    <n v="80"/>
    <n v="1"/>
    <n v="1"/>
    <n v="2"/>
    <n v="2"/>
    <x v="6"/>
    <n v="1"/>
    <n v="0"/>
    <n v="1"/>
    <x v="2"/>
    <x v="1"/>
  </r>
  <r>
    <n v="50"/>
    <x v="1"/>
    <s v="Travel_Rarely"/>
    <n v="1452"/>
    <x v="1"/>
    <x v="13"/>
    <n v="3"/>
    <s v="Life Sciences"/>
    <n v="1"/>
    <n v="226"/>
    <n v="3"/>
    <x v="0"/>
    <n v="53"/>
    <n v="3"/>
    <n v="5"/>
    <x v="5"/>
    <x v="1"/>
    <s v="Single"/>
    <n v="19926"/>
    <n v="17053"/>
    <n v="3"/>
    <s v="Y"/>
    <s v="No"/>
    <n v="15"/>
    <n v="3"/>
    <n v="2"/>
    <n v="80"/>
    <n v="0"/>
    <n v="21"/>
    <n v="5"/>
    <n v="3"/>
    <x v="8"/>
    <n v="4"/>
    <n v="4"/>
    <n v="4"/>
    <x v="1"/>
    <x v="3"/>
  </r>
  <r>
    <n v="41"/>
    <x v="1"/>
    <s v="Travel_Rarely"/>
    <n v="465"/>
    <x v="1"/>
    <x v="24"/>
    <n v="3"/>
    <s v="Life Sciences"/>
    <n v="1"/>
    <n v="227"/>
    <n v="1"/>
    <x v="1"/>
    <n v="56"/>
    <n v="3"/>
    <n v="1"/>
    <x v="1"/>
    <x v="2"/>
    <s v="Divorced"/>
    <n v="2451"/>
    <n v="4609"/>
    <n v="4"/>
    <s v="Y"/>
    <s v="No"/>
    <n v="12"/>
    <n v="3"/>
    <n v="1"/>
    <n v="80"/>
    <n v="1"/>
    <n v="13"/>
    <n v="2"/>
    <n v="3"/>
    <x v="7"/>
    <n v="8"/>
    <n v="1"/>
    <n v="8"/>
    <x v="0"/>
    <x v="1"/>
  </r>
  <r>
    <n v="30"/>
    <x v="1"/>
    <s v="Travel_Rarely"/>
    <n v="1339"/>
    <x v="0"/>
    <x v="12"/>
    <n v="3"/>
    <s v="Life Sciences"/>
    <n v="1"/>
    <n v="228"/>
    <n v="2"/>
    <x v="0"/>
    <n v="41"/>
    <n v="3"/>
    <n v="3"/>
    <x v="0"/>
    <x v="0"/>
    <s v="Married"/>
    <n v="9419"/>
    <n v="8053"/>
    <n v="2"/>
    <s v="Y"/>
    <s v="No"/>
    <n v="12"/>
    <n v="3"/>
    <n v="3"/>
    <n v="80"/>
    <n v="1"/>
    <n v="12"/>
    <n v="2"/>
    <n v="3"/>
    <x v="1"/>
    <n v="9"/>
    <n v="7"/>
    <n v="4"/>
    <x v="2"/>
    <x v="2"/>
  </r>
  <r>
    <n v="38"/>
    <x v="1"/>
    <s v="Travel_Rarely"/>
    <n v="702"/>
    <x v="0"/>
    <x v="0"/>
    <n v="4"/>
    <s v="Life Sciences"/>
    <n v="1"/>
    <n v="230"/>
    <n v="1"/>
    <x v="0"/>
    <n v="59"/>
    <n v="2"/>
    <n v="2"/>
    <x v="0"/>
    <x v="0"/>
    <s v="Single"/>
    <n v="8686"/>
    <n v="12930"/>
    <n v="4"/>
    <s v="Y"/>
    <s v="No"/>
    <n v="22"/>
    <n v="4"/>
    <n v="3"/>
    <n v="80"/>
    <n v="0"/>
    <n v="12"/>
    <n v="2"/>
    <n v="4"/>
    <x v="3"/>
    <n v="3"/>
    <n v="0"/>
    <n v="7"/>
    <x v="0"/>
    <x v="4"/>
  </r>
  <r>
    <n v="32"/>
    <x v="1"/>
    <s v="Travel_Rarely"/>
    <n v="120"/>
    <x v="1"/>
    <x v="16"/>
    <n v="5"/>
    <s v="Life Sciences"/>
    <n v="1"/>
    <n v="231"/>
    <n v="3"/>
    <x v="1"/>
    <n v="43"/>
    <n v="3"/>
    <n v="1"/>
    <x v="1"/>
    <x v="2"/>
    <s v="Single"/>
    <n v="3038"/>
    <n v="12430"/>
    <n v="3"/>
    <s v="Y"/>
    <s v="No"/>
    <n v="20"/>
    <n v="4"/>
    <n v="1"/>
    <n v="80"/>
    <n v="0"/>
    <n v="8"/>
    <n v="2"/>
    <n v="3"/>
    <x v="8"/>
    <n v="4"/>
    <n v="1"/>
    <n v="4"/>
    <x v="2"/>
    <x v="0"/>
  </r>
  <r>
    <n v="27"/>
    <x v="1"/>
    <s v="Travel_Rarely"/>
    <n v="1157"/>
    <x v="1"/>
    <x v="27"/>
    <n v="3"/>
    <s v="Technical Degree"/>
    <n v="1"/>
    <n v="233"/>
    <n v="3"/>
    <x v="1"/>
    <n v="51"/>
    <n v="3"/>
    <n v="1"/>
    <x v="1"/>
    <x v="1"/>
    <s v="Married"/>
    <n v="3058"/>
    <n v="13364"/>
    <n v="0"/>
    <s v="Y"/>
    <s v="Yes"/>
    <n v="16"/>
    <n v="3"/>
    <n v="4"/>
    <n v="80"/>
    <n v="1"/>
    <n v="6"/>
    <n v="3"/>
    <n v="2"/>
    <x v="8"/>
    <n v="2"/>
    <n v="1"/>
    <n v="1"/>
    <x v="2"/>
    <x v="0"/>
  </r>
  <r>
    <n v="19"/>
    <x v="0"/>
    <s v="Travel_Frequently"/>
    <n v="602"/>
    <x v="0"/>
    <x v="0"/>
    <n v="1"/>
    <s v="Technical Degree"/>
    <n v="1"/>
    <n v="235"/>
    <n v="3"/>
    <x v="0"/>
    <n v="100"/>
    <n v="1"/>
    <n v="1"/>
    <x v="6"/>
    <x v="3"/>
    <s v="Single"/>
    <n v="2325"/>
    <n v="20989"/>
    <n v="0"/>
    <s v="Y"/>
    <s v="No"/>
    <n v="21"/>
    <n v="4"/>
    <n v="1"/>
    <n v="80"/>
    <n v="0"/>
    <n v="1"/>
    <n v="5"/>
    <n v="4"/>
    <x v="2"/>
    <n v="0"/>
    <n v="0"/>
    <n v="0"/>
    <x v="4"/>
    <x v="1"/>
  </r>
  <r>
    <n v="36"/>
    <x v="1"/>
    <s v="Travel_Frequently"/>
    <n v="1480"/>
    <x v="1"/>
    <x v="3"/>
    <n v="2"/>
    <s v="Medical"/>
    <n v="1"/>
    <n v="238"/>
    <n v="4"/>
    <x v="1"/>
    <n v="30"/>
    <n v="3"/>
    <n v="1"/>
    <x v="2"/>
    <x v="1"/>
    <s v="Single"/>
    <n v="2088"/>
    <n v="15062"/>
    <n v="4"/>
    <s v="Y"/>
    <s v="No"/>
    <n v="12"/>
    <n v="3"/>
    <n v="3"/>
    <n v="80"/>
    <n v="0"/>
    <n v="13"/>
    <n v="3"/>
    <n v="2"/>
    <x v="3"/>
    <n v="7"/>
    <n v="7"/>
    <n v="2"/>
    <x v="0"/>
    <x v="1"/>
  </r>
  <r>
    <n v="30"/>
    <x v="1"/>
    <s v="Non-Travel"/>
    <n v="111"/>
    <x v="1"/>
    <x v="14"/>
    <n v="3"/>
    <s v="Medical"/>
    <n v="1"/>
    <n v="239"/>
    <n v="3"/>
    <x v="1"/>
    <n v="66"/>
    <n v="3"/>
    <n v="2"/>
    <x v="2"/>
    <x v="3"/>
    <s v="Divorced"/>
    <n v="3072"/>
    <n v="11012"/>
    <n v="1"/>
    <s v="Y"/>
    <s v="No"/>
    <n v="11"/>
    <n v="3"/>
    <n v="3"/>
    <n v="80"/>
    <n v="2"/>
    <n v="12"/>
    <n v="4"/>
    <n v="3"/>
    <x v="12"/>
    <n v="9"/>
    <n v="6"/>
    <n v="10"/>
    <x v="2"/>
    <x v="0"/>
  </r>
  <r>
    <n v="45"/>
    <x v="1"/>
    <s v="Travel_Rarely"/>
    <n v="1268"/>
    <x v="0"/>
    <x v="18"/>
    <n v="2"/>
    <s v="Life Sciences"/>
    <n v="1"/>
    <n v="240"/>
    <n v="3"/>
    <x v="0"/>
    <n v="30"/>
    <n v="3"/>
    <n v="2"/>
    <x v="0"/>
    <x v="3"/>
    <s v="Divorced"/>
    <n v="5006"/>
    <n v="6319"/>
    <n v="4"/>
    <s v="Y"/>
    <s v="Yes"/>
    <n v="11"/>
    <n v="3"/>
    <n v="1"/>
    <n v="80"/>
    <n v="1"/>
    <n v="9"/>
    <n v="3"/>
    <n v="4"/>
    <x v="8"/>
    <n v="4"/>
    <n v="0"/>
    <n v="3"/>
    <x v="1"/>
    <x v="0"/>
  </r>
  <r>
    <n v="56"/>
    <x v="1"/>
    <s v="Travel_Rarely"/>
    <n v="713"/>
    <x v="1"/>
    <x v="1"/>
    <n v="3"/>
    <s v="Life Sciences"/>
    <n v="1"/>
    <n v="241"/>
    <n v="3"/>
    <x v="0"/>
    <n v="67"/>
    <n v="3"/>
    <n v="1"/>
    <x v="1"/>
    <x v="3"/>
    <s v="Divorced"/>
    <n v="4257"/>
    <n v="13939"/>
    <n v="4"/>
    <s v="Y"/>
    <s v="Yes"/>
    <n v="18"/>
    <n v="3"/>
    <n v="3"/>
    <n v="80"/>
    <n v="1"/>
    <n v="19"/>
    <n v="3"/>
    <n v="3"/>
    <x v="4"/>
    <n v="2"/>
    <n v="2"/>
    <n v="2"/>
    <x v="3"/>
    <x v="0"/>
  </r>
  <r>
    <n v="33"/>
    <x v="1"/>
    <s v="Travel_Rarely"/>
    <n v="134"/>
    <x v="1"/>
    <x v="2"/>
    <n v="3"/>
    <s v="Life Sciences"/>
    <n v="1"/>
    <n v="242"/>
    <n v="3"/>
    <x v="1"/>
    <n v="90"/>
    <n v="3"/>
    <n v="1"/>
    <x v="1"/>
    <x v="0"/>
    <s v="Single"/>
    <n v="2500"/>
    <n v="10515"/>
    <n v="0"/>
    <s v="Y"/>
    <s v="No"/>
    <n v="14"/>
    <n v="3"/>
    <n v="1"/>
    <n v="80"/>
    <n v="0"/>
    <n v="4"/>
    <n v="2"/>
    <n v="4"/>
    <x v="11"/>
    <n v="1"/>
    <n v="0"/>
    <n v="2"/>
    <x v="2"/>
    <x v="1"/>
  </r>
  <r>
    <n v="19"/>
    <x v="0"/>
    <s v="Travel_Rarely"/>
    <n v="303"/>
    <x v="1"/>
    <x v="2"/>
    <n v="3"/>
    <s v="Life Sciences"/>
    <n v="1"/>
    <n v="243"/>
    <n v="2"/>
    <x v="1"/>
    <n v="47"/>
    <n v="2"/>
    <n v="1"/>
    <x v="2"/>
    <x v="0"/>
    <s v="Single"/>
    <n v="1102"/>
    <n v="9241"/>
    <n v="1"/>
    <s v="Y"/>
    <s v="No"/>
    <n v="22"/>
    <n v="4"/>
    <n v="3"/>
    <n v="80"/>
    <n v="0"/>
    <n v="1"/>
    <n v="3"/>
    <n v="2"/>
    <x v="6"/>
    <n v="0"/>
    <n v="1"/>
    <n v="0"/>
    <x v="4"/>
    <x v="1"/>
  </r>
  <r>
    <n v="46"/>
    <x v="1"/>
    <s v="Travel_Rarely"/>
    <n v="526"/>
    <x v="0"/>
    <x v="0"/>
    <n v="2"/>
    <s v="Marketing"/>
    <n v="1"/>
    <n v="244"/>
    <n v="2"/>
    <x v="0"/>
    <n v="92"/>
    <n v="3"/>
    <n v="3"/>
    <x v="0"/>
    <x v="3"/>
    <s v="Divorced"/>
    <n v="10453"/>
    <n v="2137"/>
    <n v="1"/>
    <s v="Y"/>
    <s v="No"/>
    <n v="25"/>
    <n v="4"/>
    <n v="3"/>
    <n v="80"/>
    <n v="3"/>
    <n v="24"/>
    <n v="2"/>
    <n v="3"/>
    <x v="25"/>
    <n v="13"/>
    <n v="15"/>
    <n v="7"/>
    <x v="1"/>
    <x v="2"/>
  </r>
  <r>
    <n v="38"/>
    <x v="1"/>
    <s v="Travel_Rarely"/>
    <n v="1380"/>
    <x v="1"/>
    <x v="14"/>
    <n v="2"/>
    <s v="Life Sciences"/>
    <n v="1"/>
    <n v="245"/>
    <n v="3"/>
    <x v="0"/>
    <n v="75"/>
    <n v="3"/>
    <n v="1"/>
    <x v="2"/>
    <x v="0"/>
    <s v="Single"/>
    <n v="2288"/>
    <n v="6319"/>
    <n v="1"/>
    <s v="Y"/>
    <s v="No"/>
    <n v="12"/>
    <n v="3"/>
    <n v="3"/>
    <n v="80"/>
    <n v="0"/>
    <n v="2"/>
    <n v="3"/>
    <n v="3"/>
    <x v="4"/>
    <n v="2"/>
    <n v="2"/>
    <n v="1"/>
    <x v="0"/>
    <x v="1"/>
  </r>
  <r>
    <n v="31"/>
    <x v="1"/>
    <s v="Travel_Rarely"/>
    <n v="140"/>
    <x v="1"/>
    <x v="20"/>
    <n v="1"/>
    <s v="Medical"/>
    <n v="1"/>
    <n v="246"/>
    <n v="3"/>
    <x v="0"/>
    <n v="95"/>
    <n v="3"/>
    <n v="1"/>
    <x v="1"/>
    <x v="0"/>
    <s v="Married"/>
    <n v="3929"/>
    <n v="6984"/>
    <n v="8"/>
    <s v="Y"/>
    <s v="Yes"/>
    <n v="23"/>
    <n v="4"/>
    <n v="3"/>
    <n v="80"/>
    <n v="1"/>
    <n v="7"/>
    <n v="0"/>
    <n v="3"/>
    <x v="9"/>
    <n v="2"/>
    <n v="0"/>
    <n v="2"/>
    <x v="2"/>
    <x v="0"/>
  </r>
  <r>
    <n v="34"/>
    <x v="1"/>
    <s v="Travel_Rarely"/>
    <n v="629"/>
    <x v="1"/>
    <x v="6"/>
    <n v="2"/>
    <s v="Medical"/>
    <n v="1"/>
    <n v="247"/>
    <n v="4"/>
    <x v="0"/>
    <n v="95"/>
    <n v="3"/>
    <n v="1"/>
    <x v="1"/>
    <x v="1"/>
    <s v="Single"/>
    <n v="2311"/>
    <n v="5711"/>
    <n v="2"/>
    <s v="Y"/>
    <s v="No"/>
    <n v="15"/>
    <n v="3"/>
    <n v="4"/>
    <n v="80"/>
    <n v="0"/>
    <n v="9"/>
    <n v="3"/>
    <n v="3"/>
    <x v="11"/>
    <n v="2"/>
    <n v="1"/>
    <n v="2"/>
    <x v="2"/>
    <x v="1"/>
  </r>
  <r>
    <n v="41"/>
    <x v="0"/>
    <s v="Travel_Rarely"/>
    <n v="1356"/>
    <x v="0"/>
    <x v="25"/>
    <n v="2"/>
    <s v="Marketing"/>
    <n v="1"/>
    <n v="248"/>
    <n v="2"/>
    <x v="0"/>
    <n v="70"/>
    <n v="3"/>
    <n v="1"/>
    <x v="6"/>
    <x v="1"/>
    <s v="Single"/>
    <n v="3140"/>
    <n v="21728"/>
    <n v="1"/>
    <s v="Y"/>
    <s v="Yes"/>
    <n v="22"/>
    <n v="4"/>
    <n v="4"/>
    <n v="80"/>
    <n v="0"/>
    <n v="4"/>
    <n v="5"/>
    <n v="2"/>
    <x v="9"/>
    <n v="3"/>
    <n v="0"/>
    <n v="2"/>
    <x v="0"/>
    <x v="0"/>
  </r>
  <r>
    <n v="50"/>
    <x v="1"/>
    <s v="Travel_Rarely"/>
    <n v="328"/>
    <x v="1"/>
    <x v="0"/>
    <n v="3"/>
    <s v="Medical"/>
    <n v="1"/>
    <n v="249"/>
    <n v="3"/>
    <x v="1"/>
    <n v="86"/>
    <n v="2"/>
    <n v="1"/>
    <x v="2"/>
    <x v="2"/>
    <s v="Married"/>
    <n v="3690"/>
    <n v="3425"/>
    <n v="2"/>
    <s v="Y"/>
    <s v="No"/>
    <n v="15"/>
    <n v="3"/>
    <n v="4"/>
    <n v="80"/>
    <n v="1"/>
    <n v="5"/>
    <n v="2"/>
    <n v="2"/>
    <x v="11"/>
    <n v="2"/>
    <n v="0"/>
    <n v="2"/>
    <x v="1"/>
    <x v="0"/>
  </r>
  <r>
    <n v="53"/>
    <x v="1"/>
    <s v="Travel_Rarely"/>
    <n v="1084"/>
    <x v="1"/>
    <x v="28"/>
    <n v="2"/>
    <s v="Medical"/>
    <n v="1"/>
    <n v="250"/>
    <n v="4"/>
    <x v="0"/>
    <n v="57"/>
    <n v="4"/>
    <n v="2"/>
    <x v="3"/>
    <x v="3"/>
    <s v="Divorced"/>
    <n v="4450"/>
    <n v="26250"/>
    <n v="1"/>
    <s v="Y"/>
    <s v="No"/>
    <n v="11"/>
    <n v="3"/>
    <n v="3"/>
    <n v="80"/>
    <n v="2"/>
    <n v="5"/>
    <n v="3"/>
    <n v="3"/>
    <x v="9"/>
    <n v="2"/>
    <n v="1"/>
    <n v="3"/>
    <x v="1"/>
    <x v="0"/>
  </r>
  <r>
    <n v="33"/>
    <x v="1"/>
    <s v="Travel_Rarely"/>
    <n v="931"/>
    <x v="1"/>
    <x v="24"/>
    <n v="3"/>
    <s v="Medical"/>
    <n v="1"/>
    <n v="252"/>
    <n v="4"/>
    <x v="0"/>
    <n v="72"/>
    <n v="3"/>
    <n v="1"/>
    <x v="1"/>
    <x v="1"/>
    <s v="Married"/>
    <n v="2756"/>
    <n v="4673"/>
    <n v="1"/>
    <s v="Y"/>
    <s v="No"/>
    <n v="13"/>
    <n v="3"/>
    <n v="4"/>
    <n v="80"/>
    <n v="1"/>
    <n v="8"/>
    <n v="5"/>
    <n v="3"/>
    <x v="3"/>
    <n v="7"/>
    <n v="1"/>
    <n v="6"/>
    <x v="2"/>
    <x v="1"/>
  </r>
  <r>
    <n v="40"/>
    <x v="1"/>
    <s v="Travel_Rarely"/>
    <n v="989"/>
    <x v="1"/>
    <x v="18"/>
    <n v="1"/>
    <s v="Medical"/>
    <n v="1"/>
    <n v="253"/>
    <n v="4"/>
    <x v="0"/>
    <n v="46"/>
    <n v="3"/>
    <n v="5"/>
    <x v="5"/>
    <x v="2"/>
    <s v="Married"/>
    <n v="19033"/>
    <n v="6499"/>
    <n v="1"/>
    <s v="Y"/>
    <s v="No"/>
    <n v="14"/>
    <n v="3"/>
    <n v="2"/>
    <n v="80"/>
    <n v="1"/>
    <n v="21"/>
    <n v="2"/>
    <n v="3"/>
    <x v="23"/>
    <n v="8"/>
    <n v="9"/>
    <n v="9"/>
    <x v="0"/>
    <x v="3"/>
  </r>
  <r>
    <n v="55"/>
    <x v="1"/>
    <s v="Travel_Rarely"/>
    <n v="692"/>
    <x v="1"/>
    <x v="24"/>
    <n v="4"/>
    <s v="Medical"/>
    <n v="1"/>
    <n v="254"/>
    <n v="3"/>
    <x v="1"/>
    <n v="61"/>
    <n v="4"/>
    <n v="5"/>
    <x v="7"/>
    <x v="1"/>
    <s v="Single"/>
    <n v="18722"/>
    <n v="13339"/>
    <n v="8"/>
    <s v="Y"/>
    <s v="No"/>
    <n v="11"/>
    <n v="3"/>
    <n v="4"/>
    <n v="80"/>
    <n v="0"/>
    <n v="36"/>
    <n v="3"/>
    <n v="3"/>
    <x v="25"/>
    <n v="15"/>
    <n v="2"/>
    <n v="15"/>
    <x v="3"/>
    <x v="3"/>
  </r>
  <r>
    <n v="34"/>
    <x v="1"/>
    <s v="Travel_Frequently"/>
    <n v="1069"/>
    <x v="1"/>
    <x v="2"/>
    <n v="1"/>
    <s v="Life Sciences"/>
    <n v="1"/>
    <n v="256"/>
    <n v="4"/>
    <x v="1"/>
    <n v="45"/>
    <n v="2"/>
    <n v="2"/>
    <x v="3"/>
    <x v="2"/>
    <s v="Married"/>
    <n v="9547"/>
    <n v="14074"/>
    <n v="1"/>
    <s v="Y"/>
    <s v="No"/>
    <n v="17"/>
    <n v="3"/>
    <n v="3"/>
    <n v="80"/>
    <n v="0"/>
    <n v="10"/>
    <n v="2"/>
    <n v="2"/>
    <x v="1"/>
    <n v="9"/>
    <n v="1"/>
    <n v="9"/>
    <x v="2"/>
    <x v="2"/>
  </r>
  <r>
    <n v="51"/>
    <x v="1"/>
    <s v="Travel_Rarely"/>
    <n v="313"/>
    <x v="1"/>
    <x v="3"/>
    <n v="3"/>
    <s v="Medical"/>
    <n v="1"/>
    <n v="258"/>
    <n v="4"/>
    <x v="0"/>
    <n v="98"/>
    <n v="3"/>
    <n v="4"/>
    <x v="4"/>
    <x v="1"/>
    <s v="Single"/>
    <n v="13734"/>
    <n v="7192"/>
    <n v="3"/>
    <s v="Y"/>
    <s v="No"/>
    <n v="18"/>
    <n v="3"/>
    <n v="3"/>
    <n v="80"/>
    <n v="0"/>
    <n v="21"/>
    <n v="6"/>
    <n v="3"/>
    <x v="5"/>
    <n v="7"/>
    <n v="1"/>
    <n v="0"/>
    <x v="1"/>
    <x v="3"/>
  </r>
  <r>
    <n v="52"/>
    <x v="1"/>
    <s v="Travel_Rarely"/>
    <n v="699"/>
    <x v="1"/>
    <x v="0"/>
    <n v="4"/>
    <s v="Life Sciences"/>
    <n v="1"/>
    <n v="259"/>
    <n v="3"/>
    <x v="1"/>
    <n v="65"/>
    <n v="2"/>
    <n v="5"/>
    <x v="5"/>
    <x v="2"/>
    <s v="Married"/>
    <n v="19999"/>
    <n v="5678"/>
    <n v="0"/>
    <s v="Y"/>
    <s v="No"/>
    <n v="14"/>
    <n v="3"/>
    <n v="1"/>
    <n v="80"/>
    <n v="1"/>
    <n v="34"/>
    <n v="5"/>
    <n v="3"/>
    <x v="26"/>
    <n v="18"/>
    <n v="11"/>
    <n v="9"/>
    <x v="1"/>
    <x v="3"/>
  </r>
  <r>
    <n v="27"/>
    <x v="1"/>
    <s v="Travel_Rarely"/>
    <n v="894"/>
    <x v="1"/>
    <x v="14"/>
    <n v="3"/>
    <s v="Medical"/>
    <n v="1"/>
    <n v="260"/>
    <n v="4"/>
    <x v="0"/>
    <n v="99"/>
    <n v="3"/>
    <n v="1"/>
    <x v="1"/>
    <x v="1"/>
    <s v="Single"/>
    <n v="2279"/>
    <n v="11781"/>
    <n v="1"/>
    <s v="Y"/>
    <s v="No"/>
    <n v="16"/>
    <n v="3"/>
    <n v="4"/>
    <n v="80"/>
    <n v="0"/>
    <n v="7"/>
    <n v="2"/>
    <n v="2"/>
    <x v="5"/>
    <n v="7"/>
    <n v="0"/>
    <n v="3"/>
    <x v="2"/>
    <x v="1"/>
  </r>
  <r>
    <n v="35"/>
    <x v="0"/>
    <s v="Travel_Rarely"/>
    <n v="556"/>
    <x v="1"/>
    <x v="5"/>
    <n v="2"/>
    <s v="Life Sciences"/>
    <n v="1"/>
    <n v="261"/>
    <n v="2"/>
    <x v="1"/>
    <n v="50"/>
    <n v="2"/>
    <n v="2"/>
    <x v="3"/>
    <x v="2"/>
    <s v="Married"/>
    <n v="5916"/>
    <n v="15497"/>
    <n v="3"/>
    <s v="Y"/>
    <s v="Yes"/>
    <n v="13"/>
    <n v="3"/>
    <n v="1"/>
    <n v="80"/>
    <n v="0"/>
    <n v="8"/>
    <n v="1"/>
    <n v="3"/>
    <x v="6"/>
    <n v="0"/>
    <n v="0"/>
    <n v="1"/>
    <x v="0"/>
    <x v="0"/>
  </r>
  <r>
    <n v="43"/>
    <x v="1"/>
    <s v="Non-Travel"/>
    <n v="1344"/>
    <x v="1"/>
    <x v="15"/>
    <n v="3"/>
    <s v="Medical"/>
    <n v="1"/>
    <n v="262"/>
    <n v="4"/>
    <x v="1"/>
    <n v="37"/>
    <n v="4"/>
    <n v="1"/>
    <x v="1"/>
    <x v="0"/>
    <s v="Divorced"/>
    <n v="2089"/>
    <n v="5228"/>
    <n v="4"/>
    <s v="Y"/>
    <s v="No"/>
    <n v="14"/>
    <n v="3"/>
    <n v="4"/>
    <n v="80"/>
    <n v="3"/>
    <n v="7"/>
    <n v="3"/>
    <n v="4"/>
    <x v="8"/>
    <n v="4"/>
    <n v="2"/>
    <n v="2"/>
    <x v="0"/>
    <x v="1"/>
  </r>
  <r>
    <n v="45"/>
    <x v="1"/>
    <s v="Non-Travel"/>
    <n v="1195"/>
    <x v="1"/>
    <x v="2"/>
    <n v="2"/>
    <s v="Medical"/>
    <n v="1"/>
    <n v="264"/>
    <n v="1"/>
    <x v="1"/>
    <n v="65"/>
    <n v="2"/>
    <n v="4"/>
    <x v="5"/>
    <x v="0"/>
    <s v="Married"/>
    <n v="16792"/>
    <n v="20462"/>
    <n v="9"/>
    <s v="Y"/>
    <s v="No"/>
    <n v="23"/>
    <n v="4"/>
    <n v="4"/>
    <n v="80"/>
    <n v="1"/>
    <n v="22"/>
    <n v="1"/>
    <n v="3"/>
    <x v="23"/>
    <n v="8"/>
    <n v="11"/>
    <n v="8"/>
    <x v="1"/>
    <x v="3"/>
  </r>
  <r>
    <n v="37"/>
    <x v="1"/>
    <s v="Travel_Rarely"/>
    <n v="290"/>
    <x v="1"/>
    <x v="11"/>
    <n v="3"/>
    <s v="Life Sciences"/>
    <n v="1"/>
    <n v="267"/>
    <n v="2"/>
    <x v="1"/>
    <n v="65"/>
    <n v="4"/>
    <n v="1"/>
    <x v="1"/>
    <x v="3"/>
    <s v="Married"/>
    <n v="3564"/>
    <n v="22977"/>
    <n v="1"/>
    <s v="Y"/>
    <s v="Yes"/>
    <n v="12"/>
    <n v="3"/>
    <n v="1"/>
    <n v="80"/>
    <n v="1"/>
    <n v="8"/>
    <n v="3"/>
    <n v="2"/>
    <x v="3"/>
    <n v="7"/>
    <n v="1"/>
    <n v="7"/>
    <x v="0"/>
    <x v="0"/>
  </r>
  <r>
    <n v="35"/>
    <x v="1"/>
    <s v="Travel_Frequently"/>
    <n v="138"/>
    <x v="1"/>
    <x v="2"/>
    <n v="3"/>
    <s v="Medical"/>
    <n v="1"/>
    <n v="269"/>
    <n v="2"/>
    <x v="0"/>
    <n v="37"/>
    <n v="3"/>
    <n v="2"/>
    <x v="2"/>
    <x v="1"/>
    <s v="Single"/>
    <n v="4425"/>
    <n v="15986"/>
    <n v="5"/>
    <s v="Y"/>
    <s v="No"/>
    <n v="11"/>
    <n v="3"/>
    <n v="4"/>
    <n v="80"/>
    <n v="0"/>
    <n v="10"/>
    <n v="5"/>
    <n v="3"/>
    <x v="0"/>
    <n v="2"/>
    <n v="1"/>
    <n v="2"/>
    <x v="0"/>
    <x v="0"/>
  </r>
  <r>
    <n v="42"/>
    <x v="1"/>
    <s v="Non-Travel"/>
    <n v="926"/>
    <x v="1"/>
    <x v="11"/>
    <n v="2"/>
    <s v="Medical"/>
    <n v="1"/>
    <n v="270"/>
    <n v="3"/>
    <x v="0"/>
    <n v="36"/>
    <n v="3"/>
    <n v="2"/>
    <x v="3"/>
    <x v="2"/>
    <s v="Divorced"/>
    <n v="5265"/>
    <n v="16439"/>
    <n v="2"/>
    <s v="Y"/>
    <s v="No"/>
    <n v="16"/>
    <n v="3"/>
    <n v="2"/>
    <n v="80"/>
    <n v="1"/>
    <n v="11"/>
    <n v="5"/>
    <n v="3"/>
    <x v="8"/>
    <n v="3"/>
    <n v="0"/>
    <n v="2"/>
    <x v="0"/>
    <x v="0"/>
  </r>
  <r>
    <n v="38"/>
    <x v="1"/>
    <s v="Travel_Rarely"/>
    <n v="1261"/>
    <x v="1"/>
    <x v="2"/>
    <n v="4"/>
    <s v="Life Sciences"/>
    <n v="1"/>
    <n v="271"/>
    <n v="4"/>
    <x v="1"/>
    <n v="88"/>
    <n v="3"/>
    <n v="2"/>
    <x v="3"/>
    <x v="2"/>
    <s v="Married"/>
    <n v="6553"/>
    <n v="7259"/>
    <n v="9"/>
    <s v="Y"/>
    <s v="No"/>
    <n v="14"/>
    <n v="3"/>
    <n v="2"/>
    <n v="80"/>
    <n v="0"/>
    <n v="14"/>
    <n v="3"/>
    <n v="3"/>
    <x v="6"/>
    <n v="0"/>
    <n v="0"/>
    <n v="0"/>
    <x v="0"/>
    <x v="4"/>
  </r>
  <r>
    <n v="38"/>
    <x v="1"/>
    <s v="Travel_Rarely"/>
    <n v="1084"/>
    <x v="1"/>
    <x v="22"/>
    <n v="3"/>
    <s v="Technical Degree"/>
    <n v="1"/>
    <n v="273"/>
    <n v="4"/>
    <x v="1"/>
    <n v="54"/>
    <n v="3"/>
    <n v="2"/>
    <x v="3"/>
    <x v="0"/>
    <s v="Married"/>
    <n v="6261"/>
    <n v="4185"/>
    <n v="3"/>
    <s v="Y"/>
    <s v="No"/>
    <n v="18"/>
    <n v="3"/>
    <n v="1"/>
    <n v="80"/>
    <n v="1"/>
    <n v="9"/>
    <n v="3"/>
    <n v="1"/>
    <x v="5"/>
    <n v="7"/>
    <n v="1"/>
    <n v="7"/>
    <x v="0"/>
    <x v="4"/>
  </r>
  <r>
    <n v="27"/>
    <x v="1"/>
    <s v="Travel_Frequently"/>
    <n v="472"/>
    <x v="1"/>
    <x v="0"/>
    <n v="1"/>
    <s v="Technical Degree"/>
    <n v="1"/>
    <n v="274"/>
    <n v="3"/>
    <x v="1"/>
    <n v="60"/>
    <n v="2"/>
    <n v="2"/>
    <x v="3"/>
    <x v="3"/>
    <s v="Married"/>
    <n v="4298"/>
    <n v="9679"/>
    <n v="5"/>
    <s v="Y"/>
    <s v="No"/>
    <n v="19"/>
    <n v="3"/>
    <n v="3"/>
    <n v="80"/>
    <n v="1"/>
    <n v="6"/>
    <n v="1"/>
    <n v="3"/>
    <x v="4"/>
    <n v="2"/>
    <n v="2"/>
    <n v="0"/>
    <x v="2"/>
    <x v="0"/>
  </r>
  <r>
    <n v="49"/>
    <x v="1"/>
    <s v="Non-Travel"/>
    <n v="1002"/>
    <x v="1"/>
    <x v="21"/>
    <n v="4"/>
    <s v="Life Sciences"/>
    <n v="1"/>
    <n v="275"/>
    <n v="4"/>
    <x v="1"/>
    <n v="92"/>
    <n v="3"/>
    <n v="2"/>
    <x v="3"/>
    <x v="0"/>
    <s v="Divorced"/>
    <n v="6804"/>
    <n v="23793"/>
    <n v="1"/>
    <s v="Y"/>
    <s v="Yes"/>
    <n v="15"/>
    <n v="3"/>
    <n v="1"/>
    <n v="80"/>
    <n v="2"/>
    <n v="7"/>
    <n v="0"/>
    <n v="3"/>
    <x v="5"/>
    <n v="7"/>
    <n v="1"/>
    <n v="7"/>
    <x v="1"/>
    <x v="4"/>
  </r>
  <r>
    <n v="34"/>
    <x v="1"/>
    <s v="Travel_Frequently"/>
    <n v="878"/>
    <x v="1"/>
    <x v="17"/>
    <n v="4"/>
    <s v="Medical"/>
    <n v="1"/>
    <n v="277"/>
    <n v="4"/>
    <x v="1"/>
    <n v="43"/>
    <n v="3"/>
    <n v="1"/>
    <x v="1"/>
    <x v="2"/>
    <s v="Divorced"/>
    <n v="3815"/>
    <n v="5972"/>
    <n v="1"/>
    <s v="Y"/>
    <s v="Yes"/>
    <n v="17"/>
    <n v="3"/>
    <n v="4"/>
    <n v="80"/>
    <n v="1"/>
    <n v="5"/>
    <n v="4"/>
    <n v="4"/>
    <x v="8"/>
    <n v="3"/>
    <n v="2"/>
    <n v="0"/>
    <x v="2"/>
    <x v="0"/>
  </r>
  <r>
    <n v="40"/>
    <x v="1"/>
    <s v="Travel_Rarely"/>
    <n v="905"/>
    <x v="1"/>
    <x v="10"/>
    <n v="2"/>
    <s v="Medical"/>
    <n v="1"/>
    <n v="281"/>
    <n v="3"/>
    <x v="1"/>
    <n v="99"/>
    <n v="3"/>
    <n v="2"/>
    <x v="2"/>
    <x v="0"/>
    <s v="Married"/>
    <n v="2741"/>
    <n v="16523"/>
    <n v="8"/>
    <s v="Y"/>
    <s v="Yes"/>
    <n v="15"/>
    <n v="3"/>
    <n v="3"/>
    <n v="80"/>
    <n v="1"/>
    <n v="15"/>
    <n v="2"/>
    <n v="4"/>
    <x v="5"/>
    <n v="2"/>
    <n v="3"/>
    <n v="7"/>
    <x v="0"/>
    <x v="1"/>
  </r>
  <r>
    <n v="38"/>
    <x v="0"/>
    <s v="Travel_Rarely"/>
    <n v="1180"/>
    <x v="1"/>
    <x v="22"/>
    <n v="1"/>
    <s v="Medical"/>
    <n v="1"/>
    <n v="282"/>
    <n v="2"/>
    <x v="1"/>
    <n v="70"/>
    <n v="3"/>
    <n v="2"/>
    <x v="4"/>
    <x v="3"/>
    <s v="Married"/>
    <n v="6673"/>
    <n v="11354"/>
    <n v="7"/>
    <s v="Y"/>
    <s v="Yes"/>
    <n v="19"/>
    <n v="3"/>
    <n v="2"/>
    <n v="80"/>
    <n v="0"/>
    <n v="17"/>
    <n v="2"/>
    <n v="3"/>
    <x v="6"/>
    <n v="0"/>
    <n v="0"/>
    <n v="0"/>
    <x v="0"/>
    <x v="4"/>
  </r>
  <r>
    <n v="29"/>
    <x v="0"/>
    <s v="Travel_Rarely"/>
    <n v="121"/>
    <x v="0"/>
    <x v="6"/>
    <n v="3"/>
    <s v="Marketing"/>
    <n v="1"/>
    <n v="283"/>
    <n v="2"/>
    <x v="0"/>
    <n v="35"/>
    <n v="3"/>
    <n v="3"/>
    <x v="0"/>
    <x v="0"/>
    <s v="Married"/>
    <n v="7639"/>
    <n v="24525"/>
    <n v="1"/>
    <s v="Y"/>
    <s v="No"/>
    <n v="22"/>
    <n v="4"/>
    <n v="4"/>
    <n v="80"/>
    <n v="3"/>
    <n v="10"/>
    <n v="3"/>
    <n v="2"/>
    <x v="1"/>
    <n v="4"/>
    <n v="1"/>
    <n v="9"/>
    <x v="2"/>
    <x v="4"/>
  </r>
  <r>
    <n v="22"/>
    <x v="1"/>
    <s v="Travel_Rarely"/>
    <n v="1136"/>
    <x v="1"/>
    <x v="12"/>
    <n v="3"/>
    <s v="Life Sciences"/>
    <n v="1"/>
    <n v="284"/>
    <n v="4"/>
    <x v="1"/>
    <n v="60"/>
    <n v="4"/>
    <n v="1"/>
    <x v="1"/>
    <x v="1"/>
    <s v="Divorced"/>
    <n v="2328"/>
    <n v="12392"/>
    <n v="1"/>
    <s v="Y"/>
    <s v="Yes"/>
    <n v="16"/>
    <n v="3"/>
    <n v="1"/>
    <n v="80"/>
    <n v="1"/>
    <n v="4"/>
    <n v="2"/>
    <n v="2"/>
    <x v="9"/>
    <n v="2"/>
    <n v="2"/>
    <n v="2"/>
    <x v="4"/>
    <x v="1"/>
  </r>
  <r>
    <n v="36"/>
    <x v="1"/>
    <s v="Travel_Frequently"/>
    <n v="635"/>
    <x v="1"/>
    <x v="21"/>
    <n v="1"/>
    <s v="Medical"/>
    <n v="1"/>
    <n v="286"/>
    <n v="2"/>
    <x v="0"/>
    <n v="73"/>
    <n v="3"/>
    <n v="1"/>
    <x v="2"/>
    <x v="0"/>
    <s v="Single"/>
    <n v="2153"/>
    <n v="7703"/>
    <n v="1"/>
    <s v="Y"/>
    <s v="No"/>
    <n v="13"/>
    <n v="3"/>
    <n v="1"/>
    <n v="80"/>
    <n v="0"/>
    <n v="8"/>
    <n v="2"/>
    <n v="3"/>
    <x v="3"/>
    <n v="1"/>
    <n v="1"/>
    <n v="7"/>
    <x v="0"/>
    <x v="1"/>
  </r>
  <r>
    <n v="40"/>
    <x v="1"/>
    <s v="Non-Travel"/>
    <n v="1151"/>
    <x v="1"/>
    <x v="14"/>
    <n v="5"/>
    <s v="Life Sciences"/>
    <n v="1"/>
    <n v="287"/>
    <n v="4"/>
    <x v="1"/>
    <n v="63"/>
    <n v="2"/>
    <n v="2"/>
    <x v="4"/>
    <x v="0"/>
    <s v="Married"/>
    <n v="4876"/>
    <n v="14242"/>
    <n v="9"/>
    <s v="Y"/>
    <s v="No"/>
    <n v="14"/>
    <n v="3"/>
    <n v="4"/>
    <n v="80"/>
    <n v="1"/>
    <n v="5"/>
    <n v="5"/>
    <n v="1"/>
    <x v="11"/>
    <n v="2"/>
    <n v="0"/>
    <n v="2"/>
    <x v="0"/>
    <x v="0"/>
  </r>
  <r>
    <n v="46"/>
    <x v="1"/>
    <s v="Travel_Rarely"/>
    <n v="644"/>
    <x v="1"/>
    <x v="0"/>
    <n v="4"/>
    <s v="Medical"/>
    <n v="1"/>
    <n v="288"/>
    <n v="4"/>
    <x v="1"/>
    <n v="97"/>
    <n v="3"/>
    <n v="3"/>
    <x v="4"/>
    <x v="3"/>
    <s v="Divorced"/>
    <n v="9396"/>
    <n v="12368"/>
    <n v="7"/>
    <s v="Y"/>
    <s v="No"/>
    <n v="16"/>
    <n v="3"/>
    <n v="3"/>
    <n v="80"/>
    <n v="1"/>
    <n v="17"/>
    <n v="3"/>
    <n v="3"/>
    <x v="9"/>
    <n v="2"/>
    <n v="0"/>
    <n v="3"/>
    <x v="1"/>
    <x v="2"/>
  </r>
  <r>
    <n v="32"/>
    <x v="0"/>
    <s v="Travel_Rarely"/>
    <n v="1045"/>
    <x v="0"/>
    <x v="18"/>
    <n v="4"/>
    <s v="Medical"/>
    <n v="1"/>
    <n v="291"/>
    <n v="4"/>
    <x v="1"/>
    <n v="32"/>
    <n v="1"/>
    <n v="3"/>
    <x v="0"/>
    <x v="0"/>
    <s v="Married"/>
    <n v="10400"/>
    <n v="25812"/>
    <n v="1"/>
    <s v="Y"/>
    <s v="No"/>
    <n v="11"/>
    <n v="3"/>
    <n v="3"/>
    <n v="80"/>
    <n v="0"/>
    <n v="14"/>
    <n v="2"/>
    <n v="2"/>
    <x v="13"/>
    <n v="8"/>
    <n v="9"/>
    <n v="8"/>
    <x v="2"/>
    <x v="2"/>
  </r>
  <r>
    <n v="30"/>
    <x v="1"/>
    <s v="Non-Travel"/>
    <n v="829"/>
    <x v="1"/>
    <x v="0"/>
    <n v="1"/>
    <s v="Life Sciences"/>
    <n v="1"/>
    <n v="292"/>
    <n v="3"/>
    <x v="1"/>
    <n v="88"/>
    <n v="2"/>
    <n v="3"/>
    <x v="3"/>
    <x v="2"/>
    <s v="Single"/>
    <n v="8474"/>
    <n v="20925"/>
    <n v="1"/>
    <s v="Y"/>
    <s v="No"/>
    <n v="22"/>
    <n v="4"/>
    <n v="3"/>
    <n v="80"/>
    <n v="0"/>
    <n v="12"/>
    <n v="2"/>
    <n v="3"/>
    <x v="19"/>
    <n v="8"/>
    <n v="5"/>
    <n v="8"/>
    <x v="2"/>
    <x v="4"/>
  </r>
  <r>
    <n v="27"/>
    <x v="1"/>
    <s v="Travel_Frequently"/>
    <n v="1242"/>
    <x v="0"/>
    <x v="25"/>
    <n v="3"/>
    <s v="Life Sciences"/>
    <n v="1"/>
    <n v="293"/>
    <n v="4"/>
    <x v="0"/>
    <n v="90"/>
    <n v="3"/>
    <n v="2"/>
    <x v="0"/>
    <x v="2"/>
    <s v="Single"/>
    <n v="9981"/>
    <n v="12916"/>
    <n v="1"/>
    <s v="Y"/>
    <s v="No"/>
    <n v="14"/>
    <n v="3"/>
    <n v="4"/>
    <n v="80"/>
    <n v="0"/>
    <n v="7"/>
    <n v="2"/>
    <n v="3"/>
    <x v="5"/>
    <n v="7"/>
    <n v="0"/>
    <n v="7"/>
    <x v="2"/>
    <x v="2"/>
  </r>
  <r>
    <n v="51"/>
    <x v="1"/>
    <s v="Travel_Rarely"/>
    <n v="1469"/>
    <x v="1"/>
    <x v="1"/>
    <n v="4"/>
    <s v="Life Sciences"/>
    <n v="1"/>
    <n v="296"/>
    <n v="2"/>
    <x v="1"/>
    <n v="81"/>
    <n v="2"/>
    <n v="3"/>
    <x v="7"/>
    <x v="1"/>
    <s v="Married"/>
    <n v="12490"/>
    <n v="15736"/>
    <n v="5"/>
    <s v="Y"/>
    <s v="No"/>
    <n v="16"/>
    <n v="3"/>
    <n v="4"/>
    <n v="80"/>
    <n v="2"/>
    <n v="16"/>
    <n v="5"/>
    <n v="1"/>
    <x v="1"/>
    <n v="9"/>
    <n v="4"/>
    <n v="7"/>
    <x v="1"/>
    <x v="3"/>
  </r>
  <r>
    <n v="30"/>
    <x v="0"/>
    <s v="Travel_Rarely"/>
    <n v="1005"/>
    <x v="1"/>
    <x v="3"/>
    <n v="3"/>
    <s v="Technical Degree"/>
    <n v="1"/>
    <n v="297"/>
    <n v="4"/>
    <x v="0"/>
    <n v="88"/>
    <n v="3"/>
    <n v="1"/>
    <x v="1"/>
    <x v="3"/>
    <s v="Single"/>
    <n v="2657"/>
    <n v="8556"/>
    <n v="5"/>
    <s v="Y"/>
    <s v="Yes"/>
    <n v="11"/>
    <n v="3"/>
    <n v="3"/>
    <n v="80"/>
    <n v="0"/>
    <n v="8"/>
    <n v="5"/>
    <n v="3"/>
    <x v="8"/>
    <n v="2"/>
    <n v="0"/>
    <n v="4"/>
    <x v="2"/>
    <x v="1"/>
  </r>
  <r>
    <n v="41"/>
    <x v="1"/>
    <s v="Travel_Rarely"/>
    <n v="896"/>
    <x v="0"/>
    <x v="16"/>
    <n v="3"/>
    <s v="Life Sciences"/>
    <n v="1"/>
    <n v="298"/>
    <n v="4"/>
    <x v="0"/>
    <n v="75"/>
    <n v="3"/>
    <n v="3"/>
    <x v="5"/>
    <x v="0"/>
    <s v="Single"/>
    <n v="13591"/>
    <n v="14674"/>
    <n v="3"/>
    <s v="Y"/>
    <s v="Yes"/>
    <n v="18"/>
    <n v="3"/>
    <n v="3"/>
    <n v="80"/>
    <n v="0"/>
    <n v="16"/>
    <n v="3"/>
    <n v="3"/>
    <x v="6"/>
    <n v="0"/>
    <n v="0"/>
    <n v="0"/>
    <x v="0"/>
    <x v="3"/>
  </r>
  <r>
    <n v="30"/>
    <x v="0"/>
    <s v="Travel_Frequently"/>
    <n v="334"/>
    <x v="0"/>
    <x v="9"/>
    <n v="4"/>
    <s v="Marketing"/>
    <n v="1"/>
    <n v="299"/>
    <n v="3"/>
    <x v="0"/>
    <n v="52"/>
    <n v="2"/>
    <n v="2"/>
    <x v="0"/>
    <x v="3"/>
    <s v="Single"/>
    <n v="6696"/>
    <n v="22967"/>
    <n v="5"/>
    <s v="Y"/>
    <s v="No"/>
    <n v="15"/>
    <n v="3"/>
    <n v="3"/>
    <n v="80"/>
    <n v="0"/>
    <n v="9"/>
    <n v="5"/>
    <n v="2"/>
    <x v="0"/>
    <n v="3"/>
    <n v="0"/>
    <n v="1"/>
    <x v="2"/>
    <x v="4"/>
  </r>
  <r>
    <n v="29"/>
    <x v="0"/>
    <s v="Travel_Rarely"/>
    <n v="992"/>
    <x v="1"/>
    <x v="0"/>
    <n v="3"/>
    <s v="Technical Degree"/>
    <n v="1"/>
    <n v="300"/>
    <n v="3"/>
    <x v="1"/>
    <n v="85"/>
    <n v="3"/>
    <n v="1"/>
    <x v="1"/>
    <x v="2"/>
    <s v="Single"/>
    <n v="2058"/>
    <n v="19757"/>
    <n v="0"/>
    <s v="Y"/>
    <s v="No"/>
    <n v="14"/>
    <n v="3"/>
    <n v="4"/>
    <n v="80"/>
    <n v="0"/>
    <n v="7"/>
    <n v="1"/>
    <n v="2"/>
    <x v="0"/>
    <n v="2"/>
    <n v="1"/>
    <n v="5"/>
    <x v="2"/>
    <x v="1"/>
  </r>
  <r>
    <n v="45"/>
    <x v="1"/>
    <s v="Non-Travel"/>
    <n v="1052"/>
    <x v="0"/>
    <x v="16"/>
    <n v="3"/>
    <s v="Medical"/>
    <n v="1"/>
    <n v="302"/>
    <n v="4"/>
    <x v="0"/>
    <n v="57"/>
    <n v="2"/>
    <n v="3"/>
    <x v="0"/>
    <x v="0"/>
    <s v="Single"/>
    <n v="8865"/>
    <n v="16840"/>
    <n v="6"/>
    <s v="Y"/>
    <s v="No"/>
    <n v="12"/>
    <n v="3"/>
    <n v="4"/>
    <n v="80"/>
    <n v="0"/>
    <n v="23"/>
    <n v="2"/>
    <n v="3"/>
    <x v="27"/>
    <n v="7"/>
    <n v="12"/>
    <n v="8"/>
    <x v="1"/>
    <x v="4"/>
  </r>
  <r>
    <n v="54"/>
    <x v="1"/>
    <s v="Travel_Rarely"/>
    <n v="1147"/>
    <x v="0"/>
    <x v="3"/>
    <n v="3"/>
    <s v="Marketing"/>
    <n v="1"/>
    <n v="303"/>
    <n v="4"/>
    <x v="0"/>
    <n v="52"/>
    <n v="3"/>
    <n v="2"/>
    <x v="0"/>
    <x v="3"/>
    <s v="Married"/>
    <n v="5940"/>
    <n v="17011"/>
    <n v="2"/>
    <s v="Y"/>
    <s v="No"/>
    <n v="14"/>
    <n v="3"/>
    <n v="4"/>
    <n v="80"/>
    <n v="1"/>
    <n v="16"/>
    <n v="4"/>
    <n v="3"/>
    <x v="0"/>
    <n v="2"/>
    <n v="0"/>
    <n v="5"/>
    <x v="1"/>
    <x v="0"/>
  </r>
  <r>
    <n v="36"/>
    <x v="1"/>
    <s v="Travel_Rarely"/>
    <n v="1396"/>
    <x v="1"/>
    <x v="12"/>
    <n v="2"/>
    <s v="Life Sciences"/>
    <n v="1"/>
    <n v="304"/>
    <n v="4"/>
    <x v="1"/>
    <n v="62"/>
    <n v="3"/>
    <n v="2"/>
    <x v="2"/>
    <x v="1"/>
    <s v="Single"/>
    <n v="5914"/>
    <n v="9945"/>
    <n v="8"/>
    <s v="Y"/>
    <s v="No"/>
    <n v="16"/>
    <n v="3"/>
    <n v="4"/>
    <n v="80"/>
    <n v="0"/>
    <n v="16"/>
    <n v="3"/>
    <n v="4"/>
    <x v="20"/>
    <n v="11"/>
    <n v="3"/>
    <n v="7"/>
    <x v="0"/>
    <x v="0"/>
  </r>
  <r>
    <n v="33"/>
    <x v="1"/>
    <s v="Travel_Rarely"/>
    <n v="147"/>
    <x v="1"/>
    <x v="18"/>
    <n v="4"/>
    <s v="Medical"/>
    <n v="1"/>
    <n v="305"/>
    <n v="3"/>
    <x v="0"/>
    <n v="47"/>
    <n v="2"/>
    <n v="1"/>
    <x v="1"/>
    <x v="1"/>
    <s v="Married"/>
    <n v="2622"/>
    <n v="13248"/>
    <n v="6"/>
    <s v="Y"/>
    <s v="No"/>
    <n v="21"/>
    <n v="4"/>
    <n v="4"/>
    <n v="80"/>
    <n v="0"/>
    <n v="7"/>
    <n v="3"/>
    <n v="3"/>
    <x v="11"/>
    <n v="2"/>
    <n v="1"/>
    <n v="1"/>
    <x v="2"/>
    <x v="1"/>
  </r>
  <r>
    <n v="37"/>
    <x v="1"/>
    <s v="Travel_Frequently"/>
    <n v="663"/>
    <x v="1"/>
    <x v="13"/>
    <n v="3"/>
    <s v="Other"/>
    <n v="1"/>
    <n v="306"/>
    <n v="2"/>
    <x v="1"/>
    <n v="47"/>
    <n v="3"/>
    <n v="3"/>
    <x v="7"/>
    <x v="0"/>
    <s v="Divorced"/>
    <n v="12185"/>
    <n v="10056"/>
    <n v="1"/>
    <s v="Y"/>
    <s v="Yes"/>
    <n v="14"/>
    <n v="3"/>
    <n v="3"/>
    <n v="80"/>
    <n v="3"/>
    <n v="10"/>
    <n v="1"/>
    <n v="3"/>
    <x v="1"/>
    <n v="8"/>
    <n v="0"/>
    <n v="7"/>
    <x v="0"/>
    <x v="3"/>
  </r>
  <r>
    <n v="38"/>
    <x v="1"/>
    <s v="Travel_Rarely"/>
    <n v="119"/>
    <x v="0"/>
    <x v="3"/>
    <n v="3"/>
    <s v="Life Sciences"/>
    <n v="1"/>
    <n v="307"/>
    <n v="1"/>
    <x v="1"/>
    <n v="76"/>
    <n v="3"/>
    <n v="3"/>
    <x v="0"/>
    <x v="2"/>
    <s v="Divorced"/>
    <n v="10609"/>
    <n v="9647"/>
    <n v="0"/>
    <s v="Y"/>
    <s v="No"/>
    <n v="12"/>
    <n v="3"/>
    <n v="3"/>
    <n v="80"/>
    <n v="2"/>
    <n v="17"/>
    <n v="6"/>
    <n v="2"/>
    <x v="22"/>
    <n v="10"/>
    <n v="5"/>
    <n v="13"/>
    <x v="0"/>
    <x v="2"/>
  </r>
  <r>
    <n v="31"/>
    <x v="1"/>
    <s v="Non-Travel"/>
    <n v="979"/>
    <x v="1"/>
    <x v="0"/>
    <n v="4"/>
    <s v="Medical"/>
    <n v="1"/>
    <n v="308"/>
    <n v="3"/>
    <x v="1"/>
    <n v="90"/>
    <n v="1"/>
    <n v="2"/>
    <x v="3"/>
    <x v="2"/>
    <s v="Married"/>
    <n v="4345"/>
    <n v="4381"/>
    <n v="0"/>
    <s v="Y"/>
    <s v="No"/>
    <n v="12"/>
    <n v="3"/>
    <n v="4"/>
    <n v="80"/>
    <n v="1"/>
    <n v="6"/>
    <n v="2"/>
    <n v="3"/>
    <x v="8"/>
    <n v="4"/>
    <n v="1"/>
    <n v="4"/>
    <x v="2"/>
    <x v="0"/>
  </r>
  <r>
    <n v="59"/>
    <x v="1"/>
    <s v="Travel_Rarely"/>
    <n v="142"/>
    <x v="1"/>
    <x v="3"/>
    <n v="3"/>
    <s v="Life Sciences"/>
    <n v="1"/>
    <n v="309"/>
    <n v="3"/>
    <x v="1"/>
    <n v="70"/>
    <n v="2"/>
    <n v="1"/>
    <x v="1"/>
    <x v="0"/>
    <s v="Married"/>
    <n v="2177"/>
    <n v="8456"/>
    <n v="3"/>
    <s v="Y"/>
    <s v="No"/>
    <n v="17"/>
    <n v="3"/>
    <n v="1"/>
    <n v="80"/>
    <n v="1"/>
    <n v="7"/>
    <n v="6"/>
    <n v="3"/>
    <x v="6"/>
    <n v="0"/>
    <n v="0"/>
    <n v="0"/>
    <x v="3"/>
    <x v="1"/>
  </r>
  <r>
    <n v="37"/>
    <x v="1"/>
    <s v="Travel_Frequently"/>
    <n v="319"/>
    <x v="0"/>
    <x v="18"/>
    <n v="4"/>
    <s v="Marketing"/>
    <n v="1"/>
    <n v="311"/>
    <n v="1"/>
    <x v="1"/>
    <n v="41"/>
    <n v="3"/>
    <n v="1"/>
    <x v="6"/>
    <x v="0"/>
    <s v="Divorced"/>
    <n v="2793"/>
    <n v="2539"/>
    <n v="4"/>
    <s v="Y"/>
    <s v="No"/>
    <n v="17"/>
    <n v="3"/>
    <n v="3"/>
    <n v="80"/>
    <n v="1"/>
    <n v="13"/>
    <n v="2"/>
    <n v="3"/>
    <x v="7"/>
    <n v="8"/>
    <n v="5"/>
    <n v="8"/>
    <x v="0"/>
    <x v="1"/>
  </r>
  <r>
    <n v="29"/>
    <x v="1"/>
    <s v="Travel_Frequently"/>
    <n v="1413"/>
    <x v="0"/>
    <x v="0"/>
    <n v="1"/>
    <s v="Medical"/>
    <n v="1"/>
    <n v="312"/>
    <n v="2"/>
    <x v="0"/>
    <n v="42"/>
    <n v="3"/>
    <n v="3"/>
    <x v="0"/>
    <x v="0"/>
    <s v="Married"/>
    <n v="7918"/>
    <n v="6599"/>
    <n v="1"/>
    <s v="Y"/>
    <s v="No"/>
    <n v="14"/>
    <n v="3"/>
    <n v="4"/>
    <n v="80"/>
    <n v="1"/>
    <n v="11"/>
    <n v="5"/>
    <n v="3"/>
    <x v="19"/>
    <n v="10"/>
    <n v="4"/>
    <n v="1"/>
    <x v="2"/>
    <x v="4"/>
  </r>
  <r>
    <n v="35"/>
    <x v="1"/>
    <s v="Travel_Frequently"/>
    <n v="944"/>
    <x v="0"/>
    <x v="0"/>
    <n v="3"/>
    <s v="Marketing"/>
    <n v="1"/>
    <n v="314"/>
    <n v="3"/>
    <x v="0"/>
    <n v="92"/>
    <n v="3"/>
    <n v="3"/>
    <x v="0"/>
    <x v="2"/>
    <s v="Single"/>
    <n v="8789"/>
    <n v="9096"/>
    <n v="1"/>
    <s v="Y"/>
    <s v="No"/>
    <n v="14"/>
    <n v="3"/>
    <n v="1"/>
    <n v="80"/>
    <n v="0"/>
    <n v="10"/>
    <n v="3"/>
    <n v="4"/>
    <x v="1"/>
    <n v="7"/>
    <n v="0"/>
    <n v="8"/>
    <x v="0"/>
    <x v="4"/>
  </r>
  <r>
    <n v="29"/>
    <x v="0"/>
    <s v="Travel_Rarely"/>
    <n v="896"/>
    <x v="1"/>
    <x v="21"/>
    <n v="1"/>
    <s v="Medical"/>
    <n v="1"/>
    <n v="315"/>
    <n v="3"/>
    <x v="1"/>
    <n v="86"/>
    <n v="2"/>
    <n v="1"/>
    <x v="1"/>
    <x v="0"/>
    <s v="Single"/>
    <n v="2389"/>
    <n v="14961"/>
    <n v="1"/>
    <s v="Y"/>
    <s v="Yes"/>
    <n v="13"/>
    <n v="3"/>
    <n v="3"/>
    <n v="80"/>
    <n v="0"/>
    <n v="4"/>
    <n v="3"/>
    <n v="2"/>
    <x v="9"/>
    <n v="3"/>
    <n v="0"/>
    <n v="1"/>
    <x v="2"/>
    <x v="1"/>
  </r>
  <r>
    <n v="52"/>
    <x v="1"/>
    <s v="Travel_Rarely"/>
    <n v="1323"/>
    <x v="1"/>
    <x v="2"/>
    <n v="3"/>
    <s v="Life Sciences"/>
    <n v="1"/>
    <n v="316"/>
    <n v="3"/>
    <x v="0"/>
    <n v="89"/>
    <n v="2"/>
    <n v="1"/>
    <x v="2"/>
    <x v="0"/>
    <s v="Single"/>
    <n v="3212"/>
    <n v="3300"/>
    <n v="7"/>
    <s v="Y"/>
    <s v="No"/>
    <n v="15"/>
    <n v="3"/>
    <n v="2"/>
    <n v="80"/>
    <n v="0"/>
    <n v="6"/>
    <n v="3"/>
    <n v="2"/>
    <x v="4"/>
    <n v="2"/>
    <n v="2"/>
    <n v="2"/>
    <x v="1"/>
    <x v="0"/>
  </r>
  <r>
    <n v="42"/>
    <x v="1"/>
    <s v="Travel_Rarely"/>
    <n v="532"/>
    <x v="1"/>
    <x v="18"/>
    <n v="2"/>
    <s v="Technical Degree"/>
    <n v="1"/>
    <n v="319"/>
    <n v="3"/>
    <x v="1"/>
    <n v="58"/>
    <n v="3"/>
    <n v="5"/>
    <x v="5"/>
    <x v="0"/>
    <s v="Married"/>
    <n v="19232"/>
    <n v="4933"/>
    <n v="1"/>
    <s v="Y"/>
    <s v="No"/>
    <n v="11"/>
    <n v="3"/>
    <n v="4"/>
    <n v="80"/>
    <n v="0"/>
    <n v="22"/>
    <n v="3"/>
    <n v="3"/>
    <x v="14"/>
    <n v="17"/>
    <n v="11"/>
    <n v="15"/>
    <x v="0"/>
    <x v="3"/>
  </r>
  <r>
    <n v="59"/>
    <x v="1"/>
    <s v="Travel_Rarely"/>
    <n v="818"/>
    <x v="2"/>
    <x v="16"/>
    <n v="2"/>
    <s v="Medical"/>
    <n v="1"/>
    <n v="321"/>
    <n v="2"/>
    <x v="1"/>
    <n v="52"/>
    <n v="3"/>
    <n v="1"/>
    <x v="8"/>
    <x v="2"/>
    <s v="Married"/>
    <n v="2267"/>
    <n v="25657"/>
    <n v="8"/>
    <s v="Y"/>
    <s v="No"/>
    <n v="17"/>
    <n v="3"/>
    <n v="4"/>
    <n v="80"/>
    <n v="0"/>
    <n v="7"/>
    <n v="2"/>
    <n v="2"/>
    <x v="4"/>
    <n v="2"/>
    <n v="2"/>
    <n v="2"/>
    <x v="3"/>
    <x v="1"/>
  </r>
  <r>
    <n v="50"/>
    <x v="1"/>
    <s v="Travel_Rarely"/>
    <n v="854"/>
    <x v="0"/>
    <x v="0"/>
    <n v="4"/>
    <s v="Medical"/>
    <n v="1"/>
    <n v="323"/>
    <n v="4"/>
    <x v="0"/>
    <n v="68"/>
    <n v="3"/>
    <n v="5"/>
    <x v="5"/>
    <x v="0"/>
    <s v="Divorced"/>
    <n v="19517"/>
    <n v="24118"/>
    <n v="3"/>
    <s v="Y"/>
    <s v="No"/>
    <n v="11"/>
    <n v="3"/>
    <n v="3"/>
    <n v="80"/>
    <n v="1"/>
    <n v="32"/>
    <n v="3"/>
    <n v="2"/>
    <x v="5"/>
    <n v="0"/>
    <n v="0"/>
    <n v="6"/>
    <x v="1"/>
    <x v="3"/>
  </r>
  <r>
    <n v="33"/>
    <x v="0"/>
    <s v="Travel_Rarely"/>
    <n v="813"/>
    <x v="1"/>
    <x v="24"/>
    <n v="3"/>
    <s v="Medical"/>
    <n v="1"/>
    <n v="325"/>
    <n v="3"/>
    <x v="1"/>
    <n v="58"/>
    <n v="3"/>
    <n v="1"/>
    <x v="2"/>
    <x v="0"/>
    <s v="Married"/>
    <n v="2436"/>
    <n v="22149"/>
    <n v="5"/>
    <s v="Y"/>
    <s v="Yes"/>
    <n v="13"/>
    <n v="3"/>
    <n v="3"/>
    <n v="80"/>
    <n v="1"/>
    <n v="8"/>
    <n v="2"/>
    <n v="1"/>
    <x v="8"/>
    <n v="4"/>
    <n v="0"/>
    <n v="4"/>
    <x v="2"/>
    <x v="1"/>
  </r>
  <r>
    <n v="43"/>
    <x v="1"/>
    <s v="Travel_Rarely"/>
    <n v="1034"/>
    <x v="0"/>
    <x v="7"/>
    <n v="3"/>
    <s v="Marketing"/>
    <n v="1"/>
    <n v="327"/>
    <n v="4"/>
    <x v="0"/>
    <n v="80"/>
    <n v="3"/>
    <n v="4"/>
    <x v="5"/>
    <x v="0"/>
    <s v="Married"/>
    <n v="16064"/>
    <n v="7744"/>
    <n v="5"/>
    <s v="Y"/>
    <s v="Yes"/>
    <n v="22"/>
    <n v="4"/>
    <n v="3"/>
    <n v="80"/>
    <n v="1"/>
    <n v="22"/>
    <n v="3"/>
    <n v="3"/>
    <x v="18"/>
    <n v="13"/>
    <n v="1"/>
    <n v="9"/>
    <x v="0"/>
    <x v="3"/>
  </r>
  <r>
    <n v="33"/>
    <x v="0"/>
    <s v="Travel_Rarely"/>
    <n v="465"/>
    <x v="1"/>
    <x v="2"/>
    <n v="2"/>
    <s v="Life Sciences"/>
    <n v="1"/>
    <n v="328"/>
    <n v="1"/>
    <x v="0"/>
    <n v="39"/>
    <n v="3"/>
    <n v="1"/>
    <x v="2"/>
    <x v="3"/>
    <s v="Married"/>
    <n v="2707"/>
    <n v="21509"/>
    <n v="7"/>
    <s v="Y"/>
    <s v="No"/>
    <n v="20"/>
    <n v="4"/>
    <n v="1"/>
    <n v="80"/>
    <n v="0"/>
    <n v="13"/>
    <n v="3"/>
    <n v="4"/>
    <x v="7"/>
    <n v="7"/>
    <n v="1"/>
    <n v="7"/>
    <x v="2"/>
    <x v="1"/>
  </r>
  <r>
    <n v="52"/>
    <x v="1"/>
    <s v="Non-Travel"/>
    <n v="771"/>
    <x v="0"/>
    <x v="2"/>
    <n v="4"/>
    <s v="Life Sciences"/>
    <n v="1"/>
    <n v="329"/>
    <n v="1"/>
    <x v="1"/>
    <n v="79"/>
    <n v="2"/>
    <n v="5"/>
    <x v="5"/>
    <x v="2"/>
    <s v="Single"/>
    <n v="19068"/>
    <n v="21030"/>
    <n v="1"/>
    <s v="Y"/>
    <s v="Yes"/>
    <n v="18"/>
    <n v="3"/>
    <n v="4"/>
    <n v="80"/>
    <n v="0"/>
    <n v="33"/>
    <n v="2"/>
    <n v="4"/>
    <x v="26"/>
    <n v="7"/>
    <n v="15"/>
    <n v="12"/>
    <x v="1"/>
    <x v="3"/>
  </r>
  <r>
    <n v="32"/>
    <x v="1"/>
    <s v="Travel_Rarely"/>
    <n v="1401"/>
    <x v="0"/>
    <x v="18"/>
    <n v="2"/>
    <s v="Life Sciences"/>
    <n v="1"/>
    <n v="330"/>
    <n v="3"/>
    <x v="0"/>
    <n v="56"/>
    <n v="3"/>
    <n v="1"/>
    <x v="6"/>
    <x v="1"/>
    <s v="Married"/>
    <n v="3931"/>
    <n v="20990"/>
    <n v="2"/>
    <s v="Y"/>
    <s v="No"/>
    <n v="11"/>
    <n v="3"/>
    <n v="1"/>
    <n v="80"/>
    <n v="1"/>
    <n v="6"/>
    <n v="5"/>
    <n v="3"/>
    <x v="9"/>
    <n v="3"/>
    <n v="1"/>
    <n v="2"/>
    <x v="2"/>
    <x v="0"/>
  </r>
  <r>
    <n v="32"/>
    <x v="0"/>
    <s v="Travel_Rarely"/>
    <n v="515"/>
    <x v="1"/>
    <x v="0"/>
    <n v="3"/>
    <s v="Life Sciences"/>
    <n v="1"/>
    <n v="331"/>
    <n v="4"/>
    <x v="1"/>
    <n v="62"/>
    <n v="2"/>
    <n v="1"/>
    <x v="2"/>
    <x v="2"/>
    <s v="Single"/>
    <n v="3730"/>
    <n v="9571"/>
    <n v="0"/>
    <s v="Y"/>
    <s v="Yes"/>
    <n v="14"/>
    <n v="3"/>
    <n v="4"/>
    <n v="80"/>
    <n v="0"/>
    <n v="4"/>
    <n v="2"/>
    <n v="1"/>
    <x v="11"/>
    <n v="2"/>
    <n v="1"/>
    <n v="2"/>
    <x v="2"/>
    <x v="0"/>
  </r>
  <r>
    <n v="39"/>
    <x v="1"/>
    <s v="Travel_Rarely"/>
    <n v="1431"/>
    <x v="1"/>
    <x v="0"/>
    <n v="4"/>
    <s v="Medical"/>
    <n v="1"/>
    <n v="332"/>
    <n v="3"/>
    <x v="0"/>
    <n v="96"/>
    <n v="3"/>
    <n v="1"/>
    <x v="2"/>
    <x v="2"/>
    <s v="Divorced"/>
    <n v="2232"/>
    <n v="15417"/>
    <n v="7"/>
    <s v="Y"/>
    <s v="No"/>
    <n v="14"/>
    <n v="3"/>
    <n v="3"/>
    <n v="80"/>
    <n v="3"/>
    <n v="7"/>
    <n v="1"/>
    <n v="3"/>
    <x v="11"/>
    <n v="2"/>
    <n v="1"/>
    <n v="2"/>
    <x v="0"/>
    <x v="1"/>
  </r>
  <r>
    <n v="32"/>
    <x v="1"/>
    <s v="Non-Travel"/>
    <n v="976"/>
    <x v="0"/>
    <x v="9"/>
    <n v="4"/>
    <s v="Marketing"/>
    <n v="1"/>
    <n v="333"/>
    <n v="3"/>
    <x v="1"/>
    <n v="100"/>
    <n v="3"/>
    <n v="2"/>
    <x v="0"/>
    <x v="0"/>
    <s v="Married"/>
    <n v="4465"/>
    <n v="12069"/>
    <n v="0"/>
    <s v="Y"/>
    <s v="No"/>
    <n v="18"/>
    <n v="3"/>
    <n v="1"/>
    <n v="80"/>
    <n v="0"/>
    <n v="4"/>
    <n v="2"/>
    <n v="3"/>
    <x v="11"/>
    <n v="2"/>
    <n v="2"/>
    <n v="2"/>
    <x v="2"/>
    <x v="0"/>
  </r>
  <r>
    <n v="41"/>
    <x v="1"/>
    <s v="Travel_Rarely"/>
    <n v="1411"/>
    <x v="1"/>
    <x v="10"/>
    <n v="2"/>
    <s v="Life Sciences"/>
    <n v="1"/>
    <n v="334"/>
    <n v="3"/>
    <x v="1"/>
    <n v="36"/>
    <n v="3"/>
    <n v="2"/>
    <x v="1"/>
    <x v="3"/>
    <s v="Divorced"/>
    <n v="3072"/>
    <n v="19877"/>
    <n v="2"/>
    <s v="Y"/>
    <s v="No"/>
    <n v="16"/>
    <n v="3"/>
    <n v="1"/>
    <n v="80"/>
    <n v="2"/>
    <n v="17"/>
    <n v="2"/>
    <n v="2"/>
    <x v="6"/>
    <n v="0"/>
    <n v="0"/>
    <n v="0"/>
    <x v="0"/>
    <x v="0"/>
  </r>
  <r>
    <n v="40"/>
    <x v="1"/>
    <s v="Travel_Rarely"/>
    <n v="1300"/>
    <x v="1"/>
    <x v="4"/>
    <n v="2"/>
    <s v="Technical Degree"/>
    <n v="1"/>
    <n v="335"/>
    <n v="1"/>
    <x v="1"/>
    <n v="62"/>
    <n v="3"/>
    <n v="2"/>
    <x v="1"/>
    <x v="0"/>
    <s v="Divorced"/>
    <n v="3319"/>
    <n v="24447"/>
    <n v="1"/>
    <s v="Y"/>
    <s v="No"/>
    <n v="17"/>
    <n v="3"/>
    <n v="1"/>
    <n v="80"/>
    <n v="2"/>
    <n v="9"/>
    <n v="3"/>
    <n v="3"/>
    <x v="7"/>
    <n v="8"/>
    <n v="4"/>
    <n v="7"/>
    <x v="0"/>
    <x v="0"/>
  </r>
  <r>
    <n v="45"/>
    <x v="1"/>
    <s v="Travel_Rarely"/>
    <n v="252"/>
    <x v="1"/>
    <x v="0"/>
    <n v="3"/>
    <s v="Other"/>
    <n v="1"/>
    <n v="336"/>
    <n v="3"/>
    <x v="1"/>
    <n v="70"/>
    <n v="4"/>
    <n v="5"/>
    <x v="5"/>
    <x v="0"/>
    <s v="Married"/>
    <n v="19202"/>
    <n v="15970"/>
    <n v="0"/>
    <s v="Y"/>
    <s v="No"/>
    <n v="11"/>
    <n v="3"/>
    <n v="3"/>
    <n v="80"/>
    <n v="1"/>
    <n v="25"/>
    <n v="2"/>
    <n v="3"/>
    <x v="25"/>
    <n v="0"/>
    <n v="1"/>
    <n v="7"/>
    <x v="1"/>
    <x v="3"/>
  </r>
  <r>
    <n v="31"/>
    <x v="1"/>
    <s v="Travel_Frequently"/>
    <n v="1327"/>
    <x v="1"/>
    <x v="3"/>
    <n v="4"/>
    <s v="Medical"/>
    <n v="1"/>
    <n v="337"/>
    <n v="2"/>
    <x v="1"/>
    <n v="73"/>
    <n v="3"/>
    <n v="3"/>
    <x v="7"/>
    <x v="2"/>
    <s v="Divorced"/>
    <n v="13675"/>
    <n v="13523"/>
    <n v="9"/>
    <s v="Y"/>
    <s v="No"/>
    <n v="12"/>
    <n v="3"/>
    <n v="1"/>
    <n v="80"/>
    <n v="1"/>
    <n v="9"/>
    <n v="3"/>
    <n v="3"/>
    <x v="4"/>
    <n v="2"/>
    <n v="2"/>
    <n v="2"/>
    <x v="2"/>
    <x v="3"/>
  </r>
  <r>
    <n v="33"/>
    <x v="1"/>
    <s v="Travel_Rarely"/>
    <n v="832"/>
    <x v="1"/>
    <x v="12"/>
    <n v="4"/>
    <s v="Life Sciences"/>
    <n v="1"/>
    <n v="338"/>
    <n v="3"/>
    <x v="0"/>
    <n v="63"/>
    <n v="2"/>
    <n v="1"/>
    <x v="1"/>
    <x v="0"/>
    <s v="Married"/>
    <n v="2911"/>
    <n v="14776"/>
    <n v="1"/>
    <s v="Y"/>
    <s v="No"/>
    <n v="13"/>
    <n v="3"/>
    <n v="3"/>
    <n v="80"/>
    <n v="1"/>
    <n v="2"/>
    <n v="2"/>
    <n v="2"/>
    <x v="4"/>
    <n v="2"/>
    <n v="0"/>
    <n v="2"/>
    <x v="2"/>
    <x v="1"/>
  </r>
  <r>
    <n v="34"/>
    <x v="1"/>
    <s v="Travel_Rarely"/>
    <n v="470"/>
    <x v="1"/>
    <x v="2"/>
    <n v="4"/>
    <s v="Life Sciences"/>
    <n v="1"/>
    <n v="339"/>
    <n v="4"/>
    <x v="1"/>
    <n v="84"/>
    <n v="2"/>
    <n v="2"/>
    <x v="3"/>
    <x v="3"/>
    <s v="Married"/>
    <n v="5957"/>
    <n v="23687"/>
    <n v="6"/>
    <s v="Y"/>
    <s v="No"/>
    <n v="13"/>
    <n v="3"/>
    <n v="2"/>
    <n v="80"/>
    <n v="1"/>
    <n v="13"/>
    <n v="3"/>
    <n v="3"/>
    <x v="19"/>
    <n v="9"/>
    <n v="5"/>
    <n v="9"/>
    <x v="2"/>
    <x v="0"/>
  </r>
  <r>
    <n v="37"/>
    <x v="1"/>
    <s v="Travel_Rarely"/>
    <n v="1017"/>
    <x v="1"/>
    <x v="0"/>
    <n v="2"/>
    <s v="Medical"/>
    <n v="1"/>
    <n v="340"/>
    <n v="3"/>
    <x v="0"/>
    <n v="83"/>
    <n v="2"/>
    <n v="1"/>
    <x v="1"/>
    <x v="3"/>
    <s v="Married"/>
    <n v="3920"/>
    <n v="18697"/>
    <n v="2"/>
    <s v="Y"/>
    <s v="No"/>
    <n v="14"/>
    <n v="3"/>
    <n v="1"/>
    <n v="80"/>
    <n v="1"/>
    <n v="17"/>
    <n v="2"/>
    <n v="2"/>
    <x v="11"/>
    <n v="1"/>
    <n v="0"/>
    <n v="2"/>
    <x v="0"/>
    <x v="0"/>
  </r>
  <r>
    <n v="45"/>
    <x v="1"/>
    <s v="Travel_Frequently"/>
    <n v="1199"/>
    <x v="1"/>
    <x v="15"/>
    <n v="4"/>
    <s v="Life Sciences"/>
    <n v="1"/>
    <n v="341"/>
    <n v="1"/>
    <x v="1"/>
    <n v="77"/>
    <n v="4"/>
    <n v="2"/>
    <x v="3"/>
    <x v="2"/>
    <s v="Married"/>
    <n v="6434"/>
    <n v="5118"/>
    <n v="4"/>
    <s v="Y"/>
    <s v="No"/>
    <n v="17"/>
    <n v="3"/>
    <n v="4"/>
    <n v="80"/>
    <n v="1"/>
    <n v="9"/>
    <n v="1"/>
    <n v="3"/>
    <x v="11"/>
    <n v="2"/>
    <n v="0"/>
    <n v="2"/>
    <x v="1"/>
    <x v="4"/>
  </r>
  <r>
    <n v="37"/>
    <x v="0"/>
    <s v="Travel_Frequently"/>
    <n v="504"/>
    <x v="1"/>
    <x v="17"/>
    <n v="3"/>
    <s v="Medical"/>
    <n v="1"/>
    <n v="342"/>
    <n v="1"/>
    <x v="1"/>
    <n v="61"/>
    <n v="3"/>
    <n v="3"/>
    <x v="3"/>
    <x v="2"/>
    <s v="Divorced"/>
    <n v="10048"/>
    <n v="22573"/>
    <n v="6"/>
    <s v="Y"/>
    <s v="No"/>
    <n v="11"/>
    <n v="3"/>
    <n v="2"/>
    <n v="80"/>
    <n v="2"/>
    <n v="17"/>
    <n v="5"/>
    <n v="3"/>
    <x v="6"/>
    <n v="0"/>
    <n v="0"/>
    <n v="0"/>
    <x v="0"/>
    <x v="2"/>
  </r>
  <r>
    <n v="39"/>
    <x v="1"/>
    <s v="Travel_Frequently"/>
    <n v="505"/>
    <x v="1"/>
    <x v="2"/>
    <n v="4"/>
    <s v="Technical Degree"/>
    <n v="1"/>
    <n v="343"/>
    <n v="3"/>
    <x v="0"/>
    <n v="64"/>
    <n v="3"/>
    <n v="3"/>
    <x v="4"/>
    <x v="2"/>
    <s v="Single"/>
    <n v="10938"/>
    <n v="6420"/>
    <n v="0"/>
    <s v="Y"/>
    <s v="No"/>
    <n v="25"/>
    <n v="4"/>
    <n v="4"/>
    <n v="80"/>
    <n v="0"/>
    <n v="20"/>
    <n v="1"/>
    <n v="3"/>
    <x v="27"/>
    <n v="6"/>
    <n v="11"/>
    <n v="8"/>
    <x v="0"/>
    <x v="2"/>
  </r>
  <r>
    <n v="29"/>
    <x v="1"/>
    <s v="Travel_Rarely"/>
    <n v="665"/>
    <x v="1"/>
    <x v="8"/>
    <n v="3"/>
    <s v="Life Sciences"/>
    <n v="1"/>
    <n v="346"/>
    <n v="3"/>
    <x v="1"/>
    <n v="60"/>
    <n v="3"/>
    <n v="1"/>
    <x v="1"/>
    <x v="0"/>
    <s v="Single"/>
    <n v="2340"/>
    <n v="22673"/>
    <n v="1"/>
    <s v="Y"/>
    <s v="No"/>
    <n v="19"/>
    <n v="3"/>
    <n v="1"/>
    <n v="80"/>
    <n v="0"/>
    <n v="6"/>
    <n v="1"/>
    <n v="3"/>
    <x v="0"/>
    <n v="5"/>
    <n v="1"/>
    <n v="5"/>
    <x v="2"/>
    <x v="1"/>
  </r>
  <r>
    <n v="42"/>
    <x v="1"/>
    <s v="Travel_Rarely"/>
    <n v="916"/>
    <x v="1"/>
    <x v="27"/>
    <n v="2"/>
    <s v="Life Sciences"/>
    <n v="1"/>
    <n v="347"/>
    <n v="4"/>
    <x v="0"/>
    <n v="82"/>
    <n v="4"/>
    <n v="2"/>
    <x v="1"/>
    <x v="3"/>
    <s v="Single"/>
    <n v="6545"/>
    <n v="23016"/>
    <n v="3"/>
    <s v="Y"/>
    <s v="Yes"/>
    <n v="13"/>
    <n v="3"/>
    <n v="3"/>
    <n v="80"/>
    <n v="0"/>
    <n v="10"/>
    <n v="1"/>
    <n v="3"/>
    <x v="11"/>
    <n v="2"/>
    <n v="0"/>
    <n v="2"/>
    <x v="0"/>
    <x v="4"/>
  </r>
  <r>
    <n v="29"/>
    <x v="1"/>
    <s v="Travel_Rarely"/>
    <n v="1247"/>
    <x v="0"/>
    <x v="25"/>
    <n v="2"/>
    <s v="Marketing"/>
    <n v="1"/>
    <n v="349"/>
    <n v="4"/>
    <x v="1"/>
    <n v="45"/>
    <n v="3"/>
    <n v="2"/>
    <x v="0"/>
    <x v="0"/>
    <s v="Divorced"/>
    <n v="6931"/>
    <n v="10732"/>
    <n v="2"/>
    <s v="Y"/>
    <s v="No"/>
    <n v="14"/>
    <n v="3"/>
    <n v="4"/>
    <n v="80"/>
    <n v="1"/>
    <n v="10"/>
    <n v="2"/>
    <n v="3"/>
    <x v="11"/>
    <n v="2"/>
    <n v="0"/>
    <n v="2"/>
    <x v="2"/>
    <x v="4"/>
  </r>
  <r>
    <n v="25"/>
    <x v="1"/>
    <s v="Travel_Rarely"/>
    <n v="685"/>
    <x v="1"/>
    <x v="0"/>
    <n v="3"/>
    <s v="Life Sciences"/>
    <n v="1"/>
    <n v="350"/>
    <n v="1"/>
    <x v="0"/>
    <n v="62"/>
    <n v="3"/>
    <n v="2"/>
    <x v="3"/>
    <x v="2"/>
    <s v="Married"/>
    <n v="4898"/>
    <n v="7505"/>
    <n v="0"/>
    <s v="Y"/>
    <s v="No"/>
    <n v="12"/>
    <n v="3"/>
    <n v="4"/>
    <n v="80"/>
    <n v="2"/>
    <n v="5"/>
    <n v="3"/>
    <n v="3"/>
    <x v="9"/>
    <n v="2"/>
    <n v="1"/>
    <n v="2"/>
    <x v="2"/>
    <x v="0"/>
  </r>
  <r>
    <n v="42"/>
    <x v="1"/>
    <s v="Travel_Rarely"/>
    <n v="269"/>
    <x v="1"/>
    <x v="2"/>
    <n v="3"/>
    <s v="Medical"/>
    <n v="1"/>
    <n v="351"/>
    <n v="4"/>
    <x v="0"/>
    <n v="56"/>
    <n v="2"/>
    <n v="1"/>
    <x v="2"/>
    <x v="3"/>
    <s v="Divorced"/>
    <n v="2593"/>
    <n v="8007"/>
    <n v="0"/>
    <s v="Y"/>
    <s v="Yes"/>
    <n v="11"/>
    <n v="3"/>
    <n v="3"/>
    <n v="80"/>
    <n v="1"/>
    <n v="10"/>
    <n v="4"/>
    <n v="3"/>
    <x v="7"/>
    <n v="6"/>
    <n v="7"/>
    <n v="8"/>
    <x v="0"/>
    <x v="1"/>
  </r>
  <r>
    <n v="40"/>
    <x v="1"/>
    <s v="Travel_Rarely"/>
    <n v="1416"/>
    <x v="1"/>
    <x v="2"/>
    <n v="2"/>
    <s v="Medical"/>
    <n v="1"/>
    <n v="352"/>
    <n v="1"/>
    <x v="1"/>
    <n v="49"/>
    <n v="3"/>
    <n v="5"/>
    <x v="7"/>
    <x v="2"/>
    <s v="Divorced"/>
    <n v="19436"/>
    <n v="5949"/>
    <n v="0"/>
    <s v="Y"/>
    <s v="No"/>
    <n v="19"/>
    <n v="3"/>
    <n v="4"/>
    <n v="80"/>
    <n v="1"/>
    <n v="22"/>
    <n v="5"/>
    <n v="3"/>
    <x v="17"/>
    <n v="7"/>
    <n v="3"/>
    <n v="9"/>
    <x v="0"/>
    <x v="3"/>
  </r>
  <r>
    <n v="51"/>
    <x v="1"/>
    <s v="Travel_Rarely"/>
    <n v="833"/>
    <x v="1"/>
    <x v="0"/>
    <n v="3"/>
    <s v="Life Sciences"/>
    <n v="1"/>
    <n v="353"/>
    <n v="3"/>
    <x v="1"/>
    <n v="96"/>
    <n v="3"/>
    <n v="1"/>
    <x v="1"/>
    <x v="0"/>
    <s v="Married"/>
    <n v="2723"/>
    <n v="23231"/>
    <n v="1"/>
    <s v="Y"/>
    <s v="No"/>
    <n v="11"/>
    <n v="3"/>
    <n v="2"/>
    <n v="80"/>
    <n v="0"/>
    <n v="1"/>
    <n v="0"/>
    <n v="2"/>
    <x v="6"/>
    <n v="0"/>
    <n v="0"/>
    <n v="0"/>
    <x v="1"/>
    <x v="1"/>
  </r>
  <r>
    <n v="31"/>
    <x v="0"/>
    <s v="Travel_Frequently"/>
    <n v="307"/>
    <x v="1"/>
    <x v="22"/>
    <n v="2"/>
    <s v="Medical"/>
    <n v="1"/>
    <n v="355"/>
    <n v="3"/>
    <x v="1"/>
    <n v="71"/>
    <n v="2"/>
    <n v="1"/>
    <x v="2"/>
    <x v="1"/>
    <s v="Single"/>
    <n v="3479"/>
    <n v="11652"/>
    <n v="0"/>
    <s v="Y"/>
    <s v="No"/>
    <n v="11"/>
    <n v="3"/>
    <n v="2"/>
    <n v="80"/>
    <n v="0"/>
    <n v="6"/>
    <n v="2"/>
    <n v="4"/>
    <x v="8"/>
    <n v="4"/>
    <n v="1"/>
    <n v="4"/>
    <x v="2"/>
    <x v="0"/>
  </r>
  <r>
    <n v="32"/>
    <x v="1"/>
    <s v="Travel_Frequently"/>
    <n v="1311"/>
    <x v="1"/>
    <x v="15"/>
    <n v="3"/>
    <s v="Life Sciences"/>
    <n v="1"/>
    <n v="359"/>
    <n v="2"/>
    <x v="1"/>
    <n v="100"/>
    <n v="4"/>
    <n v="1"/>
    <x v="2"/>
    <x v="1"/>
    <s v="Married"/>
    <n v="2794"/>
    <n v="26062"/>
    <n v="1"/>
    <s v="Y"/>
    <s v="No"/>
    <n v="20"/>
    <n v="4"/>
    <n v="3"/>
    <n v="80"/>
    <n v="0"/>
    <n v="5"/>
    <n v="3"/>
    <n v="1"/>
    <x v="8"/>
    <n v="1"/>
    <n v="0"/>
    <n v="3"/>
    <x v="2"/>
    <x v="1"/>
  </r>
  <r>
    <n v="38"/>
    <x v="1"/>
    <s v="Non-Travel"/>
    <n v="1327"/>
    <x v="0"/>
    <x v="2"/>
    <n v="2"/>
    <s v="Life Sciences"/>
    <n v="1"/>
    <n v="361"/>
    <n v="4"/>
    <x v="1"/>
    <n v="39"/>
    <n v="2"/>
    <n v="2"/>
    <x v="0"/>
    <x v="0"/>
    <s v="Married"/>
    <n v="5249"/>
    <n v="19682"/>
    <n v="3"/>
    <s v="Y"/>
    <s v="No"/>
    <n v="18"/>
    <n v="3"/>
    <n v="4"/>
    <n v="80"/>
    <n v="1"/>
    <n v="13"/>
    <n v="0"/>
    <n v="3"/>
    <x v="3"/>
    <n v="7"/>
    <n v="7"/>
    <n v="5"/>
    <x v="0"/>
    <x v="0"/>
  </r>
  <r>
    <n v="32"/>
    <x v="1"/>
    <s v="Travel_Rarely"/>
    <n v="128"/>
    <x v="1"/>
    <x v="2"/>
    <n v="1"/>
    <s v="Technical Degree"/>
    <n v="1"/>
    <n v="362"/>
    <n v="4"/>
    <x v="1"/>
    <n v="84"/>
    <n v="2"/>
    <n v="2"/>
    <x v="2"/>
    <x v="3"/>
    <s v="Single"/>
    <n v="2176"/>
    <n v="19737"/>
    <n v="4"/>
    <s v="Y"/>
    <s v="No"/>
    <n v="13"/>
    <n v="3"/>
    <n v="4"/>
    <n v="80"/>
    <n v="0"/>
    <n v="9"/>
    <n v="5"/>
    <n v="3"/>
    <x v="0"/>
    <n v="2"/>
    <n v="0"/>
    <n v="4"/>
    <x v="2"/>
    <x v="1"/>
  </r>
  <r>
    <n v="46"/>
    <x v="1"/>
    <s v="Travel_Rarely"/>
    <n v="488"/>
    <x v="0"/>
    <x v="2"/>
    <n v="3"/>
    <s v="Technical Degree"/>
    <n v="1"/>
    <n v="363"/>
    <n v="3"/>
    <x v="0"/>
    <n v="75"/>
    <n v="1"/>
    <n v="4"/>
    <x v="5"/>
    <x v="1"/>
    <s v="Married"/>
    <n v="16872"/>
    <n v="14977"/>
    <n v="3"/>
    <s v="Y"/>
    <s v="Yes"/>
    <n v="12"/>
    <n v="3"/>
    <n v="2"/>
    <n v="80"/>
    <n v="1"/>
    <n v="28"/>
    <n v="2"/>
    <n v="2"/>
    <x v="5"/>
    <n v="7"/>
    <n v="7"/>
    <n v="7"/>
    <x v="1"/>
    <x v="3"/>
  </r>
  <r>
    <n v="28"/>
    <x v="0"/>
    <s v="Travel_Rarely"/>
    <n v="529"/>
    <x v="1"/>
    <x v="2"/>
    <n v="4"/>
    <s v="Life Sciences"/>
    <n v="1"/>
    <n v="364"/>
    <n v="1"/>
    <x v="1"/>
    <n v="79"/>
    <n v="3"/>
    <n v="1"/>
    <x v="2"/>
    <x v="2"/>
    <s v="Single"/>
    <n v="3485"/>
    <n v="14935"/>
    <n v="2"/>
    <s v="Y"/>
    <s v="No"/>
    <n v="11"/>
    <n v="3"/>
    <n v="3"/>
    <n v="80"/>
    <n v="0"/>
    <n v="5"/>
    <n v="5"/>
    <n v="1"/>
    <x v="2"/>
    <n v="0"/>
    <n v="0"/>
    <n v="0"/>
    <x v="2"/>
    <x v="0"/>
  </r>
  <r>
    <n v="29"/>
    <x v="1"/>
    <s v="Travel_Rarely"/>
    <n v="1210"/>
    <x v="0"/>
    <x v="2"/>
    <n v="3"/>
    <s v="Medical"/>
    <n v="1"/>
    <n v="366"/>
    <n v="1"/>
    <x v="1"/>
    <n v="78"/>
    <n v="2"/>
    <n v="2"/>
    <x v="0"/>
    <x v="1"/>
    <s v="Married"/>
    <n v="6644"/>
    <n v="3687"/>
    <n v="2"/>
    <s v="Y"/>
    <s v="No"/>
    <n v="19"/>
    <n v="3"/>
    <n v="2"/>
    <n v="80"/>
    <n v="2"/>
    <n v="10"/>
    <n v="2"/>
    <n v="3"/>
    <x v="2"/>
    <n v="0"/>
    <n v="0"/>
    <n v="0"/>
    <x v="2"/>
    <x v="4"/>
  </r>
  <r>
    <n v="31"/>
    <x v="1"/>
    <s v="Travel_Rarely"/>
    <n v="1463"/>
    <x v="1"/>
    <x v="5"/>
    <n v="3"/>
    <s v="Medical"/>
    <n v="1"/>
    <n v="367"/>
    <n v="2"/>
    <x v="1"/>
    <n v="64"/>
    <n v="2"/>
    <n v="2"/>
    <x v="4"/>
    <x v="0"/>
    <s v="Married"/>
    <n v="5582"/>
    <n v="14408"/>
    <n v="0"/>
    <s v="Y"/>
    <s v="No"/>
    <n v="21"/>
    <n v="4"/>
    <n v="2"/>
    <n v="80"/>
    <n v="1"/>
    <n v="10"/>
    <n v="2"/>
    <n v="3"/>
    <x v="7"/>
    <n v="0"/>
    <n v="7"/>
    <n v="8"/>
    <x v="2"/>
    <x v="0"/>
  </r>
  <r>
    <n v="25"/>
    <x v="1"/>
    <s v="Non-Travel"/>
    <n v="675"/>
    <x v="1"/>
    <x v="12"/>
    <n v="2"/>
    <s v="Life Sciences"/>
    <n v="1"/>
    <n v="369"/>
    <n v="2"/>
    <x v="1"/>
    <n v="85"/>
    <n v="4"/>
    <n v="2"/>
    <x v="4"/>
    <x v="3"/>
    <s v="Divorced"/>
    <n v="4000"/>
    <n v="18384"/>
    <n v="1"/>
    <s v="Y"/>
    <s v="No"/>
    <n v="12"/>
    <n v="3"/>
    <n v="4"/>
    <n v="80"/>
    <n v="2"/>
    <n v="6"/>
    <n v="2"/>
    <n v="3"/>
    <x v="0"/>
    <n v="3"/>
    <n v="1"/>
    <n v="5"/>
    <x v="2"/>
    <x v="0"/>
  </r>
  <r>
    <n v="45"/>
    <x v="1"/>
    <s v="Travel_Rarely"/>
    <n v="1385"/>
    <x v="1"/>
    <x v="25"/>
    <n v="2"/>
    <s v="Medical"/>
    <n v="1"/>
    <n v="372"/>
    <n v="3"/>
    <x v="1"/>
    <n v="79"/>
    <n v="3"/>
    <n v="4"/>
    <x v="4"/>
    <x v="0"/>
    <s v="Married"/>
    <n v="13496"/>
    <n v="7501"/>
    <n v="0"/>
    <s v="Y"/>
    <s v="Yes"/>
    <n v="14"/>
    <n v="3"/>
    <n v="2"/>
    <n v="80"/>
    <n v="0"/>
    <n v="21"/>
    <n v="2"/>
    <n v="3"/>
    <x v="23"/>
    <n v="7"/>
    <n v="4"/>
    <n v="10"/>
    <x v="1"/>
    <x v="3"/>
  </r>
  <r>
    <n v="36"/>
    <x v="1"/>
    <s v="Travel_Rarely"/>
    <n v="1403"/>
    <x v="1"/>
    <x v="16"/>
    <n v="3"/>
    <s v="Life Sciences"/>
    <n v="1"/>
    <n v="373"/>
    <n v="4"/>
    <x v="1"/>
    <n v="47"/>
    <n v="3"/>
    <n v="1"/>
    <x v="2"/>
    <x v="0"/>
    <s v="Married"/>
    <n v="3210"/>
    <n v="20251"/>
    <n v="0"/>
    <s v="Y"/>
    <s v="No"/>
    <n v="11"/>
    <n v="3"/>
    <n v="3"/>
    <n v="80"/>
    <n v="1"/>
    <n v="16"/>
    <n v="4"/>
    <n v="3"/>
    <x v="15"/>
    <n v="13"/>
    <n v="10"/>
    <n v="11"/>
    <x v="0"/>
    <x v="0"/>
  </r>
  <r>
    <n v="55"/>
    <x v="1"/>
    <s v="Travel_Rarely"/>
    <n v="452"/>
    <x v="1"/>
    <x v="0"/>
    <n v="3"/>
    <s v="Medical"/>
    <n v="1"/>
    <n v="374"/>
    <n v="4"/>
    <x v="1"/>
    <n v="81"/>
    <n v="3"/>
    <n v="5"/>
    <x v="5"/>
    <x v="3"/>
    <s v="Single"/>
    <n v="19045"/>
    <n v="18938"/>
    <n v="0"/>
    <s v="Y"/>
    <s v="Yes"/>
    <n v="14"/>
    <n v="3"/>
    <n v="3"/>
    <n v="80"/>
    <n v="0"/>
    <n v="37"/>
    <n v="2"/>
    <n v="3"/>
    <x v="28"/>
    <n v="10"/>
    <n v="4"/>
    <n v="13"/>
    <x v="3"/>
    <x v="3"/>
  </r>
  <r>
    <n v="47"/>
    <x v="0"/>
    <s v="Non-Travel"/>
    <n v="666"/>
    <x v="1"/>
    <x v="22"/>
    <n v="4"/>
    <s v="Life Sciences"/>
    <n v="1"/>
    <n v="376"/>
    <n v="1"/>
    <x v="1"/>
    <n v="88"/>
    <n v="3"/>
    <n v="3"/>
    <x v="5"/>
    <x v="1"/>
    <s v="Married"/>
    <n v="11849"/>
    <n v="10268"/>
    <n v="1"/>
    <s v="Y"/>
    <s v="Yes"/>
    <n v="12"/>
    <n v="3"/>
    <n v="4"/>
    <n v="80"/>
    <n v="1"/>
    <n v="10"/>
    <n v="2"/>
    <n v="2"/>
    <x v="1"/>
    <n v="7"/>
    <n v="9"/>
    <n v="9"/>
    <x v="1"/>
    <x v="2"/>
  </r>
  <r>
    <n v="28"/>
    <x v="1"/>
    <s v="Travel_Rarely"/>
    <n v="1158"/>
    <x v="1"/>
    <x v="14"/>
    <n v="3"/>
    <s v="Medical"/>
    <n v="1"/>
    <n v="377"/>
    <n v="4"/>
    <x v="1"/>
    <n v="94"/>
    <n v="3"/>
    <n v="1"/>
    <x v="1"/>
    <x v="0"/>
    <s v="Married"/>
    <n v="2070"/>
    <n v="2613"/>
    <n v="1"/>
    <s v="Y"/>
    <s v="No"/>
    <n v="23"/>
    <n v="4"/>
    <n v="4"/>
    <n v="80"/>
    <n v="1"/>
    <n v="5"/>
    <n v="3"/>
    <n v="2"/>
    <x v="8"/>
    <n v="2"/>
    <n v="0"/>
    <n v="4"/>
    <x v="2"/>
    <x v="1"/>
  </r>
  <r>
    <n v="37"/>
    <x v="1"/>
    <s v="Travel_Rarely"/>
    <n v="228"/>
    <x v="0"/>
    <x v="16"/>
    <n v="4"/>
    <s v="Medical"/>
    <n v="1"/>
    <n v="378"/>
    <n v="3"/>
    <x v="1"/>
    <n v="98"/>
    <n v="3"/>
    <n v="2"/>
    <x v="0"/>
    <x v="0"/>
    <s v="Married"/>
    <n v="6502"/>
    <n v="22825"/>
    <n v="4"/>
    <s v="Y"/>
    <s v="No"/>
    <n v="14"/>
    <n v="3"/>
    <n v="2"/>
    <n v="80"/>
    <n v="1"/>
    <n v="7"/>
    <n v="5"/>
    <n v="4"/>
    <x v="8"/>
    <n v="4"/>
    <n v="0"/>
    <n v="1"/>
    <x v="0"/>
    <x v="4"/>
  </r>
  <r>
    <n v="21"/>
    <x v="1"/>
    <s v="Travel_Rarely"/>
    <n v="996"/>
    <x v="1"/>
    <x v="3"/>
    <n v="2"/>
    <s v="Medical"/>
    <n v="1"/>
    <n v="379"/>
    <n v="4"/>
    <x v="1"/>
    <n v="100"/>
    <n v="2"/>
    <n v="1"/>
    <x v="1"/>
    <x v="2"/>
    <s v="Single"/>
    <n v="3230"/>
    <n v="10531"/>
    <n v="1"/>
    <s v="Y"/>
    <s v="No"/>
    <n v="17"/>
    <n v="3"/>
    <n v="1"/>
    <n v="80"/>
    <n v="0"/>
    <n v="3"/>
    <n v="4"/>
    <n v="4"/>
    <x v="11"/>
    <n v="2"/>
    <n v="1"/>
    <n v="0"/>
    <x v="4"/>
    <x v="0"/>
  </r>
  <r>
    <n v="37"/>
    <x v="1"/>
    <s v="Non-Travel"/>
    <n v="728"/>
    <x v="1"/>
    <x v="0"/>
    <n v="4"/>
    <s v="Medical"/>
    <n v="1"/>
    <n v="380"/>
    <n v="1"/>
    <x v="0"/>
    <n v="80"/>
    <n v="3"/>
    <n v="3"/>
    <x v="7"/>
    <x v="0"/>
    <s v="Divorced"/>
    <n v="13603"/>
    <n v="11677"/>
    <n v="2"/>
    <s v="Y"/>
    <s v="Yes"/>
    <n v="18"/>
    <n v="3"/>
    <n v="1"/>
    <n v="80"/>
    <n v="2"/>
    <n v="15"/>
    <n v="2"/>
    <n v="3"/>
    <x v="8"/>
    <n v="2"/>
    <n v="0"/>
    <n v="2"/>
    <x v="0"/>
    <x v="3"/>
  </r>
  <r>
    <n v="35"/>
    <x v="1"/>
    <s v="Travel_Rarely"/>
    <n v="1315"/>
    <x v="1"/>
    <x v="23"/>
    <n v="3"/>
    <s v="Life Sciences"/>
    <n v="1"/>
    <n v="381"/>
    <n v="2"/>
    <x v="0"/>
    <n v="71"/>
    <n v="4"/>
    <n v="3"/>
    <x v="5"/>
    <x v="1"/>
    <s v="Divorced"/>
    <n v="11996"/>
    <n v="19100"/>
    <n v="7"/>
    <s v="Y"/>
    <s v="No"/>
    <n v="18"/>
    <n v="3"/>
    <n v="2"/>
    <n v="80"/>
    <n v="1"/>
    <n v="10"/>
    <n v="6"/>
    <n v="2"/>
    <x v="5"/>
    <n v="7"/>
    <n v="6"/>
    <n v="2"/>
    <x v="0"/>
    <x v="2"/>
  </r>
  <r>
    <n v="38"/>
    <x v="1"/>
    <s v="Travel_Rarely"/>
    <n v="322"/>
    <x v="0"/>
    <x v="15"/>
    <n v="2"/>
    <s v="Medical"/>
    <n v="1"/>
    <n v="382"/>
    <n v="1"/>
    <x v="0"/>
    <n v="44"/>
    <n v="4"/>
    <n v="2"/>
    <x v="0"/>
    <x v="3"/>
    <s v="Divorced"/>
    <n v="5605"/>
    <n v="19191"/>
    <n v="1"/>
    <s v="Y"/>
    <s v="Yes"/>
    <n v="24"/>
    <n v="4"/>
    <n v="3"/>
    <n v="80"/>
    <n v="1"/>
    <n v="8"/>
    <n v="3"/>
    <n v="3"/>
    <x v="3"/>
    <n v="0"/>
    <n v="7"/>
    <n v="7"/>
    <x v="0"/>
    <x v="0"/>
  </r>
  <r>
    <n v="26"/>
    <x v="1"/>
    <s v="Travel_Frequently"/>
    <n v="1479"/>
    <x v="1"/>
    <x v="0"/>
    <n v="3"/>
    <s v="Life Sciences"/>
    <n v="1"/>
    <n v="384"/>
    <n v="3"/>
    <x v="0"/>
    <n v="84"/>
    <n v="3"/>
    <n v="2"/>
    <x v="3"/>
    <x v="1"/>
    <s v="Divorced"/>
    <n v="6397"/>
    <n v="26767"/>
    <n v="1"/>
    <s v="Y"/>
    <s v="No"/>
    <n v="20"/>
    <n v="4"/>
    <n v="1"/>
    <n v="80"/>
    <n v="1"/>
    <n v="6"/>
    <n v="6"/>
    <n v="1"/>
    <x v="0"/>
    <n v="5"/>
    <n v="1"/>
    <n v="4"/>
    <x v="2"/>
    <x v="4"/>
  </r>
  <r>
    <n v="50"/>
    <x v="1"/>
    <s v="Travel_Rarely"/>
    <n v="797"/>
    <x v="1"/>
    <x v="18"/>
    <n v="1"/>
    <s v="Life Sciences"/>
    <n v="1"/>
    <n v="385"/>
    <n v="1"/>
    <x v="1"/>
    <n v="96"/>
    <n v="3"/>
    <n v="5"/>
    <x v="7"/>
    <x v="1"/>
    <s v="Divorced"/>
    <n v="19144"/>
    <n v="15815"/>
    <n v="3"/>
    <s v="Y"/>
    <s v="No"/>
    <n v="14"/>
    <n v="3"/>
    <n v="1"/>
    <n v="80"/>
    <n v="2"/>
    <n v="28"/>
    <n v="4"/>
    <n v="2"/>
    <x v="1"/>
    <n v="4"/>
    <n v="1"/>
    <n v="6"/>
    <x v="1"/>
    <x v="3"/>
  </r>
  <r>
    <n v="53"/>
    <x v="1"/>
    <s v="Travel_Rarely"/>
    <n v="1070"/>
    <x v="1"/>
    <x v="3"/>
    <n v="4"/>
    <s v="Medical"/>
    <n v="1"/>
    <n v="386"/>
    <n v="3"/>
    <x v="1"/>
    <n v="45"/>
    <n v="3"/>
    <n v="4"/>
    <x v="7"/>
    <x v="2"/>
    <s v="Married"/>
    <n v="17584"/>
    <n v="21016"/>
    <n v="3"/>
    <s v="Y"/>
    <s v="Yes"/>
    <n v="16"/>
    <n v="3"/>
    <n v="4"/>
    <n v="80"/>
    <n v="3"/>
    <n v="21"/>
    <n v="5"/>
    <n v="2"/>
    <x v="8"/>
    <n v="3"/>
    <n v="1"/>
    <n v="3"/>
    <x v="1"/>
    <x v="3"/>
  </r>
  <r>
    <n v="42"/>
    <x v="1"/>
    <s v="Travel_Rarely"/>
    <n v="635"/>
    <x v="0"/>
    <x v="0"/>
    <n v="1"/>
    <s v="Life Sciences"/>
    <n v="1"/>
    <n v="387"/>
    <n v="2"/>
    <x v="1"/>
    <n v="99"/>
    <n v="3"/>
    <n v="2"/>
    <x v="0"/>
    <x v="2"/>
    <s v="Married"/>
    <n v="4907"/>
    <n v="24532"/>
    <n v="1"/>
    <s v="Y"/>
    <s v="No"/>
    <n v="25"/>
    <n v="4"/>
    <n v="3"/>
    <n v="80"/>
    <n v="0"/>
    <n v="20"/>
    <n v="3"/>
    <n v="3"/>
    <x v="23"/>
    <n v="16"/>
    <n v="11"/>
    <n v="6"/>
    <x v="0"/>
    <x v="0"/>
  </r>
  <r>
    <n v="29"/>
    <x v="1"/>
    <s v="Travel_Frequently"/>
    <n v="442"/>
    <x v="0"/>
    <x v="2"/>
    <n v="2"/>
    <s v="Life Sciences"/>
    <n v="1"/>
    <n v="388"/>
    <n v="2"/>
    <x v="1"/>
    <n v="44"/>
    <n v="3"/>
    <n v="2"/>
    <x v="0"/>
    <x v="0"/>
    <s v="Single"/>
    <n v="4554"/>
    <n v="20260"/>
    <n v="1"/>
    <s v="Y"/>
    <s v="No"/>
    <n v="18"/>
    <n v="3"/>
    <n v="1"/>
    <n v="80"/>
    <n v="0"/>
    <n v="10"/>
    <n v="3"/>
    <n v="2"/>
    <x v="1"/>
    <n v="7"/>
    <n v="0"/>
    <n v="9"/>
    <x v="2"/>
    <x v="0"/>
  </r>
  <r>
    <n v="55"/>
    <x v="1"/>
    <s v="Travel_Rarely"/>
    <n v="147"/>
    <x v="1"/>
    <x v="25"/>
    <n v="2"/>
    <s v="Technical Degree"/>
    <n v="1"/>
    <n v="389"/>
    <n v="2"/>
    <x v="1"/>
    <n v="37"/>
    <n v="3"/>
    <n v="2"/>
    <x v="2"/>
    <x v="0"/>
    <s v="Married"/>
    <n v="5415"/>
    <n v="15972"/>
    <n v="3"/>
    <s v="Y"/>
    <s v="Yes"/>
    <n v="19"/>
    <n v="3"/>
    <n v="4"/>
    <n v="80"/>
    <n v="1"/>
    <n v="12"/>
    <n v="4"/>
    <n v="3"/>
    <x v="1"/>
    <n v="7"/>
    <n v="0"/>
    <n v="8"/>
    <x v="3"/>
    <x v="0"/>
  </r>
  <r>
    <n v="26"/>
    <x v="1"/>
    <s v="Travel_Frequently"/>
    <n v="496"/>
    <x v="1"/>
    <x v="13"/>
    <n v="2"/>
    <s v="Medical"/>
    <n v="1"/>
    <n v="390"/>
    <n v="1"/>
    <x v="1"/>
    <n v="60"/>
    <n v="3"/>
    <n v="2"/>
    <x v="4"/>
    <x v="3"/>
    <s v="Married"/>
    <n v="4741"/>
    <n v="22722"/>
    <n v="1"/>
    <s v="Y"/>
    <s v="Yes"/>
    <n v="13"/>
    <n v="3"/>
    <n v="3"/>
    <n v="80"/>
    <n v="1"/>
    <n v="5"/>
    <n v="3"/>
    <n v="3"/>
    <x v="8"/>
    <n v="3"/>
    <n v="3"/>
    <n v="3"/>
    <x v="2"/>
    <x v="0"/>
  </r>
  <r>
    <n v="37"/>
    <x v="1"/>
    <s v="Travel_Rarely"/>
    <n v="1372"/>
    <x v="1"/>
    <x v="0"/>
    <n v="3"/>
    <s v="Life Sciences"/>
    <n v="1"/>
    <n v="391"/>
    <n v="4"/>
    <x v="0"/>
    <n v="42"/>
    <n v="3"/>
    <n v="1"/>
    <x v="1"/>
    <x v="0"/>
    <s v="Single"/>
    <n v="2115"/>
    <n v="15881"/>
    <n v="1"/>
    <s v="Y"/>
    <s v="No"/>
    <n v="12"/>
    <n v="3"/>
    <n v="2"/>
    <n v="80"/>
    <n v="0"/>
    <n v="17"/>
    <n v="3"/>
    <n v="3"/>
    <x v="18"/>
    <n v="12"/>
    <n v="5"/>
    <n v="7"/>
    <x v="0"/>
    <x v="1"/>
  </r>
  <r>
    <n v="44"/>
    <x v="0"/>
    <s v="Travel_Frequently"/>
    <n v="920"/>
    <x v="1"/>
    <x v="4"/>
    <n v="3"/>
    <s v="Life Sciences"/>
    <n v="1"/>
    <n v="392"/>
    <n v="4"/>
    <x v="1"/>
    <n v="43"/>
    <n v="3"/>
    <n v="1"/>
    <x v="2"/>
    <x v="2"/>
    <s v="Divorced"/>
    <n v="3161"/>
    <n v="19920"/>
    <n v="3"/>
    <s v="Y"/>
    <s v="Yes"/>
    <n v="22"/>
    <n v="4"/>
    <n v="4"/>
    <n v="80"/>
    <n v="1"/>
    <n v="19"/>
    <n v="0"/>
    <n v="1"/>
    <x v="6"/>
    <n v="0"/>
    <n v="0"/>
    <n v="0"/>
    <x v="0"/>
    <x v="0"/>
  </r>
  <r>
    <n v="38"/>
    <x v="1"/>
    <s v="Travel_Rarely"/>
    <n v="688"/>
    <x v="1"/>
    <x v="5"/>
    <n v="4"/>
    <s v="Life Sciences"/>
    <n v="1"/>
    <n v="393"/>
    <n v="4"/>
    <x v="1"/>
    <n v="82"/>
    <n v="3"/>
    <n v="2"/>
    <x v="4"/>
    <x v="0"/>
    <s v="Divorced"/>
    <n v="5745"/>
    <n v="18899"/>
    <n v="9"/>
    <s v="Y"/>
    <s v="No"/>
    <n v="14"/>
    <n v="3"/>
    <n v="2"/>
    <n v="80"/>
    <n v="1"/>
    <n v="10"/>
    <n v="2"/>
    <n v="3"/>
    <x v="4"/>
    <n v="2"/>
    <n v="1"/>
    <n v="2"/>
    <x v="0"/>
    <x v="0"/>
  </r>
  <r>
    <n v="26"/>
    <x v="0"/>
    <s v="Travel_Rarely"/>
    <n v="1449"/>
    <x v="1"/>
    <x v="7"/>
    <n v="4"/>
    <s v="Medical"/>
    <n v="1"/>
    <n v="394"/>
    <n v="1"/>
    <x v="1"/>
    <n v="45"/>
    <n v="3"/>
    <n v="1"/>
    <x v="2"/>
    <x v="1"/>
    <s v="Divorced"/>
    <n v="2373"/>
    <n v="14180"/>
    <n v="2"/>
    <s v="Y"/>
    <s v="Yes"/>
    <n v="13"/>
    <n v="3"/>
    <n v="4"/>
    <n v="80"/>
    <n v="1"/>
    <n v="5"/>
    <n v="2"/>
    <n v="3"/>
    <x v="11"/>
    <n v="2"/>
    <n v="0"/>
    <n v="2"/>
    <x v="2"/>
    <x v="1"/>
  </r>
  <r>
    <n v="28"/>
    <x v="1"/>
    <s v="Travel_Rarely"/>
    <n v="1117"/>
    <x v="1"/>
    <x v="1"/>
    <n v="2"/>
    <s v="Life Sciences"/>
    <n v="1"/>
    <n v="395"/>
    <n v="4"/>
    <x v="0"/>
    <n v="66"/>
    <n v="3"/>
    <n v="1"/>
    <x v="1"/>
    <x v="0"/>
    <s v="Single"/>
    <n v="3310"/>
    <n v="4488"/>
    <n v="1"/>
    <s v="Y"/>
    <s v="No"/>
    <n v="21"/>
    <n v="4"/>
    <n v="4"/>
    <n v="80"/>
    <n v="0"/>
    <n v="5"/>
    <n v="3"/>
    <n v="3"/>
    <x v="8"/>
    <n v="3"/>
    <n v="0"/>
    <n v="2"/>
    <x v="2"/>
    <x v="0"/>
  </r>
  <r>
    <n v="49"/>
    <x v="1"/>
    <s v="Travel_Frequently"/>
    <n v="636"/>
    <x v="1"/>
    <x v="17"/>
    <n v="4"/>
    <s v="Life Sciences"/>
    <n v="1"/>
    <n v="396"/>
    <n v="3"/>
    <x v="0"/>
    <n v="35"/>
    <n v="3"/>
    <n v="5"/>
    <x v="7"/>
    <x v="3"/>
    <s v="Single"/>
    <n v="18665"/>
    <n v="25594"/>
    <n v="9"/>
    <s v="Y"/>
    <s v="Yes"/>
    <n v="11"/>
    <n v="3"/>
    <n v="4"/>
    <n v="80"/>
    <n v="0"/>
    <n v="22"/>
    <n v="4"/>
    <n v="3"/>
    <x v="11"/>
    <n v="2"/>
    <n v="1"/>
    <n v="2"/>
    <x v="1"/>
    <x v="3"/>
  </r>
  <r>
    <n v="36"/>
    <x v="1"/>
    <s v="Travel_Rarely"/>
    <n v="506"/>
    <x v="1"/>
    <x v="3"/>
    <n v="3"/>
    <s v="Technical Degree"/>
    <n v="1"/>
    <n v="397"/>
    <n v="3"/>
    <x v="1"/>
    <n v="30"/>
    <n v="3"/>
    <n v="2"/>
    <x v="1"/>
    <x v="1"/>
    <s v="Single"/>
    <n v="4485"/>
    <n v="26285"/>
    <n v="4"/>
    <s v="Y"/>
    <s v="No"/>
    <n v="12"/>
    <n v="3"/>
    <n v="4"/>
    <n v="80"/>
    <n v="0"/>
    <n v="10"/>
    <n v="2"/>
    <n v="3"/>
    <x v="3"/>
    <n v="0"/>
    <n v="7"/>
    <n v="7"/>
    <x v="0"/>
    <x v="0"/>
  </r>
  <r>
    <n v="31"/>
    <x v="1"/>
    <s v="Travel_Frequently"/>
    <n v="444"/>
    <x v="0"/>
    <x v="12"/>
    <n v="3"/>
    <s v="Marketing"/>
    <n v="1"/>
    <n v="399"/>
    <n v="4"/>
    <x v="0"/>
    <n v="84"/>
    <n v="3"/>
    <n v="1"/>
    <x v="6"/>
    <x v="1"/>
    <s v="Divorced"/>
    <n v="2789"/>
    <n v="3909"/>
    <n v="1"/>
    <s v="Y"/>
    <s v="No"/>
    <n v="11"/>
    <n v="3"/>
    <n v="3"/>
    <n v="80"/>
    <n v="1"/>
    <n v="2"/>
    <n v="5"/>
    <n v="2"/>
    <x v="4"/>
    <n v="2"/>
    <n v="2"/>
    <n v="2"/>
    <x v="2"/>
    <x v="1"/>
  </r>
  <r>
    <n v="26"/>
    <x v="0"/>
    <s v="Travel_Rarely"/>
    <n v="950"/>
    <x v="0"/>
    <x v="18"/>
    <n v="4"/>
    <s v="Marketing"/>
    <n v="1"/>
    <n v="401"/>
    <n v="4"/>
    <x v="1"/>
    <n v="48"/>
    <n v="2"/>
    <n v="2"/>
    <x v="0"/>
    <x v="0"/>
    <s v="Single"/>
    <n v="5828"/>
    <n v="8450"/>
    <n v="1"/>
    <s v="Y"/>
    <s v="Yes"/>
    <n v="12"/>
    <n v="3"/>
    <n v="2"/>
    <n v="80"/>
    <n v="0"/>
    <n v="8"/>
    <n v="0"/>
    <n v="3"/>
    <x v="3"/>
    <n v="7"/>
    <n v="7"/>
    <n v="4"/>
    <x v="2"/>
    <x v="0"/>
  </r>
  <r>
    <n v="37"/>
    <x v="1"/>
    <s v="Travel_Frequently"/>
    <n v="889"/>
    <x v="1"/>
    <x v="14"/>
    <n v="3"/>
    <s v="Medical"/>
    <n v="1"/>
    <n v="403"/>
    <n v="2"/>
    <x v="1"/>
    <n v="53"/>
    <n v="3"/>
    <n v="1"/>
    <x v="1"/>
    <x v="0"/>
    <s v="Married"/>
    <n v="2326"/>
    <n v="11411"/>
    <n v="1"/>
    <s v="Y"/>
    <s v="Yes"/>
    <n v="12"/>
    <n v="3"/>
    <n v="3"/>
    <n v="80"/>
    <n v="3"/>
    <n v="4"/>
    <n v="3"/>
    <n v="2"/>
    <x v="9"/>
    <n v="2"/>
    <n v="1"/>
    <n v="2"/>
    <x v="0"/>
    <x v="1"/>
  </r>
  <r>
    <n v="42"/>
    <x v="1"/>
    <s v="Travel_Frequently"/>
    <n v="555"/>
    <x v="0"/>
    <x v="9"/>
    <n v="3"/>
    <s v="Marketing"/>
    <n v="1"/>
    <n v="404"/>
    <n v="3"/>
    <x v="0"/>
    <n v="77"/>
    <n v="3"/>
    <n v="4"/>
    <x v="0"/>
    <x v="1"/>
    <s v="Married"/>
    <n v="13525"/>
    <n v="14864"/>
    <n v="5"/>
    <s v="Y"/>
    <s v="No"/>
    <n v="14"/>
    <n v="3"/>
    <n v="4"/>
    <n v="80"/>
    <n v="1"/>
    <n v="23"/>
    <n v="2"/>
    <n v="4"/>
    <x v="23"/>
    <n v="4"/>
    <n v="4"/>
    <n v="8"/>
    <x v="0"/>
    <x v="3"/>
  </r>
  <r>
    <n v="18"/>
    <x v="0"/>
    <s v="Travel_Rarely"/>
    <n v="230"/>
    <x v="1"/>
    <x v="3"/>
    <n v="3"/>
    <s v="Life Sciences"/>
    <n v="1"/>
    <n v="405"/>
    <n v="3"/>
    <x v="1"/>
    <n v="54"/>
    <n v="3"/>
    <n v="1"/>
    <x v="2"/>
    <x v="2"/>
    <s v="Single"/>
    <n v="1420"/>
    <n v="25233"/>
    <n v="1"/>
    <s v="Y"/>
    <s v="No"/>
    <n v="13"/>
    <n v="3"/>
    <n v="3"/>
    <n v="80"/>
    <n v="0"/>
    <n v="0"/>
    <n v="2"/>
    <n v="3"/>
    <x v="2"/>
    <n v="0"/>
    <n v="0"/>
    <n v="0"/>
    <x v="4"/>
    <x v="1"/>
  </r>
  <r>
    <n v="35"/>
    <x v="1"/>
    <s v="Travel_Rarely"/>
    <n v="1232"/>
    <x v="0"/>
    <x v="7"/>
    <n v="3"/>
    <s v="Marketing"/>
    <n v="1"/>
    <n v="406"/>
    <n v="3"/>
    <x v="1"/>
    <n v="96"/>
    <n v="3"/>
    <n v="3"/>
    <x v="0"/>
    <x v="1"/>
    <s v="Married"/>
    <n v="8020"/>
    <n v="5100"/>
    <n v="0"/>
    <s v="Y"/>
    <s v="No"/>
    <n v="15"/>
    <n v="3"/>
    <n v="3"/>
    <n v="80"/>
    <n v="2"/>
    <n v="12"/>
    <n v="3"/>
    <n v="2"/>
    <x v="19"/>
    <n v="9"/>
    <n v="6"/>
    <n v="9"/>
    <x v="0"/>
    <x v="4"/>
  </r>
  <r>
    <n v="36"/>
    <x v="1"/>
    <s v="Travel_Frequently"/>
    <n v="566"/>
    <x v="1"/>
    <x v="21"/>
    <n v="4"/>
    <s v="Life Sciences"/>
    <n v="1"/>
    <n v="407"/>
    <n v="3"/>
    <x v="1"/>
    <n v="81"/>
    <n v="4"/>
    <n v="1"/>
    <x v="2"/>
    <x v="0"/>
    <s v="Married"/>
    <n v="3688"/>
    <n v="7122"/>
    <n v="4"/>
    <s v="Y"/>
    <s v="No"/>
    <n v="18"/>
    <n v="3"/>
    <n v="4"/>
    <n v="80"/>
    <n v="2"/>
    <n v="4"/>
    <n v="2"/>
    <n v="3"/>
    <x v="6"/>
    <n v="0"/>
    <n v="0"/>
    <n v="0"/>
    <x v="0"/>
    <x v="0"/>
  </r>
  <r>
    <n v="51"/>
    <x v="1"/>
    <s v="Travel_Rarely"/>
    <n v="1302"/>
    <x v="1"/>
    <x v="2"/>
    <n v="3"/>
    <s v="Medical"/>
    <n v="1"/>
    <n v="408"/>
    <n v="4"/>
    <x v="1"/>
    <n v="84"/>
    <n v="1"/>
    <n v="2"/>
    <x v="3"/>
    <x v="1"/>
    <s v="Divorced"/>
    <n v="5482"/>
    <n v="16321"/>
    <n v="5"/>
    <s v="Y"/>
    <s v="No"/>
    <n v="18"/>
    <n v="3"/>
    <n v="4"/>
    <n v="80"/>
    <n v="1"/>
    <n v="13"/>
    <n v="3"/>
    <n v="3"/>
    <x v="9"/>
    <n v="1"/>
    <n v="1"/>
    <n v="2"/>
    <x v="1"/>
    <x v="0"/>
  </r>
  <r>
    <n v="41"/>
    <x v="1"/>
    <s v="Travel_Rarely"/>
    <n v="334"/>
    <x v="0"/>
    <x v="2"/>
    <n v="4"/>
    <s v="Life Sciences"/>
    <n v="1"/>
    <n v="410"/>
    <n v="4"/>
    <x v="1"/>
    <n v="88"/>
    <n v="3"/>
    <n v="4"/>
    <x v="5"/>
    <x v="1"/>
    <s v="Single"/>
    <n v="16015"/>
    <n v="15896"/>
    <n v="1"/>
    <s v="Y"/>
    <s v="No"/>
    <n v="19"/>
    <n v="3"/>
    <n v="2"/>
    <n v="80"/>
    <n v="0"/>
    <n v="22"/>
    <n v="2"/>
    <n v="3"/>
    <x v="14"/>
    <n v="10"/>
    <n v="0"/>
    <n v="4"/>
    <x v="0"/>
    <x v="3"/>
  </r>
  <r>
    <n v="18"/>
    <x v="1"/>
    <s v="Travel_Rarely"/>
    <n v="812"/>
    <x v="0"/>
    <x v="17"/>
    <n v="3"/>
    <s v="Medical"/>
    <n v="1"/>
    <n v="411"/>
    <n v="4"/>
    <x v="0"/>
    <n v="69"/>
    <n v="2"/>
    <n v="1"/>
    <x v="6"/>
    <x v="2"/>
    <s v="Single"/>
    <n v="1200"/>
    <n v="9724"/>
    <n v="1"/>
    <s v="Y"/>
    <s v="No"/>
    <n v="12"/>
    <n v="3"/>
    <n v="1"/>
    <n v="80"/>
    <n v="0"/>
    <n v="0"/>
    <n v="2"/>
    <n v="3"/>
    <x v="2"/>
    <n v="0"/>
    <n v="0"/>
    <n v="0"/>
    <x v="4"/>
    <x v="1"/>
  </r>
  <r>
    <n v="28"/>
    <x v="1"/>
    <s v="Travel_Rarely"/>
    <n v="1476"/>
    <x v="1"/>
    <x v="7"/>
    <n v="2"/>
    <s v="Medical"/>
    <n v="1"/>
    <n v="412"/>
    <n v="2"/>
    <x v="1"/>
    <n v="68"/>
    <n v="4"/>
    <n v="2"/>
    <x v="4"/>
    <x v="3"/>
    <s v="Single"/>
    <n v="5661"/>
    <n v="4824"/>
    <n v="0"/>
    <s v="Y"/>
    <s v="No"/>
    <n v="19"/>
    <n v="3"/>
    <n v="3"/>
    <n v="80"/>
    <n v="0"/>
    <n v="9"/>
    <n v="2"/>
    <n v="3"/>
    <x v="3"/>
    <n v="3"/>
    <n v="0"/>
    <n v="7"/>
    <x v="2"/>
    <x v="0"/>
  </r>
  <r>
    <n v="31"/>
    <x v="1"/>
    <s v="Travel_Rarely"/>
    <n v="218"/>
    <x v="0"/>
    <x v="15"/>
    <n v="3"/>
    <s v="Technical Degree"/>
    <n v="1"/>
    <n v="416"/>
    <n v="2"/>
    <x v="1"/>
    <n v="100"/>
    <n v="4"/>
    <n v="2"/>
    <x v="0"/>
    <x v="0"/>
    <s v="Married"/>
    <n v="6929"/>
    <n v="12241"/>
    <n v="4"/>
    <s v="Y"/>
    <s v="No"/>
    <n v="11"/>
    <n v="3"/>
    <n v="2"/>
    <n v="80"/>
    <n v="1"/>
    <n v="10"/>
    <n v="3"/>
    <n v="2"/>
    <x v="3"/>
    <n v="7"/>
    <n v="7"/>
    <n v="7"/>
    <x v="2"/>
    <x v="4"/>
  </r>
  <r>
    <n v="39"/>
    <x v="1"/>
    <s v="Travel_Rarely"/>
    <n v="1132"/>
    <x v="1"/>
    <x v="0"/>
    <n v="3"/>
    <s v="Medical"/>
    <n v="1"/>
    <n v="417"/>
    <n v="3"/>
    <x v="1"/>
    <n v="48"/>
    <n v="4"/>
    <n v="3"/>
    <x v="4"/>
    <x v="0"/>
    <s v="Divorced"/>
    <n v="9613"/>
    <n v="10942"/>
    <n v="0"/>
    <s v="Y"/>
    <s v="No"/>
    <n v="17"/>
    <n v="3"/>
    <n v="1"/>
    <n v="80"/>
    <n v="3"/>
    <n v="19"/>
    <n v="5"/>
    <n v="2"/>
    <x v="29"/>
    <n v="10"/>
    <n v="3"/>
    <n v="7"/>
    <x v="0"/>
    <x v="2"/>
  </r>
  <r>
    <n v="36"/>
    <x v="1"/>
    <s v="Non-Travel"/>
    <n v="1105"/>
    <x v="1"/>
    <x v="4"/>
    <n v="4"/>
    <s v="Life Sciences"/>
    <n v="1"/>
    <n v="419"/>
    <n v="2"/>
    <x v="0"/>
    <n v="47"/>
    <n v="3"/>
    <n v="2"/>
    <x v="2"/>
    <x v="1"/>
    <s v="Married"/>
    <n v="5674"/>
    <n v="6927"/>
    <n v="7"/>
    <s v="Y"/>
    <s v="No"/>
    <n v="15"/>
    <n v="3"/>
    <n v="3"/>
    <n v="80"/>
    <n v="1"/>
    <n v="11"/>
    <n v="3"/>
    <n v="3"/>
    <x v="7"/>
    <n v="8"/>
    <n v="0"/>
    <n v="8"/>
    <x v="0"/>
    <x v="0"/>
  </r>
  <r>
    <n v="32"/>
    <x v="1"/>
    <s v="Travel_Rarely"/>
    <n v="906"/>
    <x v="0"/>
    <x v="15"/>
    <n v="3"/>
    <s v="Life Sciences"/>
    <n v="1"/>
    <n v="420"/>
    <n v="4"/>
    <x v="1"/>
    <n v="91"/>
    <n v="2"/>
    <n v="2"/>
    <x v="0"/>
    <x v="2"/>
    <s v="Married"/>
    <n v="5484"/>
    <n v="16985"/>
    <n v="1"/>
    <s v="Y"/>
    <s v="No"/>
    <n v="14"/>
    <n v="3"/>
    <n v="3"/>
    <n v="80"/>
    <n v="1"/>
    <n v="13"/>
    <n v="3"/>
    <n v="2"/>
    <x v="20"/>
    <n v="8"/>
    <n v="4"/>
    <n v="8"/>
    <x v="2"/>
    <x v="0"/>
  </r>
  <r>
    <n v="38"/>
    <x v="1"/>
    <s v="Travel_Rarely"/>
    <n v="849"/>
    <x v="1"/>
    <x v="19"/>
    <n v="2"/>
    <s v="Life Sciences"/>
    <n v="1"/>
    <n v="421"/>
    <n v="1"/>
    <x v="0"/>
    <n v="81"/>
    <n v="2"/>
    <n v="3"/>
    <x v="7"/>
    <x v="1"/>
    <s v="Married"/>
    <n v="12061"/>
    <n v="26707"/>
    <n v="3"/>
    <s v="Y"/>
    <s v="No"/>
    <n v="17"/>
    <n v="3"/>
    <n v="3"/>
    <n v="80"/>
    <n v="1"/>
    <n v="19"/>
    <n v="2"/>
    <n v="3"/>
    <x v="1"/>
    <n v="8"/>
    <n v="0"/>
    <n v="1"/>
    <x v="0"/>
    <x v="3"/>
  </r>
  <r>
    <n v="58"/>
    <x v="1"/>
    <s v="Non-Travel"/>
    <n v="390"/>
    <x v="1"/>
    <x v="0"/>
    <n v="4"/>
    <s v="Life Sciences"/>
    <n v="1"/>
    <n v="422"/>
    <n v="4"/>
    <x v="1"/>
    <n v="32"/>
    <n v="1"/>
    <n v="2"/>
    <x v="4"/>
    <x v="2"/>
    <s v="Divorced"/>
    <n v="5660"/>
    <n v="17056"/>
    <n v="2"/>
    <s v="Y"/>
    <s v="Yes"/>
    <n v="13"/>
    <n v="3"/>
    <n v="4"/>
    <n v="80"/>
    <n v="1"/>
    <n v="12"/>
    <n v="2"/>
    <n v="3"/>
    <x v="8"/>
    <n v="3"/>
    <n v="1"/>
    <n v="2"/>
    <x v="3"/>
    <x v="0"/>
  </r>
  <r>
    <n v="31"/>
    <x v="1"/>
    <s v="Travel_Rarely"/>
    <n v="691"/>
    <x v="1"/>
    <x v="12"/>
    <n v="4"/>
    <s v="Technical Degree"/>
    <n v="1"/>
    <n v="423"/>
    <n v="3"/>
    <x v="1"/>
    <n v="86"/>
    <n v="3"/>
    <n v="1"/>
    <x v="1"/>
    <x v="0"/>
    <s v="Married"/>
    <n v="4821"/>
    <n v="10077"/>
    <n v="0"/>
    <s v="Y"/>
    <s v="Yes"/>
    <n v="12"/>
    <n v="3"/>
    <n v="3"/>
    <n v="80"/>
    <n v="1"/>
    <n v="6"/>
    <n v="4"/>
    <n v="3"/>
    <x v="8"/>
    <n v="2"/>
    <n v="0"/>
    <n v="3"/>
    <x v="2"/>
    <x v="0"/>
  </r>
  <r>
    <n v="31"/>
    <x v="1"/>
    <s v="Travel_Rarely"/>
    <n v="106"/>
    <x v="2"/>
    <x v="2"/>
    <n v="3"/>
    <s v="Human Resources"/>
    <n v="1"/>
    <n v="424"/>
    <n v="1"/>
    <x v="1"/>
    <n v="62"/>
    <n v="2"/>
    <n v="2"/>
    <x v="8"/>
    <x v="3"/>
    <s v="Married"/>
    <n v="6410"/>
    <n v="17822"/>
    <n v="3"/>
    <s v="Y"/>
    <s v="No"/>
    <n v="12"/>
    <n v="3"/>
    <n v="4"/>
    <n v="80"/>
    <n v="0"/>
    <n v="9"/>
    <n v="1"/>
    <n v="3"/>
    <x v="4"/>
    <n v="2"/>
    <n v="1"/>
    <n v="0"/>
    <x v="2"/>
    <x v="4"/>
  </r>
  <r>
    <n v="45"/>
    <x v="1"/>
    <s v="Travel_Frequently"/>
    <n v="1249"/>
    <x v="1"/>
    <x v="15"/>
    <n v="3"/>
    <s v="Life Sciences"/>
    <n v="1"/>
    <n v="425"/>
    <n v="1"/>
    <x v="1"/>
    <n v="97"/>
    <n v="3"/>
    <n v="3"/>
    <x v="2"/>
    <x v="3"/>
    <s v="Divorced"/>
    <n v="5210"/>
    <n v="20308"/>
    <n v="1"/>
    <s v="Y"/>
    <s v="No"/>
    <n v="18"/>
    <n v="3"/>
    <n v="1"/>
    <n v="80"/>
    <n v="1"/>
    <n v="24"/>
    <n v="2"/>
    <n v="3"/>
    <x v="25"/>
    <n v="9"/>
    <n v="9"/>
    <n v="11"/>
    <x v="1"/>
    <x v="0"/>
  </r>
  <r>
    <n v="31"/>
    <x v="1"/>
    <s v="Travel_Rarely"/>
    <n v="192"/>
    <x v="1"/>
    <x v="2"/>
    <n v="4"/>
    <s v="Life Sciences"/>
    <n v="1"/>
    <n v="426"/>
    <n v="3"/>
    <x v="1"/>
    <n v="32"/>
    <n v="3"/>
    <n v="1"/>
    <x v="1"/>
    <x v="0"/>
    <s v="Divorced"/>
    <n v="2695"/>
    <n v="7747"/>
    <n v="0"/>
    <s v="Y"/>
    <s v="Yes"/>
    <n v="18"/>
    <n v="3"/>
    <n v="2"/>
    <n v="80"/>
    <n v="1"/>
    <n v="3"/>
    <n v="2"/>
    <n v="1"/>
    <x v="4"/>
    <n v="2"/>
    <n v="2"/>
    <n v="2"/>
    <x v="2"/>
    <x v="1"/>
  </r>
  <r>
    <n v="33"/>
    <x v="1"/>
    <s v="Travel_Frequently"/>
    <n v="553"/>
    <x v="1"/>
    <x v="12"/>
    <n v="4"/>
    <s v="Life Sciences"/>
    <n v="1"/>
    <n v="428"/>
    <n v="4"/>
    <x v="0"/>
    <n v="74"/>
    <n v="3"/>
    <n v="3"/>
    <x v="5"/>
    <x v="1"/>
    <s v="Married"/>
    <n v="11878"/>
    <n v="23364"/>
    <n v="6"/>
    <s v="Y"/>
    <s v="No"/>
    <n v="11"/>
    <n v="3"/>
    <n v="2"/>
    <n v="80"/>
    <n v="2"/>
    <n v="12"/>
    <n v="2"/>
    <n v="3"/>
    <x v="1"/>
    <n v="6"/>
    <n v="8"/>
    <n v="8"/>
    <x v="2"/>
    <x v="2"/>
  </r>
  <r>
    <n v="39"/>
    <x v="1"/>
    <s v="Travel_Rarely"/>
    <n v="117"/>
    <x v="1"/>
    <x v="17"/>
    <n v="1"/>
    <s v="Medical"/>
    <n v="1"/>
    <n v="429"/>
    <n v="3"/>
    <x v="1"/>
    <n v="99"/>
    <n v="3"/>
    <n v="4"/>
    <x v="5"/>
    <x v="3"/>
    <s v="Married"/>
    <n v="17068"/>
    <n v="5355"/>
    <n v="1"/>
    <s v="Y"/>
    <s v="Yes"/>
    <n v="14"/>
    <n v="3"/>
    <n v="4"/>
    <n v="80"/>
    <n v="0"/>
    <n v="21"/>
    <n v="3"/>
    <n v="3"/>
    <x v="17"/>
    <n v="9"/>
    <n v="11"/>
    <n v="10"/>
    <x v="0"/>
    <x v="3"/>
  </r>
  <r>
    <n v="43"/>
    <x v="1"/>
    <s v="Travel_Frequently"/>
    <n v="185"/>
    <x v="1"/>
    <x v="17"/>
    <n v="4"/>
    <s v="Life Sciences"/>
    <n v="1"/>
    <n v="430"/>
    <n v="3"/>
    <x v="0"/>
    <n v="33"/>
    <n v="3"/>
    <n v="1"/>
    <x v="2"/>
    <x v="0"/>
    <s v="Single"/>
    <n v="2455"/>
    <n v="10675"/>
    <n v="0"/>
    <s v="Y"/>
    <s v="No"/>
    <n v="19"/>
    <n v="3"/>
    <n v="1"/>
    <n v="80"/>
    <n v="0"/>
    <n v="9"/>
    <n v="5"/>
    <n v="3"/>
    <x v="3"/>
    <n v="7"/>
    <n v="1"/>
    <n v="7"/>
    <x v="0"/>
    <x v="1"/>
  </r>
  <r>
    <n v="49"/>
    <x v="1"/>
    <s v="Travel_Rarely"/>
    <n v="1091"/>
    <x v="1"/>
    <x v="0"/>
    <n v="2"/>
    <s v="Technical Degree"/>
    <n v="1"/>
    <n v="431"/>
    <n v="3"/>
    <x v="0"/>
    <n v="90"/>
    <n v="2"/>
    <n v="4"/>
    <x v="4"/>
    <x v="2"/>
    <s v="Single"/>
    <n v="13964"/>
    <n v="17810"/>
    <n v="7"/>
    <s v="Y"/>
    <s v="Yes"/>
    <n v="12"/>
    <n v="3"/>
    <n v="4"/>
    <n v="80"/>
    <n v="0"/>
    <n v="25"/>
    <n v="2"/>
    <n v="3"/>
    <x v="5"/>
    <n v="1"/>
    <n v="0"/>
    <n v="7"/>
    <x v="1"/>
    <x v="3"/>
  </r>
  <r>
    <n v="52"/>
    <x v="0"/>
    <s v="Travel_Rarely"/>
    <n v="723"/>
    <x v="1"/>
    <x v="1"/>
    <n v="4"/>
    <s v="Medical"/>
    <n v="1"/>
    <n v="433"/>
    <n v="3"/>
    <x v="1"/>
    <n v="85"/>
    <n v="2"/>
    <n v="2"/>
    <x v="1"/>
    <x v="1"/>
    <s v="Married"/>
    <n v="4941"/>
    <n v="17747"/>
    <n v="2"/>
    <s v="Y"/>
    <s v="No"/>
    <n v="15"/>
    <n v="3"/>
    <n v="1"/>
    <n v="80"/>
    <n v="0"/>
    <n v="11"/>
    <n v="3"/>
    <n v="2"/>
    <x v="3"/>
    <n v="2"/>
    <n v="7"/>
    <n v="7"/>
    <x v="1"/>
    <x v="0"/>
  </r>
  <r>
    <n v="27"/>
    <x v="1"/>
    <s v="Travel_Rarely"/>
    <n v="1220"/>
    <x v="1"/>
    <x v="12"/>
    <n v="3"/>
    <s v="Life Sciences"/>
    <n v="1"/>
    <n v="434"/>
    <n v="3"/>
    <x v="0"/>
    <n v="85"/>
    <n v="3"/>
    <n v="1"/>
    <x v="1"/>
    <x v="1"/>
    <s v="Single"/>
    <n v="2478"/>
    <n v="20938"/>
    <n v="1"/>
    <s v="Y"/>
    <s v="Yes"/>
    <n v="12"/>
    <n v="3"/>
    <n v="2"/>
    <n v="80"/>
    <n v="0"/>
    <n v="4"/>
    <n v="2"/>
    <n v="2"/>
    <x v="9"/>
    <n v="3"/>
    <n v="1"/>
    <n v="2"/>
    <x v="2"/>
    <x v="1"/>
  </r>
  <r>
    <n v="32"/>
    <x v="1"/>
    <s v="Travel_Rarely"/>
    <n v="588"/>
    <x v="0"/>
    <x v="1"/>
    <n v="2"/>
    <s v="Technical Degree"/>
    <n v="1"/>
    <n v="436"/>
    <n v="3"/>
    <x v="0"/>
    <n v="65"/>
    <n v="2"/>
    <n v="2"/>
    <x v="0"/>
    <x v="1"/>
    <s v="Married"/>
    <n v="5228"/>
    <n v="24624"/>
    <n v="1"/>
    <s v="Y"/>
    <s v="Yes"/>
    <n v="11"/>
    <n v="3"/>
    <n v="4"/>
    <n v="80"/>
    <n v="0"/>
    <n v="13"/>
    <n v="2"/>
    <n v="3"/>
    <x v="20"/>
    <n v="12"/>
    <n v="11"/>
    <n v="9"/>
    <x v="2"/>
    <x v="0"/>
  </r>
  <r>
    <n v="27"/>
    <x v="1"/>
    <s v="Travel_Rarely"/>
    <n v="1377"/>
    <x v="0"/>
    <x v="2"/>
    <n v="3"/>
    <s v="Life Sciences"/>
    <n v="1"/>
    <n v="437"/>
    <n v="4"/>
    <x v="1"/>
    <n v="74"/>
    <n v="3"/>
    <n v="2"/>
    <x v="0"/>
    <x v="2"/>
    <s v="Single"/>
    <n v="4478"/>
    <n v="5242"/>
    <n v="1"/>
    <s v="Y"/>
    <s v="Yes"/>
    <n v="11"/>
    <n v="3"/>
    <n v="1"/>
    <n v="80"/>
    <n v="0"/>
    <n v="5"/>
    <n v="3"/>
    <n v="3"/>
    <x v="8"/>
    <n v="4"/>
    <n v="0"/>
    <n v="4"/>
    <x v="2"/>
    <x v="0"/>
  </r>
  <r>
    <n v="31"/>
    <x v="1"/>
    <s v="Travel_Rarely"/>
    <n v="691"/>
    <x v="0"/>
    <x v="15"/>
    <n v="3"/>
    <s v="Marketing"/>
    <n v="1"/>
    <n v="438"/>
    <n v="4"/>
    <x v="1"/>
    <n v="73"/>
    <n v="3"/>
    <n v="2"/>
    <x v="0"/>
    <x v="0"/>
    <s v="Divorced"/>
    <n v="7547"/>
    <n v="7143"/>
    <n v="4"/>
    <s v="Y"/>
    <s v="No"/>
    <n v="12"/>
    <n v="3"/>
    <n v="4"/>
    <n v="80"/>
    <n v="3"/>
    <n v="13"/>
    <n v="3"/>
    <n v="3"/>
    <x v="5"/>
    <n v="7"/>
    <n v="1"/>
    <n v="7"/>
    <x v="2"/>
    <x v="4"/>
  </r>
  <r>
    <n v="32"/>
    <x v="1"/>
    <s v="Travel_Rarely"/>
    <n v="1018"/>
    <x v="1"/>
    <x v="2"/>
    <n v="4"/>
    <s v="Medical"/>
    <n v="1"/>
    <n v="439"/>
    <n v="1"/>
    <x v="0"/>
    <n v="74"/>
    <n v="4"/>
    <n v="2"/>
    <x v="1"/>
    <x v="0"/>
    <s v="Single"/>
    <n v="5055"/>
    <n v="10557"/>
    <n v="7"/>
    <s v="Y"/>
    <s v="No"/>
    <n v="16"/>
    <n v="3"/>
    <n v="3"/>
    <n v="80"/>
    <n v="0"/>
    <n v="10"/>
    <n v="0"/>
    <n v="2"/>
    <x v="5"/>
    <n v="7"/>
    <n v="0"/>
    <n v="7"/>
    <x v="2"/>
    <x v="0"/>
  </r>
  <r>
    <n v="28"/>
    <x v="0"/>
    <s v="Travel_Rarely"/>
    <n v="1157"/>
    <x v="1"/>
    <x v="2"/>
    <n v="4"/>
    <s v="Medical"/>
    <n v="1"/>
    <n v="440"/>
    <n v="1"/>
    <x v="1"/>
    <n v="84"/>
    <n v="1"/>
    <n v="1"/>
    <x v="1"/>
    <x v="0"/>
    <s v="Married"/>
    <n v="3464"/>
    <n v="24737"/>
    <n v="5"/>
    <s v="Y"/>
    <s v="Yes"/>
    <n v="13"/>
    <n v="3"/>
    <n v="4"/>
    <n v="80"/>
    <n v="0"/>
    <n v="5"/>
    <n v="4"/>
    <n v="2"/>
    <x v="11"/>
    <n v="2"/>
    <n v="2"/>
    <n v="2"/>
    <x v="2"/>
    <x v="0"/>
  </r>
  <r>
    <n v="30"/>
    <x v="1"/>
    <s v="Travel_Rarely"/>
    <n v="1275"/>
    <x v="1"/>
    <x v="26"/>
    <n v="2"/>
    <s v="Medical"/>
    <n v="1"/>
    <n v="441"/>
    <n v="4"/>
    <x v="0"/>
    <n v="64"/>
    <n v="3"/>
    <n v="2"/>
    <x v="1"/>
    <x v="0"/>
    <s v="Married"/>
    <n v="5775"/>
    <n v="11934"/>
    <n v="1"/>
    <s v="Y"/>
    <s v="No"/>
    <n v="13"/>
    <n v="3"/>
    <n v="4"/>
    <n v="80"/>
    <n v="2"/>
    <n v="11"/>
    <n v="2"/>
    <n v="3"/>
    <x v="1"/>
    <n v="8"/>
    <n v="1"/>
    <n v="9"/>
    <x v="2"/>
    <x v="0"/>
  </r>
  <r>
    <n v="31"/>
    <x v="1"/>
    <s v="Travel_Frequently"/>
    <n v="798"/>
    <x v="1"/>
    <x v="15"/>
    <n v="2"/>
    <s v="Life Sciences"/>
    <n v="1"/>
    <n v="442"/>
    <n v="3"/>
    <x v="0"/>
    <n v="48"/>
    <n v="2"/>
    <n v="3"/>
    <x v="3"/>
    <x v="2"/>
    <s v="Married"/>
    <n v="8943"/>
    <n v="14034"/>
    <n v="1"/>
    <s v="Y"/>
    <s v="No"/>
    <n v="24"/>
    <n v="4"/>
    <n v="1"/>
    <n v="80"/>
    <n v="1"/>
    <n v="10"/>
    <n v="2"/>
    <n v="3"/>
    <x v="1"/>
    <n v="9"/>
    <n v="8"/>
    <n v="9"/>
    <x v="2"/>
    <x v="4"/>
  </r>
  <r>
    <n v="39"/>
    <x v="1"/>
    <s v="Travel_Frequently"/>
    <n v="672"/>
    <x v="1"/>
    <x v="15"/>
    <n v="2"/>
    <s v="Medical"/>
    <n v="1"/>
    <n v="444"/>
    <n v="3"/>
    <x v="1"/>
    <n v="54"/>
    <n v="2"/>
    <n v="5"/>
    <x v="5"/>
    <x v="0"/>
    <s v="Married"/>
    <n v="19272"/>
    <n v="21141"/>
    <n v="1"/>
    <s v="Y"/>
    <s v="No"/>
    <n v="15"/>
    <n v="3"/>
    <n v="1"/>
    <n v="80"/>
    <n v="1"/>
    <n v="21"/>
    <n v="2"/>
    <n v="3"/>
    <x v="17"/>
    <n v="9"/>
    <n v="13"/>
    <n v="3"/>
    <x v="0"/>
    <x v="3"/>
  </r>
  <r>
    <n v="39"/>
    <x v="0"/>
    <s v="Travel_Rarely"/>
    <n v="1162"/>
    <x v="0"/>
    <x v="3"/>
    <n v="2"/>
    <s v="Medical"/>
    <n v="1"/>
    <n v="445"/>
    <n v="4"/>
    <x v="0"/>
    <n v="41"/>
    <n v="3"/>
    <n v="2"/>
    <x v="0"/>
    <x v="2"/>
    <s v="Married"/>
    <n v="5238"/>
    <n v="17778"/>
    <n v="4"/>
    <s v="Y"/>
    <s v="Yes"/>
    <n v="18"/>
    <n v="3"/>
    <n v="1"/>
    <n v="80"/>
    <n v="0"/>
    <n v="12"/>
    <n v="3"/>
    <n v="2"/>
    <x v="6"/>
    <n v="0"/>
    <n v="0"/>
    <n v="0"/>
    <x v="0"/>
    <x v="0"/>
  </r>
  <r>
    <n v="33"/>
    <x v="1"/>
    <s v="Travel_Frequently"/>
    <n v="508"/>
    <x v="0"/>
    <x v="17"/>
    <n v="3"/>
    <s v="Marketing"/>
    <n v="1"/>
    <n v="446"/>
    <n v="2"/>
    <x v="1"/>
    <n v="46"/>
    <n v="2"/>
    <n v="2"/>
    <x v="0"/>
    <x v="0"/>
    <s v="Single"/>
    <n v="4682"/>
    <n v="4317"/>
    <n v="3"/>
    <s v="Y"/>
    <s v="No"/>
    <n v="14"/>
    <n v="3"/>
    <n v="3"/>
    <n v="80"/>
    <n v="0"/>
    <n v="9"/>
    <n v="6"/>
    <n v="2"/>
    <x v="5"/>
    <n v="7"/>
    <n v="0"/>
    <n v="1"/>
    <x v="2"/>
    <x v="0"/>
  </r>
  <r>
    <n v="47"/>
    <x v="1"/>
    <s v="Travel_Rarely"/>
    <n v="1482"/>
    <x v="1"/>
    <x v="12"/>
    <n v="5"/>
    <s v="Life Sciences"/>
    <n v="1"/>
    <n v="447"/>
    <n v="4"/>
    <x v="1"/>
    <n v="42"/>
    <n v="3"/>
    <n v="5"/>
    <x v="7"/>
    <x v="2"/>
    <s v="Married"/>
    <n v="18300"/>
    <n v="16375"/>
    <n v="4"/>
    <s v="Y"/>
    <s v="No"/>
    <n v="11"/>
    <n v="3"/>
    <n v="2"/>
    <n v="80"/>
    <n v="1"/>
    <n v="21"/>
    <n v="2"/>
    <n v="3"/>
    <x v="11"/>
    <n v="2"/>
    <n v="1"/>
    <n v="1"/>
    <x v="1"/>
    <x v="3"/>
  </r>
  <r>
    <n v="43"/>
    <x v="1"/>
    <s v="Travel_Frequently"/>
    <n v="559"/>
    <x v="1"/>
    <x v="17"/>
    <n v="4"/>
    <s v="Life Sciences"/>
    <n v="1"/>
    <n v="448"/>
    <n v="3"/>
    <x v="0"/>
    <n v="82"/>
    <n v="2"/>
    <n v="2"/>
    <x v="2"/>
    <x v="2"/>
    <s v="Divorced"/>
    <n v="5257"/>
    <n v="6227"/>
    <n v="1"/>
    <s v="Y"/>
    <s v="No"/>
    <n v="11"/>
    <n v="3"/>
    <n v="2"/>
    <n v="80"/>
    <n v="1"/>
    <n v="9"/>
    <n v="3"/>
    <n v="4"/>
    <x v="7"/>
    <n v="7"/>
    <n v="0"/>
    <n v="0"/>
    <x v="0"/>
    <x v="0"/>
  </r>
  <r>
    <n v="27"/>
    <x v="1"/>
    <s v="Non-Travel"/>
    <n v="210"/>
    <x v="0"/>
    <x v="0"/>
    <n v="1"/>
    <s v="Marketing"/>
    <n v="1"/>
    <n v="449"/>
    <n v="3"/>
    <x v="1"/>
    <n v="73"/>
    <n v="3"/>
    <n v="2"/>
    <x v="0"/>
    <x v="1"/>
    <s v="Married"/>
    <n v="6349"/>
    <n v="22107"/>
    <n v="0"/>
    <s v="Y"/>
    <s v="Yes"/>
    <n v="13"/>
    <n v="3"/>
    <n v="4"/>
    <n v="80"/>
    <n v="1"/>
    <n v="6"/>
    <n v="0"/>
    <n v="3"/>
    <x v="8"/>
    <n v="4"/>
    <n v="1"/>
    <n v="4"/>
    <x v="2"/>
    <x v="4"/>
  </r>
  <r>
    <n v="54"/>
    <x v="1"/>
    <s v="Travel_Frequently"/>
    <n v="928"/>
    <x v="1"/>
    <x v="25"/>
    <n v="4"/>
    <s v="Life Sciences"/>
    <n v="1"/>
    <n v="450"/>
    <n v="4"/>
    <x v="0"/>
    <n v="31"/>
    <n v="3"/>
    <n v="2"/>
    <x v="1"/>
    <x v="2"/>
    <s v="Single"/>
    <n v="4869"/>
    <n v="16885"/>
    <n v="3"/>
    <s v="Y"/>
    <s v="No"/>
    <n v="12"/>
    <n v="3"/>
    <n v="4"/>
    <n v="80"/>
    <n v="0"/>
    <n v="20"/>
    <n v="4"/>
    <n v="2"/>
    <x v="9"/>
    <n v="3"/>
    <n v="0"/>
    <n v="3"/>
    <x v="1"/>
    <x v="0"/>
  </r>
  <r>
    <n v="43"/>
    <x v="1"/>
    <s v="Travel_Rarely"/>
    <n v="1001"/>
    <x v="1"/>
    <x v="15"/>
    <n v="3"/>
    <s v="Life Sciences"/>
    <n v="1"/>
    <n v="451"/>
    <n v="3"/>
    <x v="0"/>
    <n v="43"/>
    <n v="3"/>
    <n v="3"/>
    <x v="4"/>
    <x v="3"/>
    <s v="Married"/>
    <n v="9985"/>
    <n v="9262"/>
    <n v="8"/>
    <s v="Y"/>
    <s v="No"/>
    <n v="16"/>
    <n v="3"/>
    <n v="1"/>
    <n v="80"/>
    <n v="1"/>
    <n v="10"/>
    <n v="1"/>
    <n v="2"/>
    <x v="6"/>
    <n v="0"/>
    <n v="0"/>
    <n v="0"/>
    <x v="0"/>
    <x v="2"/>
  </r>
  <r>
    <n v="45"/>
    <x v="1"/>
    <s v="Travel_Rarely"/>
    <n v="549"/>
    <x v="1"/>
    <x v="1"/>
    <n v="4"/>
    <s v="Other"/>
    <n v="1"/>
    <n v="452"/>
    <n v="4"/>
    <x v="1"/>
    <n v="75"/>
    <n v="3"/>
    <n v="2"/>
    <x v="1"/>
    <x v="0"/>
    <s v="Married"/>
    <n v="3697"/>
    <n v="9278"/>
    <n v="9"/>
    <s v="Y"/>
    <s v="No"/>
    <n v="14"/>
    <n v="3"/>
    <n v="1"/>
    <n v="80"/>
    <n v="2"/>
    <n v="12"/>
    <n v="3"/>
    <n v="3"/>
    <x v="1"/>
    <n v="9"/>
    <n v="9"/>
    <n v="8"/>
    <x v="1"/>
    <x v="0"/>
  </r>
  <r>
    <n v="40"/>
    <x v="1"/>
    <s v="Travel_Rarely"/>
    <n v="1124"/>
    <x v="0"/>
    <x v="0"/>
    <n v="2"/>
    <s v="Medical"/>
    <n v="1"/>
    <n v="453"/>
    <n v="2"/>
    <x v="1"/>
    <n v="57"/>
    <n v="1"/>
    <n v="2"/>
    <x v="0"/>
    <x v="0"/>
    <s v="Married"/>
    <n v="7457"/>
    <n v="13273"/>
    <n v="2"/>
    <s v="Y"/>
    <s v="Yes"/>
    <n v="22"/>
    <n v="4"/>
    <n v="3"/>
    <n v="80"/>
    <n v="3"/>
    <n v="6"/>
    <n v="2"/>
    <n v="2"/>
    <x v="9"/>
    <n v="3"/>
    <n v="0"/>
    <n v="2"/>
    <x v="0"/>
    <x v="4"/>
  </r>
  <r>
    <n v="29"/>
    <x v="0"/>
    <s v="Travel_Rarely"/>
    <n v="318"/>
    <x v="1"/>
    <x v="1"/>
    <n v="4"/>
    <s v="Other"/>
    <n v="1"/>
    <n v="454"/>
    <n v="2"/>
    <x v="1"/>
    <n v="77"/>
    <n v="1"/>
    <n v="1"/>
    <x v="2"/>
    <x v="3"/>
    <s v="Married"/>
    <n v="2119"/>
    <n v="4759"/>
    <n v="1"/>
    <s v="Y"/>
    <s v="Yes"/>
    <n v="11"/>
    <n v="3"/>
    <n v="4"/>
    <n v="80"/>
    <n v="0"/>
    <n v="7"/>
    <n v="4"/>
    <n v="2"/>
    <x v="5"/>
    <n v="7"/>
    <n v="0"/>
    <n v="7"/>
    <x v="2"/>
    <x v="1"/>
  </r>
  <r>
    <n v="29"/>
    <x v="1"/>
    <s v="Travel_Rarely"/>
    <n v="738"/>
    <x v="1"/>
    <x v="14"/>
    <n v="5"/>
    <s v="Other"/>
    <n v="1"/>
    <n v="455"/>
    <n v="2"/>
    <x v="1"/>
    <n v="30"/>
    <n v="2"/>
    <n v="1"/>
    <x v="2"/>
    <x v="0"/>
    <s v="Single"/>
    <n v="3983"/>
    <n v="7621"/>
    <n v="0"/>
    <s v="Y"/>
    <s v="No"/>
    <n v="17"/>
    <n v="3"/>
    <n v="3"/>
    <n v="80"/>
    <n v="0"/>
    <n v="4"/>
    <n v="2"/>
    <n v="3"/>
    <x v="11"/>
    <n v="2"/>
    <n v="2"/>
    <n v="2"/>
    <x v="2"/>
    <x v="0"/>
  </r>
  <r>
    <n v="30"/>
    <x v="1"/>
    <s v="Travel_Rarely"/>
    <n v="570"/>
    <x v="0"/>
    <x v="12"/>
    <n v="3"/>
    <s v="Marketing"/>
    <n v="1"/>
    <n v="456"/>
    <n v="4"/>
    <x v="0"/>
    <n v="30"/>
    <n v="2"/>
    <n v="2"/>
    <x v="0"/>
    <x v="2"/>
    <s v="Divorced"/>
    <n v="6118"/>
    <n v="5431"/>
    <n v="1"/>
    <s v="Y"/>
    <s v="No"/>
    <n v="13"/>
    <n v="3"/>
    <n v="3"/>
    <n v="80"/>
    <n v="3"/>
    <n v="10"/>
    <n v="2"/>
    <n v="3"/>
    <x v="1"/>
    <n v="9"/>
    <n v="1"/>
    <n v="2"/>
    <x v="2"/>
    <x v="4"/>
  </r>
  <r>
    <n v="27"/>
    <x v="1"/>
    <s v="Travel_Rarely"/>
    <n v="1130"/>
    <x v="0"/>
    <x v="1"/>
    <n v="4"/>
    <s v="Marketing"/>
    <n v="1"/>
    <n v="458"/>
    <n v="2"/>
    <x v="0"/>
    <n v="56"/>
    <n v="3"/>
    <n v="2"/>
    <x v="0"/>
    <x v="1"/>
    <s v="Married"/>
    <n v="6214"/>
    <n v="3415"/>
    <n v="1"/>
    <s v="Y"/>
    <s v="No"/>
    <n v="18"/>
    <n v="3"/>
    <n v="1"/>
    <n v="80"/>
    <n v="1"/>
    <n v="8"/>
    <n v="3"/>
    <n v="3"/>
    <x v="3"/>
    <n v="7"/>
    <n v="0"/>
    <n v="7"/>
    <x v="2"/>
    <x v="4"/>
  </r>
  <r>
    <n v="37"/>
    <x v="1"/>
    <s v="Travel_Rarely"/>
    <n v="1192"/>
    <x v="1"/>
    <x v="12"/>
    <n v="2"/>
    <s v="Medical"/>
    <n v="1"/>
    <n v="460"/>
    <n v="4"/>
    <x v="1"/>
    <n v="61"/>
    <n v="3"/>
    <n v="2"/>
    <x v="3"/>
    <x v="0"/>
    <s v="Divorced"/>
    <n v="6347"/>
    <n v="23177"/>
    <n v="7"/>
    <s v="Y"/>
    <s v="No"/>
    <n v="16"/>
    <n v="3"/>
    <n v="3"/>
    <n v="80"/>
    <n v="2"/>
    <n v="8"/>
    <n v="2"/>
    <n v="2"/>
    <x v="0"/>
    <n v="2"/>
    <n v="0"/>
    <n v="4"/>
    <x v="0"/>
    <x v="4"/>
  </r>
  <r>
    <n v="38"/>
    <x v="1"/>
    <s v="Travel_Rarely"/>
    <n v="343"/>
    <x v="1"/>
    <x v="8"/>
    <n v="2"/>
    <s v="Life Sciences"/>
    <n v="1"/>
    <n v="461"/>
    <n v="3"/>
    <x v="1"/>
    <n v="92"/>
    <n v="2"/>
    <n v="3"/>
    <x v="7"/>
    <x v="0"/>
    <s v="Divorced"/>
    <n v="11510"/>
    <n v="15682"/>
    <n v="0"/>
    <s v="Y"/>
    <s v="Yes"/>
    <n v="14"/>
    <n v="3"/>
    <n v="2"/>
    <n v="80"/>
    <n v="1"/>
    <n v="12"/>
    <n v="3"/>
    <n v="3"/>
    <x v="19"/>
    <n v="10"/>
    <n v="2"/>
    <n v="9"/>
    <x v="0"/>
    <x v="2"/>
  </r>
  <r>
    <n v="31"/>
    <x v="1"/>
    <s v="Travel_Rarely"/>
    <n v="1232"/>
    <x v="1"/>
    <x v="15"/>
    <n v="4"/>
    <s v="Medical"/>
    <n v="1"/>
    <n v="462"/>
    <n v="3"/>
    <x v="0"/>
    <n v="39"/>
    <n v="3"/>
    <n v="3"/>
    <x v="3"/>
    <x v="0"/>
    <s v="Single"/>
    <n v="7143"/>
    <n v="25713"/>
    <n v="1"/>
    <s v="Y"/>
    <s v="Yes"/>
    <n v="14"/>
    <n v="3"/>
    <n v="3"/>
    <n v="80"/>
    <n v="0"/>
    <n v="11"/>
    <n v="2"/>
    <n v="2"/>
    <x v="19"/>
    <n v="9"/>
    <n v="4"/>
    <n v="10"/>
    <x v="2"/>
    <x v="4"/>
  </r>
  <r>
    <n v="29"/>
    <x v="1"/>
    <s v="Travel_Rarely"/>
    <n v="144"/>
    <x v="0"/>
    <x v="17"/>
    <n v="1"/>
    <s v="Marketing"/>
    <n v="1"/>
    <n v="463"/>
    <n v="4"/>
    <x v="0"/>
    <n v="39"/>
    <n v="2"/>
    <n v="2"/>
    <x v="0"/>
    <x v="1"/>
    <s v="Divorced"/>
    <n v="8268"/>
    <n v="11866"/>
    <n v="1"/>
    <s v="Y"/>
    <s v="Yes"/>
    <n v="14"/>
    <n v="3"/>
    <n v="1"/>
    <n v="80"/>
    <n v="2"/>
    <n v="7"/>
    <n v="2"/>
    <n v="3"/>
    <x v="5"/>
    <n v="7"/>
    <n v="1"/>
    <n v="7"/>
    <x v="2"/>
    <x v="4"/>
  </r>
  <r>
    <n v="35"/>
    <x v="1"/>
    <s v="Travel_Rarely"/>
    <n v="1296"/>
    <x v="1"/>
    <x v="12"/>
    <n v="4"/>
    <s v="Technical Degree"/>
    <n v="1"/>
    <n v="464"/>
    <n v="3"/>
    <x v="1"/>
    <n v="62"/>
    <n v="3"/>
    <n v="3"/>
    <x v="3"/>
    <x v="1"/>
    <s v="Single"/>
    <n v="8095"/>
    <n v="18264"/>
    <n v="0"/>
    <s v="Y"/>
    <s v="No"/>
    <n v="13"/>
    <n v="3"/>
    <n v="4"/>
    <n v="80"/>
    <n v="0"/>
    <n v="17"/>
    <n v="5"/>
    <n v="3"/>
    <x v="22"/>
    <n v="6"/>
    <n v="0"/>
    <n v="13"/>
    <x v="0"/>
    <x v="4"/>
  </r>
  <r>
    <n v="23"/>
    <x v="1"/>
    <s v="Travel_Rarely"/>
    <n v="1309"/>
    <x v="1"/>
    <x v="9"/>
    <n v="1"/>
    <s v="Life Sciences"/>
    <n v="1"/>
    <n v="465"/>
    <n v="3"/>
    <x v="1"/>
    <n v="83"/>
    <n v="3"/>
    <n v="1"/>
    <x v="1"/>
    <x v="0"/>
    <s v="Divorced"/>
    <n v="2904"/>
    <n v="16092"/>
    <n v="1"/>
    <s v="Y"/>
    <s v="No"/>
    <n v="12"/>
    <n v="3"/>
    <n v="3"/>
    <n v="80"/>
    <n v="2"/>
    <n v="4"/>
    <n v="2"/>
    <n v="2"/>
    <x v="9"/>
    <n v="2"/>
    <n v="0"/>
    <n v="2"/>
    <x v="4"/>
    <x v="1"/>
  </r>
  <r>
    <n v="41"/>
    <x v="1"/>
    <s v="Travel_Rarely"/>
    <n v="483"/>
    <x v="1"/>
    <x v="16"/>
    <n v="3"/>
    <s v="Medical"/>
    <n v="1"/>
    <n v="466"/>
    <n v="4"/>
    <x v="1"/>
    <n v="95"/>
    <n v="2"/>
    <n v="2"/>
    <x v="3"/>
    <x v="1"/>
    <s v="Single"/>
    <n v="6032"/>
    <n v="10110"/>
    <n v="6"/>
    <s v="Y"/>
    <s v="Yes"/>
    <n v="15"/>
    <n v="3"/>
    <n v="4"/>
    <n v="80"/>
    <n v="0"/>
    <n v="8"/>
    <n v="3"/>
    <n v="3"/>
    <x v="8"/>
    <n v="4"/>
    <n v="1"/>
    <n v="2"/>
    <x v="0"/>
    <x v="4"/>
  </r>
  <r>
    <n v="47"/>
    <x v="1"/>
    <s v="Travel_Frequently"/>
    <n v="1309"/>
    <x v="0"/>
    <x v="18"/>
    <n v="1"/>
    <s v="Medical"/>
    <n v="1"/>
    <n v="467"/>
    <n v="2"/>
    <x v="1"/>
    <n v="99"/>
    <n v="3"/>
    <n v="2"/>
    <x v="6"/>
    <x v="2"/>
    <s v="Single"/>
    <n v="2976"/>
    <n v="25751"/>
    <n v="3"/>
    <s v="Y"/>
    <s v="No"/>
    <n v="19"/>
    <n v="3"/>
    <n v="1"/>
    <n v="80"/>
    <n v="0"/>
    <n v="5"/>
    <n v="3"/>
    <n v="3"/>
    <x v="2"/>
    <n v="0"/>
    <n v="0"/>
    <n v="0"/>
    <x v="1"/>
    <x v="1"/>
  </r>
  <r>
    <n v="42"/>
    <x v="1"/>
    <s v="Travel_Rarely"/>
    <n v="810"/>
    <x v="1"/>
    <x v="5"/>
    <n v="5"/>
    <s v="Life Sciences"/>
    <n v="1"/>
    <n v="468"/>
    <n v="1"/>
    <x v="0"/>
    <n v="44"/>
    <n v="3"/>
    <n v="4"/>
    <x v="7"/>
    <x v="0"/>
    <s v="Single"/>
    <n v="15992"/>
    <n v="15901"/>
    <n v="2"/>
    <s v="Y"/>
    <s v="No"/>
    <n v="14"/>
    <n v="3"/>
    <n v="2"/>
    <n v="80"/>
    <n v="0"/>
    <n v="16"/>
    <n v="2"/>
    <n v="3"/>
    <x v="6"/>
    <n v="0"/>
    <n v="0"/>
    <n v="0"/>
    <x v="0"/>
    <x v="3"/>
  </r>
  <r>
    <n v="29"/>
    <x v="1"/>
    <s v="Non-Travel"/>
    <n v="746"/>
    <x v="0"/>
    <x v="2"/>
    <n v="3"/>
    <s v="Life Sciences"/>
    <n v="1"/>
    <n v="469"/>
    <n v="4"/>
    <x v="1"/>
    <n v="61"/>
    <n v="3"/>
    <n v="2"/>
    <x v="0"/>
    <x v="2"/>
    <s v="Married"/>
    <n v="4649"/>
    <n v="16928"/>
    <n v="1"/>
    <s v="Y"/>
    <s v="No"/>
    <n v="14"/>
    <n v="3"/>
    <n v="1"/>
    <n v="80"/>
    <n v="1"/>
    <n v="4"/>
    <n v="3"/>
    <n v="2"/>
    <x v="9"/>
    <n v="3"/>
    <n v="0"/>
    <n v="2"/>
    <x v="2"/>
    <x v="0"/>
  </r>
  <r>
    <n v="42"/>
    <x v="1"/>
    <s v="Travel_Rarely"/>
    <n v="544"/>
    <x v="2"/>
    <x v="2"/>
    <n v="1"/>
    <s v="Technical Degree"/>
    <n v="1"/>
    <n v="470"/>
    <n v="3"/>
    <x v="1"/>
    <n v="52"/>
    <n v="3"/>
    <n v="1"/>
    <x v="8"/>
    <x v="2"/>
    <s v="Divorced"/>
    <n v="2696"/>
    <n v="24017"/>
    <n v="0"/>
    <s v="Y"/>
    <s v="Yes"/>
    <n v="11"/>
    <n v="3"/>
    <n v="3"/>
    <n v="80"/>
    <n v="1"/>
    <n v="4"/>
    <n v="5"/>
    <n v="3"/>
    <x v="11"/>
    <n v="2"/>
    <n v="1"/>
    <n v="0"/>
    <x v="0"/>
    <x v="1"/>
  </r>
  <r>
    <n v="32"/>
    <x v="1"/>
    <s v="Travel_Rarely"/>
    <n v="1062"/>
    <x v="1"/>
    <x v="2"/>
    <n v="3"/>
    <s v="Medical"/>
    <n v="1"/>
    <n v="471"/>
    <n v="3"/>
    <x v="0"/>
    <n v="75"/>
    <n v="3"/>
    <n v="1"/>
    <x v="2"/>
    <x v="1"/>
    <s v="Married"/>
    <n v="2370"/>
    <n v="3956"/>
    <n v="1"/>
    <s v="Y"/>
    <s v="No"/>
    <n v="13"/>
    <n v="3"/>
    <n v="3"/>
    <n v="80"/>
    <n v="1"/>
    <n v="8"/>
    <n v="4"/>
    <n v="3"/>
    <x v="3"/>
    <n v="0"/>
    <n v="0"/>
    <n v="7"/>
    <x v="2"/>
    <x v="1"/>
  </r>
  <r>
    <n v="48"/>
    <x v="1"/>
    <s v="Travel_Rarely"/>
    <n v="530"/>
    <x v="0"/>
    <x v="22"/>
    <n v="1"/>
    <s v="Medical"/>
    <n v="1"/>
    <n v="473"/>
    <n v="1"/>
    <x v="0"/>
    <n v="91"/>
    <n v="3"/>
    <n v="3"/>
    <x v="5"/>
    <x v="2"/>
    <s v="Married"/>
    <n v="12504"/>
    <n v="23978"/>
    <n v="3"/>
    <s v="Y"/>
    <s v="No"/>
    <n v="21"/>
    <n v="4"/>
    <n v="2"/>
    <n v="80"/>
    <n v="1"/>
    <n v="15"/>
    <n v="3"/>
    <n v="1"/>
    <x v="2"/>
    <n v="0"/>
    <n v="0"/>
    <n v="0"/>
    <x v="1"/>
    <x v="3"/>
  </r>
  <r>
    <n v="37"/>
    <x v="1"/>
    <s v="Travel_Rarely"/>
    <n v="1319"/>
    <x v="1"/>
    <x v="16"/>
    <n v="3"/>
    <s v="Medical"/>
    <n v="1"/>
    <n v="474"/>
    <n v="3"/>
    <x v="1"/>
    <n v="51"/>
    <n v="4"/>
    <n v="2"/>
    <x v="1"/>
    <x v="3"/>
    <s v="Divorced"/>
    <n v="5974"/>
    <n v="17001"/>
    <n v="4"/>
    <s v="Y"/>
    <s v="Yes"/>
    <n v="13"/>
    <n v="3"/>
    <n v="1"/>
    <n v="80"/>
    <n v="2"/>
    <n v="13"/>
    <n v="2"/>
    <n v="3"/>
    <x v="5"/>
    <n v="7"/>
    <n v="6"/>
    <n v="7"/>
    <x v="0"/>
    <x v="0"/>
  </r>
  <r>
    <n v="30"/>
    <x v="1"/>
    <s v="Non-Travel"/>
    <n v="641"/>
    <x v="0"/>
    <x v="19"/>
    <n v="2"/>
    <s v="Technical Degree"/>
    <n v="1"/>
    <n v="475"/>
    <n v="4"/>
    <x v="0"/>
    <n v="85"/>
    <n v="3"/>
    <n v="2"/>
    <x v="0"/>
    <x v="2"/>
    <s v="Married"/>
    <n v="4736"/>
    <n v="6069"/>
    <n v="7"/>
    <s v="Y"/>
    <s v="Yes"/>
    <n v="12"/>
    <n v="3"/>
    <n v="2"/>
    <n v="80"/>
    <n v="1"/>
    <n v="4"/>
    <n v="2"/>
    <n v="4"/>
    <x v="4"/>
    <n v="2"/>
    <n v="2"/>
    <n v="2"/>
    <x v="2"/>
    <x v="0"/>
  </r>
  <r>
    <n v="26"/>
    <x v="1"/>
    <s v="Travel_Rarely"/>
    <n v="933"/>
    <x v="0"/>
    <x v="0"/>
    <n v="3"/>
    <s v="Life Sciences"/>
    <n v="1"/>
    <n v="476"/>
    <n v="3"/>
    <x v="1"/>
    <n v="57"/>
    <n v="3"/>
    <n v="2"/>
    <x v="0"/>
    <x v="2"/>
    <s v="Married"/>
    <n v="5296"/>
    <n v="20156"/>
    <n v="1"/>
    <s v="Y"/>
    <s v="No"/>
    <n v="17"/>
    <n v="3"/>
    <n v="2"/>
    <n v="80"/>
    <n v="1"/>
    <n v="8"/>
    <n v="3"/>
    <n v="3"/>
    <x v="3"/>
    <n v="7"/>
    <n v="7"/>
    <n v="7"/>
    <x v="2"/>
    <x v="0"/>
  </r>
  <r>
    <n v="42"/>
    <x v="1"/>
    <s v="Travel_Rarely"/>
    <n v="1332"/>
    <x v="1"/>
    <x v="2"/>
    <n v="4"/>
    <s v="Other"/>
    <n v="1"/>
    <n v="477"/>
    <n v="1"/>
    <x v="1"/>
    <n v="98"/>
    <n v="2"/>
    <n v="2"/>
    <x v="4"/>
    <x v="0"/>
    <s v="Single"/>
    <n v="6781"/>
    <n v="17078"/>
    <n v="3"/>
    <s v="Y"/>
    <s v="No"/>
    <n v="23"/>
    <n v="4"/>
    <n v="2"/>
    <n v="80"/>
    <n v="0"/>
    <n v="14"/>
    <n v="6"/>
    <n v="3"/>
    <x v="6"/>
    <n v="0"/>
    <n v="0"/>
    <n v="0"/>
    <x v="0"/>
    <x v="4"/>
  </r>
  <r>
    <n v="21"/>
    <x v="0"/>
    <s v="Travel_Frequently"/>
    <n v="756"/>
    <x v="0"/>
    <x v="0"/>
    <n v="1"/>
    <s v="Technical Degree"/>
    <n v="1"/>
    <n v="478"/>
    <n v="1"/>
    <x v="0"/>
    <n v="99"/>
    <n v="2"/>
    <n v="1"/>
    <x v="6"/>
    <x v="1"/>
    <s v="Single"/>
    <n v="2174"/>
    <n v="9150"/>
    <n v="1"/>
    <s v="Y"/>
    <s v="Yes"/>
    <n v="11"/>
    <n v="3"/>
    <n v="3"/>
    <n v="80"/>
    <n v="0"/>
    <n v="3"/>
    <n v="3"/>
    <n v="3"/>
    <x v="11"/>
    <n v="2"/>
    <n v="1"/>
    <n v="2"/>
    <x v="4"/>
    <x v="1"/>
  </r>
  <r>
    <n v="36"/>
    <x v="1"/>
    <s v="Non-Travel"/>
    <n v="845"/>
    <x v="0"/>
    <x v="0"/>
    <n v="5"/>
    <s v="Medical"/>
    <n v="1"/>
    <n v="479"/>
    <n v="4"/>
    <x v="0"/>
    <n v="45"/>
    <n v="3"/>
    <n v="2"/>
    <x v="0"/>
    <x v="0"/>
    <s v="Single"/>
    <n v="6653"/>
    <n v="15276"/>
    <n v="4"/>
    <s v="Y"/>
    <s v="No"/>
    <n v="15"/>
    <n v="3"/>
    <n v="2"/>
    <n v="80"/>
    <n v="0"/>
    <n v="7"/>
    <n v="6"/>
    <n v="3"/>
    <x v="6"/>
    <n v="0"/>
    <n v="0"/>
    <n v="0"/>
    <x v="0"/>
    <x v="4"/>
  </r>
  <r>
    <n v="36"/>
    <x v="1"/>
    <s v="Travel_Frequently"/>
    <n v="541"/>
    <x v="0"/>
    <x v="3"/>
    <n v="4"/>
    <s v="Medical"/>
    <n v="1"/>
    <n v="481"/>
    <n v="1"/>
    <x v="1"/>
    <n v="48"/>
    <n v="2"/>
    <n v="3"/>
    <x v="0"/>
    <x v="0"/>
    <s v="Married"/>
    <n v="9699"/>
    <n v="7246"/>
    <n v="4"/>
    <s v="Y"/>
    <s v="No"/>
    <n v="11"/>
    <n v="3"/>
    <n v="1"/>
    <n v="80"/>
    <n v="1"/>
    <n v="16"/>
    <n v="2"/>
    <n v="3"/>
    <x v="20"/>
    <n v="9"/>
    <n v="1"/>
    <n v="12"/>
    <x v="0"/>
    <x v="2"/>
  </r>
  <r>
    <n v="57"/>
    <x v="1"/>
    <s v="Travel_Rarely"/>
    <n v="593"/>
    <x v="1"/>
    <x v="0"/>
    <n v="4"/>
    <s v="Medical"/>
    <n v="1"/>
    <n v="482"/>
    <n v="4"/>
    <x v="1"/>
    <n v="88"/>
    <n v="3"/>
    <n v="2"/>
    <x v="4"/>
    <x v="2"/>
    <s v="Married"/>
    <n v="6755"/>
    <n v="2967"/>
    <n v="2"/>
    <s v="Y"/>
    <s v="No"/>
    <n v="11"/>
    <n v="3"/>
    <n v="3"/>
    <n v="80"/>
    <n v="0"/>
    <n v="15"/>
    <n v="2"/>
    <n v="3"/>
    <x v="11"/>
    <n v="2"/>
    <n v="1"/>
    <n v="2"/>
    <x v="3"/>
    <x v="4"/>
  </r>
  <r>
    <n v="40"/>
    <x v="1"/>
    <s v="Travel_Rarely"/>
    <n v="1171"/>
    <x v="1"/>
    <x v="17"/>
    <n v="4"/>
    <s v="Life Sciences"/>
    <n v="1"/>
    <n v="483"/>
    <n v="4"/>
    <x v="0"/>
    <n v="46"/>
    <n v="4"/>
    <n v="1"/>
    <x v="2"/>
    <x v="2"/>
    <s v="Married"/>
    <n v="2213"/>
    <n v="22495"/>
    <n v="3"/>
    <s v="Y"/>
    <s v="Yes"/>
    <n v="13"/>
    <n v="3"/>
    <n v="3"/>
    <n v="80"/>
    <n v="1"/>
    <n v="10"/>
    <n v="3"/>
    <n v="3"/>
    <x v="5"/>
    <n v="7"/>
    <n v="1"/>
    <n v="7"/>
    <x v="0"/>
    <x v="1"/>
  </r>
  <r>
    <n v="21"/>
    <x v="1"/>
    <s v="Non-Travel"/>
    <n v="895"/>
    <x v="0"/>
    <x v="14"/>
    <n v="2"/>
    <s v="Medical"/>
    <n v="1"/>
    <n v="484"/>
    <n v="1"/>
    <x v="1"/>
    <n v="39"/>
    <n v="3"/>
    <n v="1"/>
    <x v="6"/>
    <x v="0"/>
    <s v="Single"/>
    <n v="2610"/>
    <n v="2851"/>
    <n v="1"/>
    <s v="Y"/>
    <s v="No"/>
    <n v="24"/>
    <n v="4"/>
    <n v="3"/>
    <n v="80"/>
    <n v="0"/>
    <n v="3"/>
    <n v="3"/>
    <n v="2"/>
    <x v="11"/>
    <n v="2"/>
    <n v="2"/>
    <n v="2"/>
    <x v="4"/>
    <x v="1"/>
  </r>
  <r>
    <n v="33"/>
    <x v="0"/>
    <s v="Travel_Rarely"/>
    <n v="350"/>
    <x v="0"/>
    <x v="12"/>
    <n v="3"/>
    <s v="Marketing"/>
    <n v="1"/>
    <n v="485"/>
    <n v="4"/>
    <x v="0"/>
    <n v="34"/>
    <n v="3"/>
    <n v="1"/>
    <x v="6"/>
    <x v="2"/>
    <s v="Single"/>
    <n v="2851"/>
    <n v="9150"/>
    <n v="1"/>
    <s v="Y"/>
    <s v="Yes"/>
    <n v="13"/>
    <n v="3"/>
    <n v="2"/>
    <n v="80"/>
    <n v="0"/>
    <n v="1"/>
    <n v="2"/>
    <n v="3"/>
    <x v="6"/>
    <n v="0"/>
    <n v="0"/>
    <n v="0"/>
    <x v="2"/>
    <x v="1"/>
  </r>
  <r>
    <n v="37"/>
    <x v="1"/>
    <s v="Travel_Rarely"/>
    <n v="921"/>
    <x v="1"/>
    <x v="17"/>
    <n v="3"/>
    <s v="Medical"/>
    <n v="1"/>
    <n v="486"/>
    <n v="3"/>
    <x v="0"/>
    <n v="98"/>
    <n v="3"/>
    <n v="1"/>
    <x v="2"/>
    <x v="3"/>
    <s v="Married"/>
    <n v="3452"/>
    <n v="17663"/>
    <n v="6"/>
    <s v="Y"/>
    <s v="No"/>
    <n v="20"/>
    <n v="4"/>
    <n v="2"/>
    <n v="80"/>
    <n v="1"/>
    <n v="17"/>
    <n v="3"/>
    <n v="3"/>
    <x v="8"/>
    <n v="4"/>
    <n v="0"/>
    <n v="3"/>
    <x v="0"/>
    <x v="0"/>
  </r>
  <r>
    <n v="46"/>
    <x v="1"/>
    <s v="Non-Travel"/>
    <n v="1144"/>
    <x v="1"/>
    <x v="15"/>
    <n v="4"/>
    <s v="Medical"/>
    <n v="1"/>
    <n v="487"/>
    <n v="3"/>
    <x v="0"/>
    <n v="30"/>
    <n v="3"/>
    <n v="2"/>
    <x v="3"/>
    <x v="2"/>
    <s v="Married"/>
    <n v="5258"/>
    <n v="16044"/>
    <n v="2"/>
    <s v="Y"/>
    <s v="No"/>
    <n v="14"/>
    <n v="3"/>
    <n v="3"/>
    <n v="80"/>
    <n v="0"/>
    <n v="7"/>
    <n v="2"/>
    <n v="4"/>
    <x v="6"/>
    <n v="0"/>
    <n v="0"/>
    <n v="0"/>
    <x v="1"/>
    <x v="0"/>
  </r>
  <r>
    <n v="41"/>
    <x v="0"/>
    <s v="Travel_Frequently"/>
    <n v="143"/>
    <x v="0"/>
    <x v="18"/>
    <n v="3"/>
    <s v="Marketing"/>
    <n v="1"/>
    <n v="488"/>
    <n v="1"/>
    <x v="1"/>
    <n v="56"/>
    <n v="3"/>
    <n v="2"/>
    <x v="0"/>
    <x v="1"/>
    <s v="Single"/>
    <n v="9355"/>
    <n v="9558"/>
    <n v="1"/>
    <s v="Y"/>
    <s v="No"/>
    <n v="18"/>
    <n v="3"/>
    <n v="3"/>
    <n v="80"/>
    <n v="0"/>
    <n v="8"/>
    <n v="5"/>
    <n v="3"/>
    <x v="3"/>
    <n v="7"/>
    <n v="7"/>
    <n v="7"/>
    <x v="0"/>
    <x v="2"/>
  </r>
  <r>
    <n v="50"/>
    <x v="1"/>
    <s v="Travel_Rarely"/>
    <n v="1046"/>
    <x v="1"/>
    <x v="17"/>
    <n v="3"/>
    <s v="Technical Degree"/>
    <n v="1"/>
    <n v="491"/>
    <n v="4"/>
    <x v="1"/>
    <n v="100"/>
    <n v="2"/>
    <n v="3"/>
    <x v="4"/>
    <x v="0"/>
    <s v="Single"/>
    <n v="10496"/>
    <n v="2755"/>
    <n v="6"/>
    <s v="Y"/>
    <s v="No"/>
    <n v="15"/>
    <n v="3"/>
    <n v="4"/>
    <n v="80"/>
    <n v="0"/>
    <n v="20"/>
    <n v="2"/>
    <n v="3"/>
    <x v="9"/>
    <n v="3"/>
    <n v="1"/>
    <n v="3"/>
    <x v="1"/>
    <x v="2"/>
  </r>
  <r>
    <n v="40"/>
    <x v="0"/>
    <s v="Travel_Rarely"/>
    <n v="575"/>
    <x v="0"/>
    <x v="23"/>
    <n v="2"/>
    <s v="Marketing"/>
    <n v="1"/>
    <n v="492"/>
    <n v="3"/>
    <x v="1"/>
    <n v="68"/>
    <n v="2"/>
    <n v="2"/>
    <x v="0"/>
    <x v="2"/>
    <s v="Married"/>
    <n v="6380"/>
    <n v="6110"/>
    <n v="2"/>
    <s v="Y"/>
    <s v="Yes"/>
    <n v="12"/>
    <n v="3"/>
    <n v="1"/>
    <n v="80"/>
    <n v="2"/>
    <n v="8"/>
    <n v="6"/>
    <n v="3"/>
    <x v="0"/>
    <n v="4"/>
    <n v="1"/>
    <n v="0"/>
    <x v="0"/>
    <x v="4"/>
  </r>
  <r>
    <n v="31"/>
    <x v="1"/>
    <s v="Travel_Rarely"/>
    <n v="408"/>
    <x v="1"/>
    <x v="14"/>
    <n v="4"/>
    <s v="Life Sciences"/>
    <n v="1"/>
    <n v="493"/>
    <n v="3"/>
    <x v="1"/>
    <n v="42"/>
    <n v="2"/>
    <n v="1"/>
    <x v="1"/>
    <x v="1"/>
    <s v="Single"/>
    <n v="2657"/>
    <n v="7551"/>
    <n v="0"/>
    <s v="Y"/>
    <s v="Yes"/>
    <n v="16"/>
    <n v="3"/>
    <n v="4"/>
    <n v="80"/>
    <n v="0"/>
    <n v="3"/>
    <n v="5"/>
    <n v="3"/>
    <x v="4"/>
    <n v="2"/>
    <n v="2"/>
    <n v="2"/>
    <x v="2"/>
    <x v="1"/>
  </r>
  <r>
    <n v="21"/>
    <x v="0"/>
    <s v="Travel_Rarely"/>
    <n v="156"/>
    <x v="0"/>
    <x v="20"/>
    <n v="3"/>
    <s v="Life Sciences"/>
    <n v="1"/>
    <n v="494"/>
    <n v="3"/>
    <x v="0"/>
    <n v="90"/>
    <n v="4"/>
    <n v="1"/>
    <x v="6"/>
    <x v="1"/>
    <s v="Single"/>
    <n v="2716"/>
    <n v="25422"/>
    <n v="1"/>
    <s v="Y"/>
    <s v="No"/>
    <n v="15"/>
    <n v="3"/>
    <n v="4"/>
    <n v="80"/>
    <n v="0"/>
    <n v="1"/>
    <n v="0"/>
    <n v="3"/>
    <x v="6"/>
    <n v="0"/>
    <n v="0"/>
    <n v="0"/>
    <x v="4"/>
    <x v="1"/>
  </r>
  <r>
    <n v="29"/>
    <x v="1"/>
    <s v="Travel_Rarely"/>
    <n v="1283"/>
    <x v="1"/>
    <x v="5"/>
    <n v="3"/>
    <s v="Life Sciences"/>
    <n v="1"/>
    <n v="495"/>
    <n v="4"/>
    <x v="1"/>
    <n v="54"/>
    <n v="3"/>
    <n v="1"/>
    <x v="1"/>
    <x v="0"/>
    <s v="Single"/>
    <n v="2201"/>
    <n v="18168"/>
    <n v="9"/>
    <s v="Y"/>
    <s v="No"/>
    <n v="16"/>
    <n v="3"/>
    <n v="4"/>
    <n v="80"/>
    <n v="0"/>
    <n v="6"/>
    <n v="4"/>
    <n v="3"/>
    <x v="11"/>
    <n v="2"/>
    <n v="1"/>
    <n v="2"/>
    <x v="2"/>
    <x v="1"/>
  </r>
  <r>
    <n v="35"/>
    <x v="1"/>
    <s v="Travel_Rarely"/>
    <n v="755"/>
    <x v="1"/>
    <x v="14"/>
    <n v="4"/>
    <s v="Life Sciences"/>
    <n v="1"/>
    <n v="496"/>
    <n v="3"/>
    <x v="1"/>
    <n v="97"/>
    <n v="2"/>
    <n v="2"/>
    <x v="4"/>
    <x v="1"/>
    <s v="Single"/>
    <n v="6540"/>
    <n v="19394"/>
    <n v="9"/>
    <s v="Y"/>
    <s v="No"/>
    <n v="19"/>
    <n v="3"/>
    <n v="3"/>
    <n v="80"/>
    <n v="0"/>
    <n v="10"/>
    <n v="5"/>
    <n v="3"/>
    <x v="6"/>
    <n v="1"/>
    <n v="0"/>
    <n v="0"/>
    <x v="0"/>
    <x v="4"/>
  </r>
  <r>
    <n v="27"/>
    <x v="1"/>
    <s v="Travel_Rarely"/>
    <n v="1469"/>
    <x v="1"/>
    <x v="0"/>
    <n v="2"/>
    <s v="Medical"/>
    <n v="1"/>
    <n v="497"/>
    <n v="4"/>
    <x v="1"/>
    <n v="82"/>
    <n v="3"/>
    <n v="1"/>
    <x v="2"/>
    <x v="1"/>
    <s v="Divorced"/>
    <n v="3816"/>
    <n v="17881"/>
    <n v="1"/>
    <s v="Y"/>
    <s v="No"/>
    <n v="11"/>
    <n v="3"/>
    <n v="2"/>
    <n v="80"/>
    <n v="1"/>
    <n v="5"/>
    <n v="2"/>
    <n v="3"/>
    <x v="8"/>
    <n v="2"/>
    <n v="0"/>
    <n v="4"/>
    <x v="2"/>
    <x v="0"/>
  </r>
  <r>
    <n v="28"/>
    <x v="1"/>
    <s v="Travel_Rarely"/>
    <n v="304"/>
    <x v="0"/>
    <x v="14"/>
    <n v="4"/>
    <s v="Life Sciences"/>
    <n v="1"/>
    <n v="498"/>
    <n v="2"/>
    <x v="1"/>
    <n v="92"/>
    <n v="3"/>
    <n v="2"/>
    <x v="0"/>
    <x v="0"/>
    <s v="Single"/>
    <n v="5253"/>
    <n v="20750"/>
    <n v="1"/>
    <s v="Y"/>
    <s v="No"/>
    <n v="16"/>
    <n v="3"/>
    <n v="4"/>
    <n v="80"/>
    <n v="0"/>
    <n v="7"/>
    <n v="1"/>
    <n v="3"/>
    <x v="5"/>
    <n v="5"/>
    <n v="0"/>
    <n v="7"/>
    <x v="2"/>
    <x v="0"/>
  </r>
  <r>
    <n v="49"/>
    <x v="1"/>
    <s v="Travel_Rarely"/>
    <n v="1261"/>
    <x v="1"/>
    <x v="15"/>
    <n v="3"/>
    <s v="Other"/>
    <n v="1"/>
    <n v="499"/>
    <n v="2"/>
    <x v="1"/>
    <n v="31"/>
    <n v="2"/>
    <n v="3"/>
    <x v="4"/>
    <x v="2"/>
    <s v="Single"/>
    <n v="10965"/>
    <n v="12066"/>
    <n v="8"/>
    <s v="Y"/>
    <s v="No"/>
    <n v="24"/>
    <n v="4"/>
    <n v="3"/>
    <n v="80"/>
    <n v="0"/>
    <n v="26"/>
    <n v="2"/>
    <n v="3"/>
    <x v="8"/>
    <n v="2"/>
    <n v="0"/>
    <n v="0"/>
    <x v="1"/>
    <x v="2"/>
  </r>
  <r>
    <n v="51"/>
    <x v="1"/>
    <s v="Travel_Rarely"/>
    <n v="1178"/>
    <x v="0"/>
    <x v="24"/>
    <n v="2"/>
    <s v="Life Sciences"/>
    <n v="1"/>
    <n v="500"/>
    <n v="3"/>
    <x v="0"/>
    <n v="87"/>
    <n v="3"/>
    <n v="2"/>
    <x v="0"/>
    <x v="0"/>
    <s v="Married"/>
    <n v="4936"/>
    <n v="14862"/>
    <n v="4"/>
    <s v="Y"/>
    <s v="No"/>
    <n v="11"/>
    <n v="3"/>
    <n v="3"/>
    <n v="80"/>
    <n v="1"/>
    <n v="18"/>
    <n v="2"/>
    <n v="2"/>
    <x v="5"/>
    <n v="7"/>
    <n v="0"/>
    <n v="7"/>
    <x v="1"/>
    <x v="0"/>
  </r>
  <r>
    <n v="36"/>
    <x v="1"/>
    <s v="Travel_Rarely"/>
    <n v="329"/>
    <x v="1"/>
    <x v="2"/>
    <n v="3"/>
    <s v="Life Sciences"/>
    <n v="1"/>
    <n v="501"/>
    <n v="4"/>
    <x v="0"/>
    <n v="96"/>
    <n v="3"/>
    <n v="1"/>
    <x v="1"/>
    <x v="2"/>
    <s v="Married"/>
    <n v="2543"/>
    <n v="11868"/>
    <n v="4"/>
    <s v="Y"/>
    <s v="No"/>
    <n v="13"/>
    <n v="3"/>
    <n v="2"/>
    <n v="80"/>
    <n v="1"/>
    <n v="6"/>
    <n v="3"/>
    <n v="3"/>
    <x v="4"/>
    <n v="2"/>
    <n v="2"/>
    <n v="2"/>
    <x v="0"/>
    <x v="1"/>
  </r>
  <r>
    <n v="34"/>
    <x v="0"/>
    <s v="Non-Travel"/>
    <n v="1362"/>
    <x v="0"/>
    <x v="10"/>
    <n v="3"/>
    <s v="Marketing"/>
    <n v="1"/>
    <n v="502"/>
    <n v="1"/>
    <x v="1"/>
    <n v="67"/>
    <n v="4"/>
    <n v="2"/>
    <x v="0"/>
    <x v="0"/>
    <s v="Single"/>
    <n v="5304"/>
    <n v="4652"/>
    <n v="8"/>
    <s v="Y"/>
    <s v="Yes"/>
    <n v="13"/>
    <n v="3"/>
    <n v="2"/>
    <n v="80"/>
    <n v="0"/>
    <n v="9"/>
    <n v="3"/>
    <n v="2"/>
    <x v="8"/>
    <n v="2"/>
    <n v="0"/>
    <n v="4"/>
    <x v="2"/>
    <x v="0"/>
  </r>
  <r>
    <n v="55"/>
    <x v="1"/>
    <s v="Travel_Rarely"/>
    <n v="1311"/>
    <x v="1"/>
    <x v="2"/>
    <n v="3"/>
    <s v="Life Sciences"/>
    <n v="1"/>
    <n v="505"/>
    <n v="3"/>
    <x v="0"/>
    <n v="97"/>
    <n v="3"/>
    <n v="4"/>
    <x v="5"/>
    <x v="0"/>
    <s v="Single"/>
    <n v="16659"/>
    <n v="23258"/>
    <n v="2"/>
    <s v="Y"/>
    <s v="Yes"/>
    <n v="13"/>
    <n v="3"/>
    <n v="3"/>
    <n v="80"/>
    <n v="0"/>
    <n v="30"/>
    <n v="2"/>
    <n v="3"/>
    <x v="8"/>
    <n v="4"/>
    <n v="1"/>
    <n v="2"/>
    <x v="3"/>
    <x v="3"/>
  </r>
  <r>
    <n v="24"/>
    <x v="1"/>
    <s v="Travel_Rarely"/>
    <n v="1371"/>
    <x v="0"/>
    <x v="17"/>
    <n v="4"/>
    <s v="Marketing"/>
    <n v="1"/>
    <n v="507"/>
    <n v="4"/>
    <x v="0"/>
    <n v="77"/>
    <n v="3"/>
    <n v="2"/>
    <x v="0"/>
    <x v="2"/>
    <s v="Divorced"/>
    <n v="4260"/>
    <n v="5915"/>
    <n v="1"/>
    <s v="Y"/>
    <s v="Yes"/>
    <n v="12"/>
    <n v="3"/>
    <n v="4"/>
    <n v="80"/>
    <n v="1"/>
    <n v="5"/>
    <n v="2"/>
    <n v="4"/>
    <x v="8"/>
    <n v="2"/>
    <n v="0"/>
    <n v="3"/>
    <x v="4"/>
    <x v="0"/>
  </r>
  <r>
    <n v="30"/>
    <x v="1"/>
    <s v="Travel_Rarely"/>
    <n v="202"/>
    <x v="0"/>
    <x v="2"/>
    <n v="1"/>
    <s v="Technical Degree"/>
    <n v="1"/>
    <n v="508"/>
    <n v="3"/>
    <x v="1"/>
    <n v="72"/>
    <n v="3"/>
    <n v="1"/>
    <x v="6"/>
    <x v="1"/>
    <s v="Married"/>
    <n v="2476"/>
    <n v="17434"/>
    <n v="1"/>
    <s v="Y"/>
    <s v="No"/>
    <n v="18"/>
    <n v="3"/>
    <n v="1"/>
    <n v="80"/>
    <n v="1"/>
    <n v="1"/>
    <n v="3"/>
    <n v="3"/>
    <x v="6"/>
    <n v="0"/>
    <n v="0"/>
    <n v="0"/>
    <x v="2"/>
    <x v="1"/>
  </r>
  <r>
    <n v="26"/>
    <x v="0"/>
    <s v="Travel_Frequently"/>
    <n v="575"/>
    <x v="1"/>
    <x v="3"/>
    <n v="1"/>
    <s v="Technical Degree"/>
    <n v="1"/>
    <n v="510"/>
    <n v="3"/>
    <x v="1"/>
    <n v="73"/>
    <n v="3"/>
    <n v="1"/>
    <x v="1"/>
    <x v="3"/>
    <s v="Single"/>
    <n v="3102"/>
    <n v="6582"/>
    <n v="0"/>
    <s v="Y"/>
    <s v="No"/>
    <n v="22"/>
    <n v="4"/>
    <n v="3"/>
    <n v="80"/>
    <n v="0"/>
    <n v="7"/>
    <n v="2"/>
    <n v="3"/>
    <x v="0"/>
    <n v="4"/>
    <n v="0"/>
    <n v="4"/>
    <x v="2"/>
    <x v="0"/>
  </r>
  <r>
    <n v="22"/>
    <x v="1"/>
    <s v="Travel_Rarely"/>
    <n v="253"/>
    <x v="1"/>
    <x v="13"/>
    <n v="3"/>
    <s v="Medical"/>
    <n v="1"/>
    <n v="511"/>
    <n v="1"/>
    <x v="0"/>
    <n v="43"/>
    <n v="3"/>
    <n v="1"/>
    <x v="1"/>
    <x v="1"/>
    <s v="Married"/>
    <n v="2244"/>
    <n v="24440"/>
    <n v="1"/>
    <s v="Y"/>
    <s v="No"/>
    <n v="13"/>
    <n v="3"/>
    <n v="4"/>
    <n v="80"/>
    <n v="1"/>
    <n v="2"/>
    <n v="1"/>
    <n v="3"/>
    <x v="4"/>
    <n v="1"/>
    <n v="1"/>
    <n v="2"/>
    <x v="4"/>
    <x v="1"/>
  </r>
  <r>
    <n v="36"/>
    <x v="1"/>
    <s v="Travel_Rarely"/>
    <n v="164"/>
    <x v="0"/>
    <x v="2"/>
    <n v="2"/>
    <s v="Medical"/>
    <n v="1"/>
    <n v="513"/>
    <n v="2"/>
    <x v="1"/>
    <n v="61"/>
    <n v="2"/>
    <n v="3"/>
    <x v="0"/>
    <x v="2"/>
    <s v="Married"/>
    <n v="7596"/>
    <n v="3809"/>
    <n v="1"/>
    <s v="Y"/>
    <s v="No"/>
    <n v="13"/>
    <n v="3"/>
    <n v="2"/>
    <n v="80"/>
    <n v="2"/>
    <n v="10"/>
    <n v="2"/>
    <n v="3"/>
    <x v="1"/>
    <n v="9"/>
    <n v="9"/>
    <n v="0"/>
    <x v="0"/>
    <x v="4"/>
  </r>
  <r>
    <n v="30"/>
    <x v="0"/>
    <s v="Travel_Frequently"/>
    <n v="464"/>
    <x v="1"/>
    <x v="18"/>
    <n v="3"/>
    <s v="Technical Degree"/>
    <n v="1"/>
    <n v="514"/>
    <n v="3"/>
    <x v="1"/>
    <n v="40"/>
    <n v="3"/>
    <n v="1"/>
    <x v="1"/>
    <x v="0"/>
    <s v="Single"/>
    <n v="2285"/>
    <n v="3427"/>
    <n v="9"/>
    <s v="Y"/>
    <s v="Yes"/>
    <n v="23"/>
    <n v="4"/>
    <n v="3"/>
    <n v="80"/>
    <n v="0"/>
    <n v="3"/>
    <n v="4"/>
    <n v="3"/>
    <x v="6"/>
    <n v="0"/>
    <n v="0"/>
    <n v="0"/>
    <x v="2"/>
    <x v="1"/>
  </r>
  <r>
    <n v="37"/>
    <x v="1"/>
    <s v="Travel_Rarely"/>
    <n v="1107"/>
    <x v="1"/>
    <x v="24"/>
    <n v="3"/>
    <s v="Life Sciences"/>
    <n v="1"/>
    <n v="515"/>
    <n v="4"/>
    <x v="0"/>
    <n v="95"/>
    <n v="3"/>
    <n v="1"/>
    <x v="2"/>
    <x v="3"/>
    <s v="Divorced"/>
    <n v="3034"/>
    <n v="26914"/>
    <n v="1"/>
    <s v="Y"/>
    <s v="No"/>
    <n v="12"/>
    <n v="3"/>
    <n v="3"/>
    <n v="80"/>
    <n v="1"/>
    <n v="18"/>
    <n v="2"/>
    <n v="2"/>
    <x v="29"/>
    <n v="7"/>
    <n v="12"/>
    <n v="17"/>
    <x v="0"/>
    <x v="0"/>
  </r>
  <r>
    <n v="40"/>
    <x v="1"/>
    <s v="Travel_Rarely"/>
    <n v="759"/>
    <x v="0"/>
    <x v="2"/>
    <n v="2"/>
    <s v="Marketing"/>
    <n v="1"/>
    <n v="516"/>
    <n v="4"/>
    <x v="0"/>
    <n v="46"/>
    <n v="3"/>
    <n v="2"/>
    <x v="0"/>
    <x v="1"/>
    <s v="Divorced"/>
    <n v="5715"/>
    <n v="22553"/>
    <n v="7"/>
    <s v="Y"/>
    <s v="No"/>
    <n v="12"/>
    <n v="3"/>
    <n v="3"/>
    <n v="80"/>
    <n v="2"/>
    <n v="8"/>
    <n v="5"/>
    <n v="3"/>
    <x v="8"/>
    <n v="4"/>
    <n v="1"/>
    <n v="3"/>
    <x v="0"/>
    <x v="0"/>
  </r>
  <r>
    <n v="42"/>
    <x v="1"/>
    <s v="Travel_Rarely"/>
    <n v="201"/>
    <x v="1"/>
    <x v="0"/>
    <n v="4"/>
    <s v="Life Sciences"/>
    <n v="1"/>
    <n v="517"/>
    <n v="2"/>
    <x v="0"/>
    <n v="95"/>
    <n v="3"/>
    <n v="1"/>
    <x v="2"/>
    <x v="3"/>
    <s v="Divorced"/>
    <n v="2576"/>
    <n v="20490"/>
    <n v="3"/>
    <s v="Y"/>
    <s v="No"/>
    <n v="16"/>
    <n v="3"/>
    <n v="2"/>
    <n v="80"/>
    <n v="1"/>
    <n v="8"/>
    <n v="5"/>
    <n v="3"/>
    <x v="8"/>
    <n v="2"/>
    <n v="1"/>
    <n v="2"/>
    <x v="0"/>
    <x v="1"/>
  </r>
  <r>
    <n v="37"/>
    <x v="1"/>
    <s v="Travel_Rarely"/>
    <n v="1305"/>
    <x v="1"/>
    <x v="17"/>
    <n v="4"/>
    <s v="Life Sciences"/>
    <n v="1"/>
    <n v="518"/>
    <n v="3"/>
    <x v="1"/>
    <n v="49"/>
    <n v="3"/>
    <n v="2"/>
    <x v="3"/>
    <x v="1"/>
    <s v="Single"/>
    <n v="4197"/>
    <n v="21123"/>
    <n v="2"/>
    <s v="Y"/>
    <s v="Yes"/>
    <n v="12"/>
    <n v="3"/>
    <n v="4"/>
    <n v="80"/>
    <n v="0"/>
    <n v="18"/>
    <n v="2"/>
    <n v="2"/>
    <x v="6"/>
    <n v="0"/>
    <n v="0"/>
    <n v="1"/>
    <x v="0"/>
    <x v="0"/>
  </r>
  <r>
    <n v="43"/>
    <x v="1"/>
    <s v="Travel_Rarely"/>
    <n v="982"/>
    <x v="1"/>
    <x v="20"/>
    <n v="3"/>
    <s v="Life Sciences"/>
    <n v="1"/>
    <n v="520"/>
    <n v="1"/>
    <x v="1"/>
    <n v="59"/>
    <n v="2"/>
    <n v="4"/>
    <x v="7"/>
    <x v="1"/>
    <s v="Divorced"/>
    <n v="14336"/>
    <n v="4345"/>
    <n v="1"/>
    <s v="Y"/>
    <s v="No"/>
    <n v="11"/>
    <n v="3"/>
    <n v="3"/>
    <n v="80"/>
    <n v="1"/>
    <n v="25"/>
    <n v="3"/>
    <n v="3"/>
    <x v="10"/>
    <n v="10"/>
    <n v="3"/>
    <n v="9"/>
    <x v="0"/>
    <x v="3"/>
  </r>
  <r>
    <n v="40"/>
    <x v="1"/>
    <s v="Travel_Rarely"/>
    <n v="555"/>
    <x v="1"/>
    <x v="2"/>
    <n v="3"/>
    <s v="Medical"/>
    <n v="1"/>
    <n v="521"/>
    <n v="2"/>
    <x v="0"/>
    <n v="78"/>
    <n v="2"/>
    <n v="2"/>
    <x v="2"/>
    <x v="2"/>
    <s v="Married"/>
    <n v="3448"/>
    <n v="13436"/>
    <n v="6"/>
    <s v="Y"/>
    <s v="No"/>
    <n v="22"/>
    <n v="4"/>
    <n v="2"/>
    <n v="80"/>
    <n v="1"/>
    <n v="20"/>
    <n v="3"/>
    <n v="3"/>
    <x v="6"/>
    <n v="0"/>
    <n v="0"/>
    <n v="0"/>
    <x v="0"/>
    <x v="0"/>
  </r>
  <r>
    <n v="54"/>
    <x v="1"/>
    <s v="Travel_Rarely"/>
    <n v="821"/>
    <x v="1"/>
    <x v="12"/>
    <n v="2"/>
    <s v="Medical"/>
    <n v="1"/>
    <n v="522"/>
    <n v="1"/>
    <x v="1"/>
    <n v="86"/>
    <n v="3"/>
    <n v="5"/>
    <x v="7"/>
    <x v="3"/>
    <s v="Married"/>
    <n v="19406"/>
    <n v="8509"/>
    <n v="4"/>
    <s v="Y"/>
    <s v="No"/>
    <n v="11"/>
    <n v="3"/>
    <n v="3"/>
    <n v="80"/>
    <n v="1"/>
    <n v="24"/>
    <n v="4"/>
    <n v="2"/>
    <x v="9"/>
    <n v="2"/>
    <n v="1"/>
    <n v="2"/>
    <x v="1"/>
    <x v="3"/>
  </r>
  <r>
    <n v="34"/>
    <x v="1"/>
    <s v="Non-Travel"/>
    <n v="1381"/>
    <x v="0"/>
    <x v="18"/>
    <n v="4"/>
    <s v="Marketing"/>
    <n v="1"/>
    <n v="523"/>
    <n v="3"/>
    <x v="0"/>
    <n v="72"/>
    <n v="3"/>
    <n v="2"/>
    <x v="0"/>
    <x v="2"/>
    <s v="Married"/>
    <n v="6538"/>
    <n v="12740"/>
    <n v="9"/>
    <s v="Y"/>
    <s v="No"/>
    <n v="15"/>
    <n v="3"/>
    <n v="1"/>
    <n v="80"/>
    <n v="1"/>
    <n v="6"/>
    <n v="3"/>
    <n v="3"/>
    <x v="11"/>
    <n v="2"/>
    <n v="1"/>
    <n v="2"/>
    <x v="2"/>
    <x v="4"/>
  </r>
  <r>
    <n v="31"/>
    <x v="1"/>
    <s v="Travel_Rarely"/>
    <n v="480"/>
    <x v="1"/>
    <x v="15"/>
    <n v="2"/>
    <s v="Medical"/>
    <n v="1"/>
    <n v="524"/>
    <n v="2"/>
    <x v="0"/>
    <n v="31"/>
    <n v="3"/>
    <n v="2"/>
    <x v="3"/>
    <x v="3"/>
    <s v="Married"/>
    <n v="4306"/>
    <n v="4156"/>
    <n v="1"/>
    <s v="Y"/>
    <s v="No"/>
    <n v="12"/>
    <n v="3"/>
    <n v="2"/>
    <n v="80"/>
    <n v="1"/>
    <n v="13"/>
    <n v="5"/>
    <n v="1"/>
    <x v="20"/>
    <n v="10"/>
    <n v="3"/>
    <n v="12"/>
    <x v="2"/>
    <x v="0"/>
  </r>
  <r>
    <n v="43"/>
    <x v="1"/>
    <s v="Travel_Frequently"/>
    <n v="313"/>
    <x v="1"/>
    <x v="11"/>
    <n v="3"/>
    <s v="Medical"/>
    <n v="1"/>
    <n v="525"/>
    <n v="4"/>
    <x v="1"/>
    <n v="61"/>
    <n v="3"/>
    <n v="1"/>
    <x v="2"/>
    <x v="0"/>
    <s v="Married"/>
    <n v="2258"/>
    <n v="15238"/>
    <n v="7"/>
    <s v="Y"/>
    <s v="No"/>
    <n v="20"/>
    <n v="4"/>
    <n v="1"/>
    <n v="80"/>
    <n v="1"/>
    <n v="8"/>
    <n v="1"/>
    <n v="3"/>
    <x v="11"/>
    <n v="2"/>
    <n v="1"/>
    <n v="2"/>
    <x v="0"/>
    <x v="1"/>
  </r>
  <r>
    <n v="43"/>
    <x v="1"/>
    <s v="Travel_Rarely"/>
    <n v="1473"/>
    <x v="1"/>
    <x v="1"/>
    <n v="4"/>
    <s v="Other"/>
    <n v="1"/>
    <n v="526"/>
    <n v="3"/>
    <x v="0"/>
    <n v="74"/>
    <n v="3"/>
    <n v="2"/>
    <x v="4"/>
    <x v="2"/>
    <s v="Divorced"/>
    <n v="4522"/>
    <n v="2227"/>
    <n v="4"/>
    <s v="Y"/>
    <s v="Yes"/>
    <n v="14"/>
    <n v="3"/>
    <n v="4"/>
    <n v="80"/>
    <n v="0"/>
    <n v="8"/>
    <n v="3"/>
    <n v="3"/>
    <x v="8"/>
    <n v="2"/>
    <n v="0"/>
    <n v="2"/>
    <x v="0"/>
    <x v="0"/>
  </r>
  <r>
    <n v="25"/>
    <x v="1"/>
    <s v="Travel_Rarely"/>
    <n v="891"/>
    <x v="0"/>
    <x v="18"/>
    <n v="2"/>
    <s v="Life Sciences"/>
    <n v="1"/>
    <n v="527"/>
    <n v="2"/>
    <x v="0"/>
    <n v="99"/>
    <n v="2"/>
    <n v="2"/>
    <x v="0"/>
    <x v="0"/>
    <s v="Single"/>
    <n v="4487"/>
    <n v="12090"/>
    <n v="1"/>
    <s v="Y"/>
    <s v="Yes"/>
    <n v="11"/>
    <n v="3"/>
    <n v="2"/>
    <n v="80"/>
    <n v="0"/>
    <n v="5"/>
    <n v="3"/>
    <n v="3"/>
    <x v="8"/>
    <n v="4"/>
    <n v="1"/>
    <n v="3"/>
    <x v="2"/>
    <x v="0"/>
  </r>
  <r>
    <n v="37"/>
    <x v="1"/>
    <s v="Non-Travel"/>
    <n v="1063"/>
    <x v="1"/>
    <x v="19"/>
    <n v="5"/>
    <s v="Medical"/>
    <n v="1"/>
    <n v="529"/>
    <n v="2"/>
    <x v="0"/>
    <n v="72"/>
    <n v="3"/>
    <n v="2"/>
    <x v="1"/>
    <x v="2"/>
    <s v="Married"/>
    <n v="4449"/>
    <n v="23866"/>
    <n v="3"/>
    <s v="Y"/>
    <s v="Yes"/>
    <n v="15"/>
    <n v="3"/>
    <n v="1"/>
    <n v="80"/>
    <n v="2"/>
    <n v="15"/>
    <n v="2"/>
    <n v="3"/>
    <x v="20"/>
    <n v="11"/>
    <n v="10"/>
    <n v="7"/>
    <x v="0"/>
    <x v="0"/>
  </r>
  <r>
    <n v="31"/>
    <x v="1"/>
    <s v="Travel_Rarely"/>
    <n v="329"/>
    <x v="1"/>
    <x v="0"/>
    <n v="2"/>
    <s v="Life Sciences"/>
    <n v="1"/>
    <n v="530"/>
    <n v="4"/>
    <x v="1"/>
    <n v="98"/>
    <n v="2"/>
    <n v="1"/>
    <x v="2"/>
    <x v="3"/>
    <s v="Married"/>
    <n v="2218"/>
    <n v="16193"/>
    <n v="1"/>
    <s v="Y"/>
    <s v="No"/>
    <n v="12"/>
    <n v="3"/>
    <n v="3"/>
    <n v="80"/>
    <n v="1"/>
    <n v="4"/>
    <n v="3"/>
    <n v="3"/>
    <x v="9"/>
    <n v="2"/>
    <n v="3"/>
    <n v="2"/>
    <x v="2"/>
    <x v="1"/>
  </r>
  <r>
    <n v="39"/>
    <x v="1"/>
    <s v="Travel_Frequently"/>
    <n v="1218"/>
    <x v="1"/>
    <x v="0"/>
    <n v="1"/>
    <s v="Life Sciences"/>
    <n v="1"/>
    <n v="531"/>
    <n v="2"/>
    <x v="1"/>
    <n v="52"/>
    <n v="3"/>
    <n v="5"/>
    <x v="5"/>
    <x v="2"/>
    <s v="Divorced"/>
    <n v="19197"/>
    <n v="8213"/>
    <n v="1"/>
    <s v="Y"/>
    <s v="Yes"/>
    <n v="14"/>
    <n v="3"/>
    <n v="3"/>
    <n v="80"/>
    <n v="1"/>
    <n v="21"/>
    <n v="3"/>
    <n v="3"/>
    <x v="17"/>
    <n v="8"/>
    <n v="1"/>
    <n v="6"/>
    <x v="0"/>
    <x v="3"/>
  </r>
  <r>
    <n v="56"/>
    <x v="1"/>
    <s v="Travel_Frequently"/>
    <n v="906"/>
    <x v="0"/>
    <x v="16"/>
    <n v="3"/>
    <s v="Life Sciences"/>
    <n v="1"/>
    <n v="532"/>
    <n v="3"/>
    <x v="0"/>
    <n v="86"/>
    <n v="4"/>
    <n v="4"/>
    <x v="0"/>
    <x v="3"/>
    <s v="Married"/>
    <n v="13212"/>
    <n v="18256"/>
    <n v="9"/>
    <s v="Y"/>
    <s v="No"/>
    <n v="11"/>
    <n v="3"/>
    <n v="4"/>
    <n v="80"/>
    <n v="3"/>
    <n v="36"/>
    <n v="0"/>
    <n v="2"/>
    <x v="5"/>
    <n v="7"/>
    <n v="7"/>
    <n v="7"/>
    <x v="3"/>
    <x v="3"/>
  </r>
  <r>
    <n v="30"/>
    <x v="1"/>
    <s v="Travel_Rarely"/>
    <n v="1082"/>
    <x v="0"/>
    <x v="20"/>
    <n v="3"/>
    <s v="Technical Degree"/>
    <n v="1"/>
    <n v="533"/>
    <n v="2"/>
    <x v="0"/>
    <n v="83"/>
    <n v="3"/>
    <n v="2"/>
    <x v="0"/>
    <x v="2"/>
    <s v="Single"/>
    <n v="6577"/>
    <n v="19558"/>
    <n v="0"/>
    <s v="Y"/>
    <s v="No"/>
    <n v="11"/>
    <n v="3"/>
    <n v="2"/>
    <n v="80"/>
    <n v="0"/>
    <n v="6"/>
    <n v="6"/>
    <n v="3"/>
    <x v="8"/>
    <n v="4"/>
    <n v="4"/>
    <n v="4"/>
    <x v="2"/>
    <x v="4"/>
  </r>
  <r>
    <n v="41"/>
    <x v="1"/>
    <s v="Travel_Rarely"/>
    <n v="645"/>
    <x v="0"/>
    <x v="0"/>
    <n v="3"/>
    <s v="Marketing"/>
    <n v="1"/>
    <n v="534"/>
    <n v="2"/>
    <x v="1"/>
    <n v="49"/>
    <n v="4"/>
    <n v="3"/>
    <x v="0"/>
    <x v="3"/>
    <s v="Married"/>
    <n v="8392"/>
    <n v="19566"/>
    <n v="1"/>
    <s v="Y"/>
    <s v="No"/>
    <n v="16"/>
    <n v="3"/>
    <n v="3"/>
    <n v="80"/>
    <n v="1"/>
    <n v="10"/>
    <n v="2"/>
    <n v="3"/>
    <x v="1"/>
    <n v="7"/>
    <n v="0"/>
    <n v="7"/>
    <x v="0"/>
    <x v="4"/>
  </r>
  <r>
    <n v="28"/>
    <x v="1"/>
    <s v="Travel_Rarely"/>
    <n v="1300"/>
    <x v="1"/>
    <x v="27"/>
    <n v="2"/>
    <s v="Medical"/>
    <n v="1"/>
    <n v="536"/>
    <n v="3"/>
    <x v="1"/>
    <n v="79"/>
    <n v="3"/>
    <n v="2"/>
    <x v="2"/>
    <x v="3"/>
    <s v="Divorced"/>
    <n v="4558"/>
    <n v="13535"/>
    <n v="1"/>
    <s v="Y"/>
    <s v="No"/>
    <n v="12"/>
    <n v="3"/>
    <n v="4"/>
    <n v="80"/>
    <n v="1"/>
    <n v="10"/>
    <n v="2"/>
    <n v="3"/>
    <x v="1"/>
    <n v="0"/>
    <n v="1"/>
    <n v="8"/>
    <x v="2"/>
    <x v="0"/>
  </r>
  <r>
    <n v="25"/>
    <x v="0"/>
    <s v="Travel_Rarely"/>
    <n v="688"/>
    <x v="1"/>
    <x v="3"/>
    <n v="3"/>
    <s v="Medical"/>
    <n v="1"/>
    <n v="538"/>
    <n v="1"/>
    <x v="1"/>
    <n v="91"/>
    <n v="3"/>
    <n v="1"/>
    <x v="2"/>
    <x v="3"/>
    <s v="Married"/>
    <n v="4031"/>
    <n v="9396"/>
    <n v="5"/>
    <s v="Y"/>
    <s v="No"/>
    <n v="13"/>
    <n v="3"/>
    <n v="3"/>
    <n v="80"/>
    <n v="1"/>
    <n v="6"/>
    <n v="5"/>
    <n v="3"/>
    <x v="4"/>
    <n v="2"/>
    <n v="0"/>
    <n v="2"/>
    <x v="2"/>
    <x v="0"/>
  </r>
  <r>
    <n v="52"/>
    <x v="1"/>
    <s v="Travel_Rarely"/>
    <n v="319"/>
    <x v="1"/>
    <x v="3"/>
    <n v="3"/>
    <s v="Medical"/>
    <n v="1"/>
    <n v="543"/>
    <n v="4"/>
    <x v="1"/>
    <n v="39"/>
    <n v="2"/>
    <n v="3"/>
    <x v="3"/>
    <x v="2"/>
    <s v="Married"/>
    <n v="7969"/>
    <n v="19609"/>
    <n v="2"/>
    <s v="Y"/>
    <s v="Yes"/>
    <n v="14"/>
    <n v="3"/>
    <n v="3"/>
    <n v="80"/>
    <n v="0"/>
    <n v="28"/>
    <n v="4"/>
    <n v="3"/>
    <x v="8"/>
    <n v="4"/>
    <n v="0"/>
    <n v="4"/>
    <x v="1"/>
    <x v="4"/>
  </r>
  <r>
    <n v="45"/>
    <x v="1"/>
    <s v="Travel_Rarely"/>
    <n v="192"/>
    <x v="1"/>
    <x v="17"/>
    <n v="2"/>
    <s v="Life Sciences"/>
    <n v="1"/>
    <n v="544"/>
    <n v="1"/>
    <x v="1"/>
    <n v="69"/>
    <n v="3"/>
    <n v="1"/>
    <x v="1"/>
    <x v="0"/>
    <s v="Married"/>
    <n v="2654"/>
    <n v="9655"/>
    <n v="3"/>
    <s v="Y"/>
    <s v="No"/>
    <n v="21"/>
    <n v="4"/>
    <n v="4"/>
    <n v="80"/>
    <n v="2"/>
    <n v="8"/>
    <n v="3"/>
    <n v="2"/>
    <x v="4"/>
    <n v="2"/>
    <n v="0"/>
    <n v="2"/>
    <x v="1"/>
    <x v="1"/>
  </r>
  <r>
    <n v="52"/>
    <x v="1"/>
    <s v="Travel_Rarely"/>
    <n v="1490"/>
    <x v="1"/>
    <x v="18"/>
    <n v="2"/>
    <s v="Life Sciences"/>
    <n v="1"/>
    <n v="546"/>
    <n v="4"/>
    <x v="0"/>
    <n v="30"/>
    <n v="3"/>
    <n v="4"/>
    <x v="5"/>
    <x v="0"/>
    <s v="Married"/>
    <n v="16555"/>
    <n v="10310"/>
    <n v="2"/>
    <s v="Y"/>
    <s v="No"/>
    <n v="13"/>
    <n v="3"/>
    <n v="4"/>
    <n v="80"/>
    <n v="0"/>
    <n v="31"/>
    <n v="2"/>
    <n v="1"/>
    <x v="8"/>
    <n v="2"/>
    <n v="1"/>
    <n v="4"/>
    <x v="1"/>
    <x v="3"/>
  </r>
  <r>
    <n v="42"/>
    <x v="1"/>
    <s v="Travel_Frequently"/>
    <n v="532"/>
    <x v="1"/>
    <x v="22"/>
    <n v="2"/>
    <s v="Life Sciences"/>
    <n v="1"/>
    <n v="547"/>
    <n v="1"/>
    <x v="0"/>
    <n v="92"/>
    <n v="3"/>
    <n v="2"/>
    <x v="1"/>
    <x v="2"/>
    <s v="Divorced"/>
    <n v="4556"/>
    <n v="12932"/>
    <n v="2"/>
    <s v="Y"/>
    <s v="No"/>
    <n v="11"/>
    <n v="3"/>
    <n v="2"/>
    <n v="80"/>
    <n v="1"/>
    <n v="19"/>
    <n v="3"/>
    <n v="3"/>
    <x v="8"/>
    <n v="4"/>
    <n v="0"/>
    <n v="2"/>
    <x v="0"/>
    <x v="0"/>
  </r>
  <r>
    <n v="30"/>
    <x v="1"/>
    <s v="Travel_Rarely"/>
    <n v="317"/>
    <x v="1"/>
    <x v="2"/>
    <n v="3"/>
    <s v="Life Sciences"/>
    <n v="1"/>
    <n v="548"/>
    <n v="3"/>
    <x v="0"/>
    <n v="43"/>
    <n v="1"/>
    <n v="2"/>
    <x v="3"/>
    <x v="0"/>
    <s v="Single"/>
    <n v="6091"/>
    <n v="24793"/>
    <n v="2"/>
    <s v="Y"/>
    <s v="No"/>
    <n v="20"/>
    <n v="4"/>
    <n v="3"/>
    <n v="80"/>
    <n v="0"/>
    <n v="11"/>
    <n v="2"/>
    <n v="3"/>
    <x v="8"/>
    <n v="4"/>
    <n v="0"/>
    <n v="2"/>
    <x v="2"/>
    <x v="4"/>
  </r>
  <r>
    <n v="60"/>
    <x v="1"/>
    <s v="Travel_Rarely"/>
    <n v="422"/>
    <x v="1"/>
    <x v="15"/>
    <n v="3"/>
    <s v="Life Sciences"/>
    <n v="1"/>
    <n v="549"/>
    <n v="1"/>
    <x v="0"/>
    <n v="41"/>
    <n v="3"/>
    <n v="5"/>
    <x v="5"/>
    <x v="3"/>
    <s v="Married"/>
    <n v="19566"/>
    <n v="3854"/>
    <n v="5"/>
    <s v="Y"/>
    <s v="No"/>
    <n v="11"/>
    <n v="3"/>
    <n v="4"/>
    <n v="80"/>
    <n v="0"/>
    <n v="33"/>
    <n v="5"/>
    <n v="1"/>
    <x v="30"/>
    <n v="8"/>
    <n v="11"/>
    <n v="10"/>
    <x v="3"/>
    <x v="3"/>
  </r>
  <r>
    <n v="46"/>
    <x v="1"/>
    <s v="Travel_Rarely"/>
    <n v="1485"/>
    <x v="1"/>
    <x v="21"/>
    <n v="3"/>
    <s v="Medical"/>
    <n v="1"/>
    <n v="550"/>
    <n v="3"/>
    <x v="0"/>
    <n v="87"/>
    <n v="3"/>
    <n v="2"/>
    <x v="3"/>
    <x v="2"/>
    <s v="Divorced"/>
    <n v="4810"/>
    <n v="26314"/>
    <n v="2"/>
    <s v="Y"/>
    <s v="No"/>
    <n v="14"/>
    <n v="3"/>
    <n v="3"/>
    <n v="80"/>
    <n v="1"/>
    <n v="19"/>
    <n v="5"/>
    <n v="2"/>
    <x v="1"/>
    <n v="7"/>
    <n v="0"/>
    <n v="8"/>
    <x v="1"/>
    <x v="0"/>
  </r>
  <r>
    <n v="42"/>
    <x v="1"/>
    <s v="Travel_Frequently"/>
    <n v="1368"/>
    <x v="1"/>
    <x v="26"/>
    <n v="4"/>
    <s v="Technical Degree"/>
    <n v="1"/>
    <n v="551"/>
    <n v="4"/>
    <x v="0"/>
    <n v="88"/>
    <n v="2"/>
    <n v="2"/>
    <x v="4"/>
    <x v="0"/>
    <s v="Married"/>
    <n v="4523"/>
    <n v="4386"/>
    <n v="0"/>
    <s v="Y"/>
    <s v="No"/>
    <n v="11"/>
    <n v="3"/>
    <n v="4"/>
    <n v="80"/>
    <n v="3"/>
    <n v="7"/>
    <n v="4"/>
    <n v="4"/>
    <x v="0"/>
    <n v="5"/>
    <n v="0"/>
    <n v="4"/>
    <x v="0"/>
    <x v="0"/>
  </r>
  <r>
    <n v="24"/>
    <x v="0"/>
    <s v="Travel_Rarely"/>
    <n v="1448"/>
    <x v="0"/>
    <x v="0"/>
    <n v="1"/>
    <s v="Technical Degree"/>
    <n v="1"/>
    <n v="554"/>
    <n v="1"/>
    <x v="0"/>
    <n v="62"/>
    <n v="3"/>
    <n v="1"/>
    <x v="6"/>
    <x v="1"/>
    <s v="Single"/>
    <n v="3202"/>
    <n v="21972"/>
    <n v="1"/>
    <s v="Y"/>
    <s v="Yes"/>
    <n v="16"/>
    <n v="3"/>
    <n v="2"/>
    <n v="80"/>
    <n v="0"/>
    <n v="6"/>
    <n v="4"/>
    <n v="3"/>
    <x v="8"/>
    <n v="3"/>
    <n v="1"/>
    <n v="4"/>
    <x v="4"/>
    <x v="0"/>
  </r>
  <r>
    <n v="34"/>
    <x v="0"/>
    <s v="Travel_Frequently"/>
    <n v="296"/>
    <x v="0"/>
    <x v="16"/>
    <n v="2"/>
    <s v="Marketing"/>
    <n v="1"/>
    <n v="555"/>
    <n v="4"/>
    <x v="0"/>
    <n v="33"/>
    <n v="1"/>
    <n v="1"/>
    <x v="6"/>
    <x v="2"/>
    <s v="Divorced"/>
    <n v="2351"/>
    <n v="12253"/>
    <n v="0"/>
    <s v="Y"/>
    <s v="No"/>
    <n v="16"/>
    <n v="3"/>
    <n v="4"/>
    <n v="80"/>
    <n v="1"/>
    <n v="3"/>
    <n v="3"/>
    <n v="2"/>
    <x v="4"/>
    <n v="2"/>
    <n v="1"/>
    <n v="0"/>
    <x v="2"/>
    <x v="1"/>
  </r>
  <r>
    <n v="38"/>
    <x v="1"/>
    <s v="Travel_Frequently"/>
    <n v="1490"/>
    <x v="1"/>
    <x v="2"/>
    <n v="2"/>
    <s v="Life Sciences"/>
    <n v="1"/>
    <n v="556"/>
    <n v="4"/>
    <x v="1"/>
    <n v="42"/>
    <n v="3"/>
    <n v="1"/>
    <x v="2"/>
    <x v="0"/>
    <s v="Married"/>
    <n v="1702"/>
    <n v="12106"/>
    <n v="1"/>
    <s v="Y"/>
    <s v="Yes"/>
    <n v="23"/>
    <n v="4"/>
    <n v="3"/>
    <n v="80"/>
    <n v="1"/>
    <n v="1"/>
    <n v="3"/>
    <n v="3"/>
    <x v="6"/>
    <n v="0"/>
    <n v="0"/>
    <n v="0"/>
    <x v="0"/>
    <x v="1"/>
  </r>
  <r>
    <n v="40"/>
    <x v="1"/>
    <s v="Travel_Rarely"/>
    <n v="1398"/>
    <x v="0"/>
    <x v="2"/>
    <n v="4"/>
    <s v="Life Sciences"/>
    <n v="1"/>
    <n v="558"/>
    <n v="3"/>
    <x v="0"/>
    <n v="79"/>
    <n v="3"/>
    <n v="5"/>
    <x v="5"/>
    <x v="2"/>
    <s v="Married"/>
    <n v="18041"/>
    <n v="13022"/>
    <n v="0"/>
    <s v="Y"/>
    <s v="No"/>
    <n v="14"/>
    <n v="3"/>
    <n v="4"/>
    <n v="80"/>
    <n v="0"/>
    <n v="21"/>
    <n v="2"/>
    <n v="3"/>
    <x v="23"/>
    <n v="15"/>
    <n v="1"/>
    <n v="12"/>
    <x v="0"/>
    <x v="3"/>
  </r>
  <r>
    <n v="26"/>
    <x v="1"/>
    <s v="Travel_Rarely"/>
    <n v="1349"/>
    <x v="1"/>
    <x v="5"/>
    <n v="3"/>
    <s v="Life Sciences"/>
    <n v="1"/>
    <n v="560"/>
    <n v="1"/>
    <x v="0"/>
    <n v="90"/>
    <n v="3"/>
    <n v="1"/>
    <x v="1"/>
    <x v="0"/>
    <s v="Divorced"/>
    <n v="2886"/>
    <n v="3032"/>
    <n v="1"/>
    <s v="Y"/>
    <s v="No"/>
    <n v="22"/>
    <n v="4"/>
    <n v="2"/>
    <n v="80"/>
    <n v="2"/>
    <n v="3"/>
    <n v="3"/>
    <n v="1"/>
    <x v="11"/>
    <n v="2"/>
    <n v="0"/>
    <n v="2"/>
    <x v="2"/>
    <x v="1"/>
  </r>
  <r>
    <n v="30"/>
    <x v="1"/>
    <s v="Non-Travel"/>
    <n v="1400"/>
    <x v="1"/>
    <x v="3"/>
    <n v="3"/>
    <s v="Life Sciences"/>
    <n v="1"/>
    <n v="562"/>
    <n v="3"/>
    <x v="1"/>
    <n v="53"/>
    <n v="3"/>
    <n v="1"/>
    <x v="2"/>
    <x v="0"/>
    <s v="Married"/>
    <n v="2097"/>
    <n v="16734"/>
    <n v="4"/>
    <s v="Y"/>
    <s v="No"/>
    <n v="15"/>
    <n v="3"/>
    <n v="3"/>
    <n v="80"/>
    <n v="1"/>
    <n v="9"/>
    <n v="3"/>
    <n v="1"/>
    <x v="8"/>
    <n v="3"/>
    <n v="1"/>
    <n v="4"/>
    <x v="2"/>
    <x v="1"/>
  </r>
  <r>
    <n v="29"/>
    <x v="1"/>
    <s v="Travel_Rarely"/>
    <n v="986"/>
    <x v="1"/>
    <x v="3"/>
    <n v="4"/>
    <s v="Medical"/>
    <n v="1"/>
    <n v="564"/>
    <n v="2"/>
    <x v="1"/>
    <n v="93"/>
    <n v="2"/>
    <n v="3"/>
    <x v="7"/>
    <x v="2"/>
    <s v="Married"/>
    <n v="11935"/>
    <n v="21526"/>
    <n v="1"/>
    <s v="Y"/>
    <s v="No"/>
    <n v="18"/>
    <n v="3"/>
    <n v="3"/>
    <n v="80"/>
    <n v="0"/>
    <n v="10"/>
    <n v="2"/>
    <n v="3"/>
    <x v="1"/>
    <n v="2"/>
    <n v="0"/>
    <n v="7"/>
    <x v="2"/>
    <x v="2"/>
  </r>
  <r>
    <n v="29"/>
    <x v="0"/>
    <s v="Travel_Rarely"/>
    <n v="408"/>
    <x v="1"/>
    <x v="19"/>
    <n v="5"/>
    <s v="Technical Degree"/>
    <n v="1"/>
    <n v="565"/>
    <n v="3"/>
    <x v="0"/>
    <n v="71"/>
    <n v="2"/>
    <n v="1"/>
    <x v="1"/>
    <x v="1"/>
    <s v="Married"/>
    <n v="2546"/>
    <n v="18300"/>
    <n v="5"/>
    <s v="Y"/>
    <s v="No"/>
    <n v="16"/>
    <n v="3"/>
    <n v="2"/>
    <n v="80"/>
    <n v="0"/>
    <n v="6"/>
    <n v="2"/>
    <n v="4"/>
    <x v="4"/>
    <n v="2"/>
    <n v="1"/>
    <n v="1"/>
    <x v="2"/>
    <x v="1"/>
  </r>
  <r>
    <n v="19"/>
    <x v="0"/>
    <s v="Travel_Rarely"/>
    <n v="489"/>
    <x v="2"/>
    <x v="2"/>
    <n v="2"/>
    <s v="Technical Degree"/>
    <n v="1"/>
    <n v="566"/>
    <n v="1"/>
    <x v="1"/>
    <n v="52"/>
    <n v="2"/>
    <n v="1"/>
    <x v="8"/>
    <x v="0"/>
    <s v="Single"/>
    <n v="2564"/>
    <n v="18437"/>
    <n v="1"/>
    <s v="Y"/>
    <s v="No"/>
    <n v="12"/>
    <n v="3"/>
    <n v="3"/>
    <n v="80"/>
    <n v="0"/>
    <n v="1"/>
    <n v="3"/>
    <n v="4"/>
    <x v="6"/>
    <n v="0"/>
    <n v="0"/>
    <n v="0"/>
    <x v="4"/>
    <x v="1"/>
  </r>
  <r>
    <n v="30"/>
    <x v="1"/>
    <s v="Non-Travel"/>
    <n v="1398"/>
    <x v="0"/>
    <x v="23"/>
    <n v="4"/>
    <s v="Other"/>
    <n v="1"/>
    <n v="567"/>
    <n v="3"/>
    <x v="0"/>
    <n v="69"/>
    <n v="3"/>
    <n v="3"/>
    <x v="0"/>
    <x v="3"/>
    <s v="Married"/>
    <n v="8412"/>
    <n v="2890"/>
    <n v="0"/>
    <s v="Y"/>
    <s v="No"/>
    <n v="11"/>
    <n v="3"/>
    <n v="3"/>
    <n v="80"/>
    <n v="0"/>
    <n v="10"/>
    <n v="3"/>
    <n v="3"/>
    <x v="7"/>
    <n v="8"/>
    <n v="7"/>
    <n v="8"/>
    <x v="2"/>
    <x v="4"/>
  </r>
  <r>
    <n v="57"/>
    <x v="1"/>
    <s v="Travel_Rarely"/>
    <n v="210"/>
    <x v="0"/>
    <x v="22"/>
    <n v="3"/>
    <s v="Marketing"/>
    <n v="1"/>
    <n v="568"/>
    <n v="1"/>
    <x v="1"/>
    <n v="56"/>
    <n v="2"/>
    <n v="4"/>
    <x v="5"/>
    <x v="0"/>
    <s v="Divorced"/>
    <n v="14118"/>
    <n v="22102"/>
    <n v="3"/>
    <s v="Y"/>
    <s v="No"/>
    <n v="12"/>
    <n v="3"/>
    <n v="3"/>
    <n v="80"/>
    <n v="1"/>
    <n v="32"/>
    <n v="3"/>
    <n v="2"/>
    <x v="6"/>
    <n v="0"/>
    <n v="0"/>
    <n v="0"/>
    <x v="3"/>
    <x v="3"/>
  </r>
  <r>
    <n v="50"/>
    <x v="1"/>
    <s v="Travel_Rarely"/>
    <n v="1099"/>
    <x v="1"/>
    <x v="22"/>
    <n v="4"/>
    <s v="Life Sciences"/>
    <n v="1"/>
    <n v="569"/>
    <n v="2"/>
    <x v="1"/>
    <n v="88"/>
    <n v="2"/>
    <n v="4"/>
    <x v="5"/>
    <x v="2"/>
    <s v="Married"/>
    <n v="17046"/>
    <n v="9314"/>
    <n v="0"/>
    <s v="Y"/>
    <s v="No"/>
    <n v="15"/>
    <n v="3"/>
    <n v="2"/>
    <n v="80"/>
    <n v="1"/>
    <n v="28"/>
    <n v="2"/>
    <n v="3"/>
    <x v="16"/>
    <n v="10"/>
    <n v="15"/>
    <n v="7"/>
    <x v="1"/>
    <x v="3"/>
  </r>
  <r>
    <n v="30"/>
    <x v="1"/>
    <s v="Non-Travel"/>
    <n v="1116"/>
    <x v="1"/>
    <x v="2"/>
    <n v="3"/>
    <s v="Medical"/>
    <n v="1"/>
    <n v="571"/>
    <n v="3"/>
    <x v="0"/>
    <n v="49"/>
    <n v="3"/>
    <n v="1"/>
    <x v="2"/>
    <x v="0"/>
    <s v="Single"/>
    <n v="2564"/>
    <n v="7181"/>
    <n v="0"/>
    <s v="Y"/>
    <s v="No"/>
    <n v="14"/>
    <n v="3"/>
    <n v="3"/>
    <n v="80"/>
    <n v="0"/>
    <n v="12"/>
    <n v="2"/>
    <n v="2"/>
    <x v="19"/>
    <n v="7"/>
    <n v="6"/>
    <n v="7"/>
    <x v="2"/>
    <x v="1"/>
  </r>
  <r>
    <n v="60"/>
    <x v="1"/>
    <s v="Travel_Frequently"/>
    <n v="1499"/>
    <x v="0"/>
    <x v="26"/>
    <n v="3"/>
    <s v="Marketing"/>
    <n v="1"/>
    <n v="573"/>
    <n v="3"/>
    <x v="0"/>
    <n v="80"/>
    <n v="2"/>
    <n v="3"/>
    <x v="0"/>
    <x v="3"/>
    <s v="Married"/>
    <n v="10266"/>
    <n v="2845"/>
    <n v="4"/>
    <s v="Y"/>
    <s v="No"/>
    <n v="19"/>
    <n v="3"/>
    <n v="4"/>
    <n v="80"/>
    <n v="0"/>
    <n v="22"/>
    <n v="5"/>
    <n v="4"/>
    <x v="29"/>
    <n v="13"/>
    <n v="13"/>
    <n v="11"/>
    <x v="3"/>
    <x v="2"/>
  </r>
  <r>
    <n v="47"/>
    <x v="1"/>
    <s v="Travel_Rarely"/>
    <n v="983"/>
    <x v="1"/>
    <x v="2"/>
    <n v="2"/>
    <s v="Medical"/>
    <n v="1"/>
    <n v="574"/>
    <n v="1"/>
    <x v="0"/>
    <n v="65"/>
    <n v="3"/>
    <n v="2"/>
    <x v="3"/>
    <x v="0"/>
    <s v="Divorced"/>
    <n v="5070"/>
    <n v="7389"/>
    <n v="5"/>
    <s v="Y"/>
    <s v="No"/>
    <n v="13"/>
    <n v="3"/>
    <n v="3"/>
    <n v="80"/>
    <n v="3"/>
    <n v="20"/>
    <n v="2"/>
    <n v="3"/>
    <x v="8"/>
    <n v="0"/>
    <n v="0"/>
    <n v="4"/>
    <x v="1"/>
    <x v="0"/>
  </r>
  <r>
    <n v="46"/>
    <x v="1"/>
    <s v="Travel_Rarely"/>
    <n v="1009"/>
    <x v="1"/>
    <x v="2"/>
    <n v="3"/>
    <s v="Life Sciences"/>
    <n v="1"/>
    <n v="575"/>
    <n v="1"/>
    <x v="1"/>
    <n v="51"/>
    <n v="3"/>
    <n v="4"/>
    <x v="7"/>
    <x v="2"/>
    <s v="Married"/>
    <n v="17861"/>
    <n v="2288"/>
    <n v="6"/>
    <s v="Y"/>
    <s v="No"/>
    <n v="13"/>
    <n v="3"/>
    <n v="3"/>
    <n v="80"/>
    <n v="0"/>
    <n v="26"/>
    <n v="2"/>
    <n v="1"/>
    <x v="11"/>
    <n v="2"/>
    <n v="0"/>
    <n v="1"/>
    <x v="1"/>
    <x v="3"/>
  </r>
  <r>
    <n v="35"/>
    <x v="1"/>
    <s v="Travel_Rarely"/>
    <n v="144"/>
    <x v="1"/>
    <x v="23"/>
    <n v="3"/>
    <s v="Life Sciences"/>
    <n v="1"/>
    <n v="577"/>
    <n v="4"/>
    <x v="1"/>
    <n v="46"/>
    <n v="1"/>
    <n v="1"/>
    <x v="2"/>
    <x v="2"/>
    <s v="Single"/>
    <n v="4230"/>
    <n v="19225"/>
    <n v="0"/>
    <s v="Y"/>
    <s v="No"/>
    <n v="15"/>
    <n v="3"/>
    <n v="3"/>
    <n v="80"/>
    <n v="0"/>
    <n v="6"/>
    <n v="2"/>
    <n v="3"/>
    <x v="8"/>
    <n v="4"/>
    <n v="4"/>
    <n v="3"/>
    <x v="0"/>
    <x v="0"/>
  </r>
  <r>
    <n v="54"/>
    <x v="1"/>
    <s v="Travel_Rarely"/>
    <n v="548"/>
    <x v="1"/>
    <x v="1"/>
    <n v="4"/>
    <s v="Life Sciences"/>
    <n v="1"/>
    <n v="578"/>
    <n v="3"/>
    <x v="0"/>
    <n v="42"/>
    <n v="3"/>
    <n v="2"/>
    <x v="2"/>
    <x v="2"/>
    <s v="Single"/>
    <n v="3780"/>
    <n v="23428"/>
    <n v="7"/>
    <s v="Y"/>
    <s v="No"/>
    <n v="11"/>
    <n v="3"/>
    <n v="3"/>
    <n v="80"/>
    <n v="0"/>
    <n v="19"/>
    <n v="3"/>
    <n v="3"/>
    <x v="6"/>
    <n v="0"/>
    <n v="0"/>
    <n v="0"/>
    <x v="1"/>
    <x v="0"/>
  </r>
  <r>
    <n v="34"/>
    <x v="1"/>
    <s v="Travel_Rarely"/>
    <n v="1303"/>
    <x v="1"/>
    <x v="2"/>
    <n v="4"/>
    <s v="Life Sciences"/>
    <n v="1"/>
    <n v="579"/>
    <n v="4"/>
    <x v="1"/>
    <n v="62"/>
    <n v="2"/>
    <n v="1"/>
    <x v="1"/>
    <x v="2"/>
    <s v="Divorced"/>
    <n v="2768"/>
    <n v="8416"/>
    <n v="3"/>
    <s v="Y"/>
    <s v="No"/>
    <n v="12"/>
    <n v="3"/>
    <n v="3"/>
    <n v="80"/>
    <n v="1"/>
    <n v="14"/>
    <n v="3"/>
    <n v="3"/>
    <x v="5"/>
    <n v="3"/>
    <n v="5"/>
    <n v="7"/>
    <x v="2"/>
    <x v="1"/>
  </r>
  <r>
    <n v="46"/>
    <x v="1"/>
    <s v="Travel_Rarely"/>
    <n v="1125"/>
    <x v="0"/>
    <x v="17"/>
    <n v="3"/>
    <s v="Marketing"/>
    <n v="1"/>
    <n v="580"/>
    <n v="3"/>
    <x v="0"/>
    <n v="94"/>
    <n v="2"/>
    <n v="3"/>
    <x v="0"/>
    <x v="0"/>
    <s v="Married"/>
    <n v="9071"/>
    <n v="11563"/>
    <n v="2"/>
    <s v="Y"/>
    <s v="Yes"/>
    <n v="19"/>
    <n v="3"/>
    <n v="3"/>
    <n v="80"/>
    <n v="1"/>
    <n v="15"/>
    <n v="3"/>
    <n v="3"/>
    <x v="11"/>
    <n v="2"/>
    <n v="1"/>
    <n v="2"/>
    <x v="1"/>
    <x v="2"/>
  </r>
  <r>
    <n v="31"/>
    <x v="1"/>
    <s v="Travel_Rarely"/>
    <n v="1274"/>
    <x v="1"/>
    <x v="14"/>
    <n v="1"/>
    <s v="Life Sciences"/>
    <n v="1"/>
    <n v="581"/>
    <n v="3"/>
    <x v="1"/>
    <n v="33"/>
    <n v="3"/>
    <n v="3"/>
    <x v="3"/>
    <x v="1"/>
    <s v="Divorced"/>
    <n v="10648"/>
    <n v="14394"/>
    <n v="1"/>
    <s v="Y"/>
    <s v="No"/>
    <n v="25"/>
    <n v="4"/>
    <n v="4"/>
    <n v="80"/>
    <n v="1"/>
    <n v="13"/>
    <n v="6"/>
    <n v="4"/>
    <x v="20"/>
    <n v="8"/>
    <n v="0"/>
    <n v="8"/>
    <x v="2"/>
    <x v="2"/>
  </r>
  <r>
    <n v="33"/>
    <x v="0"/>
    <s v="Travel_Rarely"/>
    <n v="1277"/>
    <x v="1"/>
    <x v="8"/>
    <n v="1"/>
    <s v="Medical"/>
    <n v="1"/>
    <n v="582"/>
    <n v="2"/>
    <x v="1"/>
    <n v="56"/>
    <n v="3"/>
    <n v="3"/>
    <x v="5"/>
    <x v="2"/>
    <s v="Married"/>
    <n v="13610"/>
    <n v="24619"/>
    <n v="7"/>
    <s v="Y"/>
    <s v="Yes"/>
    <n v="12"/>
    <n v="3"/>
    <n v="4"/>
    <n v="80"/>
    <n v="0"/>
    <n v="15"/>
    <n v="2"/>
    <n v="4"/>
    <x v="5"/>
    <n v="6"/>
    <n v="7"/>
    <n v="7"/>
    <x v="2"/>
    <x v="3"/>
  </r>
  <r>
    <n v="33"/>
    <x v="0"/>
    <s v="Travel_Rarely"/>
    <n v="587"/>
    <x v="1"/>
    <x v="17"/>
    <n v="1"/>
    <s v="Medical"/>
    <n v="1"/>
    <n v="584"/>
    <n v="1"/>
    <x v="1"/>
    <n v="38"/>
    <n v="1"/>
    <n v="1"/>
    <x v="2"/>
    <x v="0"/>
    <s v="Divorced"/>
    <n v="3408"/>
    <n v="6705"/>
    <n v="7"/>
    <s v="Y"/>
    <s v="No"/>
    <n v="13"/>
    <n v="3"/>
    <n v="1"/>
    <n v="80"/>
    <n v="3"/>
    <n v="8"/>
    <n v="2"/>
    <n v="3"/>
    <x v="9"/>
    <n v="3"/>
    <n v="1"/>
    <n v="3"/>
    <x v="2"/>
    <x v="0"/>
  </r>
  <r>
    <n v="30"/>
    <x v="1"/>
    <s v="Travel_Rarely"/>
    <n v="413"/>
    <x v="0"/>
    <x v="15"/>
    <n v="1"/>
    <s v="Marketing"/>
    <n v="1"/>
    <n v="585"/>
    <n v="4"/>
    <x v="1"/>
    <n v="57"/>
    <n v="3"/>
    <n v="1"/>
    <x v="6"/>
    <x v="1"/>
    <s v="Single"/>
    <n v="2983"/>
    <n v="18398"/>
    <n v="0"/>
    <s v="Y"/>
    <s v="No"/>
    <n v="14"/>
    <n v="3"/>
    <n v="1"/>
    <n v="80"/>
    <n v="0"/>
    <n v="4"/>
    <n v="3"/>
    <n v="3"/>
    <x v="11"/>
    <n v="2"/>
    <n v="1"/>
    <n v="2"/>
    <x v="2"/>
    <x v="1"/>
  </r>
  <r>
    <n v="35"/>
    <x v="1"/>
    <s v="Travel_Rarely"/>
    <n v="1276"/>
    <x v="1"/>
    <x v="7"/>
    <n v="3"/>
    <s v="Life Sciences"/>
    <n v="1"/>
    <n v="586"/>
    <n v="4"/>
    <x v="1"/>
    <n v="72"/>
    <n v="3"/>
    <n v="3"/>
    <x v="4"/>
    <x v="2"/>
    <s v="Married"/>
    <n v="7632"/>
    <n v="14295"/>
    <n v="4"/>
    <s v="Y"/>
    <s v="Yes"/>
    <n v="12"/>
    <n v="3"/>
    <n v="3"/>
    <n v="80"/>
    <n v="0"/>
    <n v="10"/>
    <n v="2"/>
    <n v="3"/>
    <x v="3"/>
    <n v="7"/>
    <n v="0"/>
    <n v="0"/>
    <x v="0"/>
    <x v="4"/>
  </r>
  <r>
    <n v="31"/>
    <x v="0"/>
    <s v="Travel_Frequently"/>
    <n v="534"/>
    <x v="1"/>
    <x v="25"/>
    <n v="3"/>
    <s v="Life Sciences"/>
    <n v="1"/>
    <n v="587"/>
    <n v="1"/>
    <x v="1"/>
    <n v="66"/>
    <n v="3"/>
    <n v="3"/>
    <x v="4"/>
    <x v="2"/>
    <s v="Married"/>
    <n v="9824"/>
    <n v="22908"/>
    <n v="3"/>
    <s v="Y"/>
    <s v="No"/>
    <n v="12"/>
    <n v="3"/>
    <n v="1"/>
    <n v="80"/>
    <n v="0"/>
    <n v="12"/>
    <n v="2"/>
    <n v="3"/>
    <x v="6"/>
    <n v="0"/>
    <n v="0"/>
    <n v="0"/>
    <x v="2"/>
    <x v="2"/>
  </r>
  <r>
    <n v="34"/>
    <x v="0"/>
    <s v="Travel_Frequently"/>
    <n v="988"/>
    <x v="2"/>
    <x v="5"/>
    <n v="3"/>
    <s v="Human Resources"/>
    <n v="1"/>
    <n v="590"/>
    <n v="2"/>
    <x v="0"/>
    <n v="43"/>
    <n v="3"/>
    <n v="3"/>
    <x v="8"/>
    <x v="3"/>
    <s v="Divorced"/>
    <n v="9950"/>
    <n v="11533"/>
    <n v="9"/>
    <s v="Y"/>
    <s v="Yes"/>
    <n v="15"/>
    <n v="3"/>
    <n v="3"/>
    <n v="80"/>
    <n v="3"/>
    <n v="11"/>
    <n v="2"/>
    <n v="3"/>
    <x v="11"/>
    <n v="2"/>
    <n v="0"/>
    <n v="2"/>
    <x v="2"/>
    <x v="2"/>
  </r>
  <r>
    <n v="42"/>
    <x v="1"/>
    <s v="Travel_Frequently"/>
    <n v="1474"/>
    <x v="1"/>
    <x v="12"/>
    <n v="2"/>
    <s v="Other"/>
    <n v="1"/>
    <n v="591"/>
    <n v="2"/>
    <x v="1"/>
    <n v="97"/>
    <n v="3"/>
    <n v="1"/>
    <x v="2"/>
    <x v="2"/>
    <s v="Married"/>
    <n v="2093"/>
    <n v="9260"/>
    <n v="4"/>
    <s v="Y"/>
    <s v="No"/>
    <n v="17"/>
    <n v="3"/>
    <n v="4"/>
    <n v="80"/>
    <n v="1"/>
    <n v="8"/>
    <n v="4"/>
    <n v="3"/>
    <x v="4"/>
    <n v="2"/>
    <n v="2"/>
    <n v="0"/>
    <x v="0"/>
    <x v="1"/>
  </r>
  <r>
    <n v="36"/>
    <x v="1"/>
    <s v="Non-Travel"/>
    <n v="635"/>
    <x v="0"/>
    <x v="17"/>
    <n v="4"/>
    <s v="Medical"/>
    <n v="1"/>
    <n v="592"/>
    <n v="2"/>
    <x v="1"/>
    <n v="32"/>
    <n v="3"/>
    <n v="3"/>
    <x v="0"/>
    <x v="0"/>
    <s v="Single"/>
    <n v="9980"/>
    <n v="15318"/>
    <n v="1"/>
    <s v="Y"/>
    <s v="No"/>
    <n v="14"/>
    <n v="3"/>
    <n v="4"/>
    <n v="80"/>
    <n v="0"/>
    <n v="10"/>
    <n v="3"/>
    <n v="2"/>
    <x v="1"/>
    <n v="3"/>
    <n v="9"/>
    <n v="7"/>
    <x v="0"/>
    <x v="2"/>
  </r>
  <r>
    <n v="22"/>
    <x v="0"/>
    <s v="Travel_Frequently"/>
    <n v="1368"/>
    <x v="1"/>
    <x v="18"/>
    <n v="1"/>
    <s v="Technical Degree"/>
    <n v="1"/>
    <n v="593"/>
    <n v="3"/>
    <x v="1"/>
    <n v="99"/>
    <n v="2"/>
    <n v="1"/>
    <x v="2"/>
    <x v="2"/>
    <s v="Single"/>
    <n v="3894"/>
    <n v="9129"/>
    <n v="5"/>
    <s v="Y"/>
    <s v="No"/>
    <n v="16"/>
    <n v="3"/>
    <n v="3"/>
    <n v="80"/>
    <n v="0"/>
    <n v="4"/>
    <n v="3"/>
    <n v="3"/>
    <x v="4"/>
    <n v="2"/>
    <n v="1"/>
    <n v="2"/>
    <x v="4"/>
    <x v="0"/>
  </r>
  <r>
    <n v="48"/>
    <x v="1"/>
    <s v="Travel_Rarely"/>
    <n v="163"/>
    <x v="0"/>
    <x v="2"/>
    <n v="5"/>
    <s v="Marketing"/>
    <n v="1"/>
    <n v="595"/>
    <n v="2"/>
    <x v="0"/>
    <n v="37"/>
    <n v="3"/>
    <n v="2"/>
    <x v="0"/>
    <x v="0"/>
    <s v="Married"/>
    <n v="4051"/>
    <n v="19658"/>
    <n v="2"/>
    <s v="Y"/>
    <s v="No"/>
    <n v="14"/>
    <n v="3"/>
    <n v="1"/>
    <n v="80"/>
    <n v="1"/>
    <n v="14"/>
    <n v="2"/>
    <n v="3"/>
    <x v="7"/>
    <n v="7"/>
    <n v="6"/>
    <n v="7"/>
    <x v="1"/>
    <x v="0"/>
  </r>
  <r>
    <n v="55"/>
    <x v="1"/>
    <s v="Travel_Rarely"/>
    <n v="1117"/>
    <x v="0"/>
    <x v="21"/>
    <n v="5"/>
    <s v="Life Sciences"/>
    <n v="1"/>
    <n v="597"/>
    <n v="1"/>
    <x v="0"/>
    <n v="83"/>
    <n v="3"/>
    <n v="4"/>
    <x v="5"/>
    <x v="1"/>
    <s v="Single"/>
    <n v="16835"/>
    <n v="9873"/>
    <n v="3"/>
    <s v="Y"/>
    <s v="No"/>
    <n v="23"/>
    <n v="4"/>
    <n v="4"/>
    <n v="80"/>
    <n v="0"/>
    <n v="37"/>
    <n v="2"/>
    <n v="3"/>
    <x v="1"/>
    <n v="9"/>
    <n v="7"/>
    <n v="7"/>
    <x v="3"/>
    <x v="3"/>
  </r>
  <r>
    <n v="41"/>
    <x v="1"/>
    <s v="Non-Travel"/>
    <n v="267"/>
    <x v="0"/>
    <x v="17"/>
    <n v="2"/>
    <s v="Life Sciences"/>
    <n v="1"/>
    <n v="599"/>
    <n v="4"/>
    <x v="1"/>
    <n v="56"/>
    <n v="3"/>
    <n v="2"/>
    <x v="0"/>
    <x v="0"/>
    <s v="Single"/>
    <n v="6230"/>
    <n v="13430"/>
    <n v="7"/>
    <s v="Y"/>
    <s v="No"/>
    <n v="14"/>
    <n v="3"/>
    <n v="4"/>
    <n v="80"/>
    <n v="0"/>
    <n v="16"/>
    <n v="3"/>
    <n v="3"/>
    <x v="13"/>
    <n v="3"/>
    <n v="1"/>
    <n v="10"/>
    <x v="0"/>
    <x v="4"/>
  </r>
  <r>
    <n v="35"/>
    <x v="1"/>
    <s v="Travel_Rarely"/>
    <n v="619"/>
    <x v="0"/>
    <x v="0"/>
    <n v="3"/>
    <s v="Marketing"/>
    <n v="1"/>
    <n v="600"/>
    <n v="2"/>
    <x v="1"/>
    <n v="85"/>
    <n v="3"/>
    <n v="2"/>
    <x v="0"/>
    <x v="2"/>
    <s v="Married"/>
    <n v="4717"/>
    <n v="18659"/>
    <n v="9"/>
    <s v="Y"/>
    <s v="No"/>
    <n v="11"/>
    <n v="3"/>
    <n v="3"/>
    <n v="80"/>
    <n v="0"/>
    <n v="15"/>
    <n v="2"/>
    <n v="3"/>
    <x v="19"/>
    <n v="9"/>
    <n v="6"/>
    <n v="9"/>
    <x v="0"/>
    <x v="0"/>
  </r>
  <r>
    <n v="40"/>
    <x v="1"/>
    <s v="Travel_Rarely"/>
    <n v="302"/>
    <x v="1"/>
    <x v="16"/>
    <n v="3"/>
    <s v="Life Sciences"/>
    <n v="1"/>
    <n v="601"/>
    <n v="2"/>
    <x v="0"/>
    <n v="75"/>
    <n v="3"/>
    <n v="4"/>
    <x v="3"/>
    <x v="2"/>
    <s v="Single"/>
    <n v="13237"/>
    <n v="20364"/>
    <n v="7"/>
    <s v="Y"/>
    <s v="No"/>
    <n v="15"/>
    <n v="3"/>
    <n v="3"/>
    <n v="80"/>
    <n v="0"/>
    <n v="22"/>
    <n v="3"/>
    <n v="3"/>
    <x v="23"/>
    <n v="6"/>
    <n v="5"/>
    <n v="13"/>
    <x v="0"/>
    <x v="3"/>
  </r>
  <r>
    <n v="39"/>
    <x v="1"/>
    <s v="Travel_Frequently"/>
    <n v="443"/>
    <x v="1"/>
    <x v="1"/>
    <n v="1"/>
    <s v="Life Sciences"/>
    <n v="1"/>
    <n v="602"/>
    <n v="3"/>
    <x v="0"/>
    <n v="48"/>
    <n v="3"/>
    <n v="1"/>
    <x v="2"/>
    <x v="2"/>
    <s v="Married"/>
    <n v="3755"/>
    <n v="17872"/>
    <n v="1"/>
    <s v="Y"/>
    <s v="No"/>
    <n v="11"/>
    <n v="3"/>
    <n v="1"/>
    <n v="80"/>
    <n v="1"/>
    <n v="8"/>
    <n v="3"/>
    <n v="3"/>
    <x v="3"/>
    <n v="3"/>
    <n v="0"/>
    <n v="7"/>
    <x v="0"/>
    <x v="0"/>
  </r>
  <r>
    <n v="31"/>
    <x v="1"/>
    <s v="Travel_Rarely"/>
    <n v="828"/>
    <x v="0"/>
    <x v="2"/>
    <n v="1"/>
    <s v="Life Sciences"/>
    <n v="1"/>
    <n v="604"/>
    <n v="2"/>
    <x v="1"/>
    <n v="77"/>
    <n v="3"/>
    <n v="2"/>
    <x v="0"/>
    <x v="0"/>
    <s v="Single"/>
    <n v="6582"/>
    <n v="8346"/>
    <n v="4"/>
    <s v="Y"/>
    <s v="Yes"/>
    <n v="13"/>
    <n v="3"/>
    <n v="3"/>
    <n v="80"/>
    <n v="0"/>
    <n v="10"/>
    <n v="2"/>
    <n v="4"/>
    <x v="0"/>
    <n v="5"/>
    <n v="0"/>
    <n v="5"/>
    <x v="2"/>
    <x v="4"/>
  </r>
  <r>
    <n v="42"/>
    <x v="1"/>
    <s v="Travel_Rarely"/>
    <n v="319"/>
    <x v="1"/>
    <x v="4"/>
    <n v="3"/>
    <s v="Medical"/>
    <n v="1"/>
    <n v="605"/>
    <n v="4"/>
    <x v="1"/>
    <n v="56"/>
    <n v="3"/>
    <n v="3"/>
    <x v="3"/>
    <x v="3"/>
    <s v="Married"/>
    <n v="7406"/>
    <n v="6950"/>
    <n v="1"/>
    <s v="Y"/>
    <s v="Yes"/>
    <n v="21"/>
    <n v="4"/>
    <n v="4"/>
    <n v="80"/>
    <n v="1"/>
    <n v="10"/>
    <n v="5"/>
    <n v="2"/>
    <x v="1"/>
    <n v="9"/>
    <n v="5"/>
    <n v="8"/>
    <x v="0"/>
    <x v="4"/>
  </r>
  <r>
    <n v="45"/>
    <x v="1"/>
    <s v="Travel_Rarely"/>
    <n v="561"/>
    <x v="0"/>
    <x v="2"/>
    <n v="3"/>
    <s v="Other"/>
    <n v="1"/>
    <n v="606"/>
    <n v="4"/>
    <x v="1"/>
    <n v="61"/>
    <n v="3"/>
    <n v="2"/>
    <x v="0"/>
    <x v="1"/>
    <s v="Married"/>
    <n v="4805"/>
    <n v="16177"/>
    <n v="0"/>
    <s v="Y"/>
    <s v="No"/>
    <n v="19"/>
    <n v="3"/>
    <n v="2"/>
    <n v="80"/>
    <n v="1"/>
    <n v="9"/>
    <n v="3"/>
    <n v="4"/>
    <x v="3"/>
    <n v="7"/>
    <n v="3"/>
    <n v="7"/>
    <x v="1"/>
    <x v="0"/>
  </r>
  <r>
    <n v="26"/>
    <x v="0"/>
    <s v="Travel_Frequently"/>
    <n v="426"/>
    <x v="2"/>
    <x v="27"/>
    <n v="4"/>
    <s v="Life Sciences"/>
    <n v="1"/>
    <n v="608"/>
    <n v="2"/>
    <x v="0"/>
    <n v="58"/>
    <n v="3"/>
    <n v="1"/>
    <x v="8"/>
    <x v="2"/>
    <s v="Divorced"/>
    <n v="2741"/>
    <n v="22808"/>
    <n v="0"/>
    <s v="Y"/>
    <s v="Yes"/>
    <n v="11"/>
    <n v="3"/>
    <n v="2"/>
    <n v="80"/>
    <n v="1"/>
    <n v="8"/>
    <n v="2"/>
    <n v="2"/>
    <x v="5"/>
    <n v="7"/>
    <n v="1"/>
    <n v="0"/>
    <x v="2"/>
    <x v="1"/>
  </r>
  <r>
    <n v="29"/>
    <x v="1"/>
    <s v="Travel_Rarely"/>
    <n v="232"/>
    <x v="1"/>
    <x v="10"/>
    <n v="3"/>
    <s v="Technical Degree"/>
    <n v="1"/>
    <n v="611"/>
    <n v="4"/>
    <x v="1"/>
    <n v="34"/>
    <n v="3"/>
    <n v="2"/>
    <x v="3"/>
    <x v="0"/>
    <s v="Divorced"/>
    <n v="4262"/>
    <n v="22645"/>
    <n v="4"/>
    <s v="Y"/>
    <s v="No"/>
    <n v="12"/>
    <n v="3"/>
    <n v="2"/>
    <n v="80"/>
    <n v="2"/>
    <n v="8"/>
    <n v="2"/>
    <n v="4"/>
    <x v="11"/>
    <n v="2"/>
    <n v="1"/>
    <n v="2"/>
    <x v="2"/>
    <x v="0"/>
  </r>
  <r>
    <n v="33"/>
    <x v="1"/>
    <s v="Travel_Rarely"/>
    <n v="922"/>
    <x v="1"/>
    <x v="0"/>
    <n v="5"/>
    <s v="Medical"/>
    <n v="1"/>
    <n v="612"/>
    <n v="1"/>
    <x v="0"/>
    <n v="95"/>
    <n v="4"/>
    <n v="4"/>
    <x v="7"/>
    <x v="2"/>
    <s v="Divorced"/>
    <n v="16184"/>
    <n v="22578"/>
    <n v="4"/>
    <s v="Y"/>
    <s v="No"/>
    <n v="19"/>
    <n v="3"/>
    <n v="3"/>
    <n v="80"/>
    <n v="1"/>
    <n v="10"/>
    <n v="2"/>
    <n v="3"/>
    <x v="0"/>
    <n v="1"/>
    <n v="0"/>
    <n v="5"/>
    <x v="2"/>
    <x v="3"/>
  </r>
  <r>
    <n v="31"/>
    <x v="1"/>
    <s v="Travel_Rarely"/>
    <n v="688"/>
    <x v="0"/>
    <x v="15"/>
    <n v="3"/>
    <s v="Life Sciences"/>
    <n v="1"/>
    <n v="613"/>
    <n v="3"/>
    <x v="1"/>
    <n v="44"/>
    <n v="2"/>
    <n v="3"/>
    <x v="5"/>
    <x v="0"/>
    <s v="Divorced"/>
    <n v="11557"/>
    <n v="25291"/>
    <n v="9"/>
    <s v="Y"/>
    <s v="No"/>
    <n v="21"/>
    <n v="4"/>
    <n v="3"/>
    <n v="80"/>
    <n v="1"/>
    <n v="10"/>
    <n v="3"/>
    <n v="2"/>
    <x v="8"/>
    <n v="4"/>
    <n v="0"/>
    <n v="1"/>
    <x v="2"/>
    <x v="2"/>
  </r>
  <r>
    <n v="18"/>
    <x v="0"/>
    <s v="Travel_Frequently"/>
    <n v="1306"/>
    <x v="0"/>
    <x v="12"/>
    <n v="3"/>
    <s v="Marketing"/>
    <n v="1"/>
    <n v="614"/>
    <n v="2"/>
    <x v="1"/>
    <n v="69"/>
    <n v="3"/>
    <n v="1"/>
    <x v="6"/>
    <x v="1"/>
    <s v="Single"/>
    <n v="1878"/>
    <n v="8059"/>
    <n v="1"/>
    <s v="Y"/>
    <s v="Yes"/>
    <n v="14"/>
    <n v="3"/>
    <n v="4"/>
    <n v="80"/>
    <n v="0"/>
    <n v="0"/>
    <n v="3"/>
    <n v="3"/>
    <x v="2"/>
    <n v="0"/>
    <n v="0"/>
    <n v="0"/>
    <x v="4"/>
    <x v="1"/>
  </r>
  <r>
    <n v="40"/>
    <x v="1"/>
    <s v="Non-Travel"/>
    <n v="1094"/>
    <x v="0"/>
    <x v="26"/>
    <n v="3"/>
    <s v="Other"/>
    <n v="1"/>
    <n v="615"/>
    <n v="3"/>
    <x v="1"/>
    <n v="58"/>
    <n v="1"/>
    <n v="3"/>
    <x v="0"/>
    <x v="3"/>
    <s v="Divorced"/>
    <n v="10932"/>
    <n v="11373"/>
    <n v="3"/>
    <s v="Y"/>
    <s v="No"/>
    <n v="15"/>
    <n v="3"/>
    <n v="3"/>
    <n v="80"/>
    <n v="1"/>
    <n v="20"/>
    <n v="2"/>
    <n v="3"/>
    <x v="6"/>
    <n v="0"/>
    <n v="0"/>
    <n v="1"/>
    <x v="0"/>
    <x v="2"/>
  </r>
  <r>
    <n v="41"/>
    <x v="1"/>
    <s v="Non-Travel"/>
    <n v="509"/>
    <x v="1"/>
    <x v="2"/>
    <n v="4"/>
    <s v="Other"/>
    <n v="1"/>
    <n v="616"/>
    <n v="1"/>
    <x v="0"/>
    <n v="62"/>
    <n v="2"/>
    <n v="2"/>
    <x v="4"/>
    <x v="2"/>
    <s v="Single"/>
    <n v="6811"/>
    <n v="2112"/>
    <n v="2"/>
    <s v="Y"/>
    <s v="Yes"/>
    <n v="17"/>
    <n v="3"/>
    <n v="1"/>
    <n v="80"/>
    <n v="0"/>
    <n v="10"/>
    <n v="3"/>
    <n v="3"/>
    <x v="3"/>
    <n v="7"/>
    <n v="0"/>
    <n v="7"/>
    <x v="0"/>
    <x v="4"/>
  </r>
  <r>
    <n v="26"/>
    <x v="1"/>
    <s v="Travel_Rarely"/>
    <n v="775"/>
    <x v="0"/>
    <x v="22"/>
    <n v="2"/>
    <s v="Medical"/>
    <n v="1"/>
    <n v="618"/>
    <n v="1"/>
    <x v="1"/>
    <n v="45"/>
    <n v="3"/>
    <n v="2"/>
    <x v="0"/>
    <x v="2"/>
    <s v="Divorced"/>
    <n v="4306"/>
    <n v="4267"/>
    <n v="5"/>
    <s v="Y"/>
    <s v="No"/>
    <n v="12"/>
    <n v="3"/>
    <n v="1"/>
    <n v="80"/>
    <n v="2"/>
    <n v="8"/>
    <n v="5"/>
    <n v="3"/>
    <x v="2"/>
    <n v="0"/>
    <n v="0"/>
    <n v="0"/>
    <x v="2"/>
    <x v="0"/>
  </r>
  <r>
    <n v="35"/>
    <x v="1"/>
    <s v="Travel_Rarely"/>
    <n v="195"/>
    <x v="0"/>
    <x v="0"/>
    <n v="3"/>
    <s v="Medical"/>
    <n v="1"/>
    <n v="620"/>
    <n v="1"/>
    <x v="0"/>
    <n v="80"/>
    <n v="3"/>
    <n v="2"/>
    <x v="0"/>
    <x v="2"/>
    <s v="Single"/>
    <n v="4859"/>
    <n v="6698"/>
    <n v="1"/>
    <s v="Y"/>
    <s v="No"/>
    <n v="16"/>
    <n v="3"/>
    <n v="4"/>
    <n v="80"/>
    <n v="0"/>
    <n v="5"/>
    <n v="3"/>
    <n v="3"/>
    <x v="8"/>
    <n v="4"/>
    <n v="0"/>
    <n v="3"/>
    <x v="0"/>
    <x v="0"/>
  </r>
  <r>
    <n v="34"/>
    <x v="1"/>
    <s v="Travel_Rarely"/>
    <n v="258"/>
    <x v="0"/>
    <x v="11"/>
    <n v="4"/>
    <s v="Life Sciences"/>
    <n v="1"/>
    <n v="621"/>
    <n v="4"/>
    <x v="1"/>
    <n v="74"/>
    <n v="4"/>
    <n v="2"/>
    <x v="0"/>
    <x v="0"/>
    <s v="Single"/>
    <n v="5337"/>
    <n v="19921"/>
    <n v="1"/>
    <s v="Y"/>
    <s v="No"/>
    <n v="12"/>
    <n v="3"/>
    <n v="4"/>
    <n v="80"/>
    <n v="0"/>
    <n v="10"/>
    <n v="3"/>
    <n v="3"/>
    <x v="1"/>
    <n v="7"/>
    <n v="5"/>
    <n v="7"/>
    <x v="2"/>
    <x v="0"/>
  </r>
  <r>
    <n v="26"/>
    <x v="0"/>
    <s v="Travel_Rarely"/>
    <n v="471"/>
    <x v="1"/>
    <x v="4"/>
    <n v="3"/>
    <s v="Technical Degree"/>
    <n v="1"/>
    <n v="622"/>
    <n v="3"/>
    <x v="1"/>
    <n v="66"/>
    <n v="1"/>
    <n v="1"/>
    <x v="2"/>
    <x v="0"/>
    <s v="Single"/>
    <n v="2340"/>
    <n v="23213"/>
    <n v="1"/>
    <s v="Y"/>
    <s v="Yes"/>
    <n v="18"/>
    <n v="3"/>
    <n v="2"/>
    <n v="80"/>
    <n v="0"/>
    <n v="1"/>
    <n v="3"/>
    <n v="1"/>
    <x v="6"/>
    <n v="0"/>
    <n v="0"/>
    <n v="0"/>
    <x v="2"/>
    <x v="1"/>
  </r>
  <r>
    <n v="37"/>
    <x v="1"/>
    <s v="Travel_Rarely"/>
    <n v="799"/>
    <x v="1"/>
    <x v="0"/>
    <n v="3"/>
    <s v="Technical Degree"/>
    <n v="1"/>
    <n v="623"/>
    <n v="2"/>
    <x v="0"/>
    <n v="59"/>
    <n v="3"/>
    <n v="3"/>
    <x v="3"/>
    <x v="0"/>
    <s v="Single"/>
    <n v="7491"/>
    <n v="23848"/>
    <n v="4"/>
    <s v="Y"/>
    <s v="No"/>
    <n v="17"/>
    <n v="3"/>
    <n v="4"/>
    <n v="80"/>
    <n v="0"/>
    <n v="12"/>
    <n v="3"/>
    <n v="4"/>
    <x v="0"/>
    <n v="5"/>
    <n v="1"/>
    <n v="2"/>
    <x v="0"/>
    <x v="4"/>
  </r>
  <r>
    <n v="46"/>
    <x v="1"/>
    <s v="Travel_Frequently"/>
    <n v="1034"/>
    <x v="1"/>
    <x v="21"/>
    <n v="1"/>
    <s v="Medical"/>
    <n v="1"/>
    <n v="624"/>
    <n v="1"/>
    <x v="0"/>
    <n v="86"/>
    <n v="3"/>
    <n v="3"/>
    <x v="4"/>
    <x v="2"/>
    <s v="Married"/>
    <n v="10527"/>
    <n v="8984"/>
    <n v="5"/>
    <s v="Y"/>
    <s v="No"/>
    <n v="11"/>
    <n v="3"/>
    <n v="4"/>
    <n v="80"/>
    <n v="0"/>
    <n v="28"/>
    <n v="3"/>
    <n v="2"/>
    <x v="4"/>
    <n v="2"/>
    <n v="1"/>
    <n v="2"/>
    <x v="1"/>
    <x v="2"/>
  </r>
  <r>
    <n v="41"/>
    <x v="1"/>
    <s v="Travel_Rarely"/>
    <n v="1276"/>
    <x v="0"/>
    <x v="2"/>
    <n v="5"/>
    <s v="Life Sciences"/>
    <n v="1"/>
    <n v="625"/>
    <n v="2"/>
    <x v="0"/>
    <n v="91"/>
    <n v="3"/>
    <n v="4"/>
    <x v="5"/>
    <x v="3"/>
    <s v="Married"/>
    <n v="16595"/>
    <n v="5626"/>
    <n v="7"/>
    <s v="Y"/>
    <s v="No"/>
    <n v="16"/>
    <n v="3"/>
    <n v="2"/>
    <n v="80"/>
    <n v="1"/>
    <n v="22"/>
    <n v="2"/>
    <n v="3"/>
    <x v="29"/>
    <n v="16"/>
    <n v="11"/>
    <n v="8"/>
    <x v="0"/>
    <x v="3"/>
  </r>
  <r>
    <n v="37"/>
    <x v="1"/>
    <s v="Non-Travel"/>
    <n v="142"/>
    <x v="0"/>
    <x v="14"/>
    <n v="4"/>
    <s v="Medical"/>
    <n v="1"/>
    <n v="626"/>
    <n v="1"/>
    <x v="1"/>
    <n v="69"/>
    <n v="3"/>
    <n v="3"/>
    <x v="0"/>
    <x v="1"/>
    <s v="Divorced"/>
    <n v="8834"/>
    <n v="24666"/>
    <n v="1"/>
    <s v="Y"/>
    <s v="No"/>
    <n v="13"/>
    <n v="3"/>
    <n v="4"/>
    <n v="80"/>
    <n v="1"/>
    <n v="9"/>
    <n v="6"/>
    <n v="3"/>
    <x v="7"/>
    <n v="5"/>
    <n v="7"/>
    <n v="7"/>
    <x v="0"/>
    <x v="4"/>
  </r>
  <r>
    <n v="52"/>
    <x v="1"/>
    <s v="Travel_Rarely"/>
    <n v="956"/>
    <x v="1"/>
    <x v="16"/>
    <n v="2"/>
    <s v="Technical Degree"/>
    <n v="1"/>
    <n v="630"/>
    <n v="4"/>
    <x v="1"/>
    <n v="78"/>
    <n v="3"/>
    <n v="2"/>
    <x v="1"/>
    <x v="3"/>
    <s v="Divorced"/>
    <n v="5577"/>
    <n v="22087"/>
    <n v="3"/>
    <s v="Y"/>
    <s v="Yes"/>
    <n v="12"/>
    <n v="3"/>
    <n v="2"/>
    <n v="80"/>
    <n v="2"/>
    <n v="18"/>
    <n v="3"/>
    <n v="3"/>
    <x v="1"/>
    <n v="9"/>
    <n v="6"/>
    <n v="9"/>
    <x v="1"/>
    <x v="0"/>
  </r>
  <r>
    <n v="32"/>
    <x v="0"/>
    <s v="Non-Travel"/>
    <n v="1474"/>
    <x v="0"/>
    <x v="13"/>
    <n v="4"/>
    <s v="Other"/>
    <n v="1"/>
    <n v="631"/>
    <n v="4"/>
    <x v="1"/>
    <n v="60"/>
    <n v="4"/>
    <n v="2"/>
    <x v="0"/>
    <x v="2"/>
    <s v="Married"/>
    <n v="4707"/>
    <n v="23914"/>
    <n v="8"/>
    <s v="Y"/>
    <s v="No"/>
    <n v="12"/>
    <n v="3"/>
    <n v="4"/>
    <n v="80"/>
    <n v="0"/>
    <n v="6"/>
    <n v="2"/>
    <n v="3"/>
    <x v="9"/>
    <n v="2"/>
    <n v="1"/>
    <n v="2"/>
    <x v="2"/>
    <x v="0"/>
  </r>
  <r>
    <n v="24"/>
    <x v="1"/>
    <s v="Travel_Frequently"/>
    <n v="535"/>
    <x v="0"/>
    <x v="4"/>
    <n v="3"/>
    <s v="Medical"/>
    <n v="1"/>
    <n v="632"/>
    <n v="4"/>
    <x v="1"/>
    <n v="38"/>
    <n v="3"/>
    <n v="1"/>
    <x v="6"/>
    <x v="0"/>
    <s v="Married"/>
    <n v="2400"/>
    <n v="5530"/>
    <n v="0"/>
    <s v="Y"/>
    <s v="No"/>
    <n v="13"/>
    <n v="3"/>
    <n v="3"/>
    <n v="80"/>
    <n v="2"/>
    <n v="3"/>
    <n v="3"/>
    <n v="3"/>
    <x v="4"/>
    <n v="2"/>
    <n v="2"/>
    <n v="1"/>
    <x v="4"/>
    <x v="1"/>
  </r>
  <r>
    <n v="38"/>
    <x v="1"/>
    <s v="Travel_Rarely"/>
    <n v="1495"/>
    <x v="1"/>
    <x v="17"/>
    <n v="3"/>
    <s v="Medical"/>
    <n v="1"/>
    <n v="634"/>
    <n v="3"/>
    <x v="0"/>
    <n v="76"/>
    <n v="3"/>
    <n v="2"/>
    <x v="4"/>
    <x v="2"/>
    <s v="Married"/>
    <n v="9824"/>
    <n v="22174"/>
    <n v="3"/>
    <s v="Y"/>
    <s v="No"/>
    <n v="19"/>
    <n v="3"/>
    <n v="3"/>
    <n v="80"/>
    <n v="1"/>
    <n v="18"/>
    <n v="4"/>
    <n v="3"/>
    <x v="6"/>
    <n v="0"/>
    <n v="0"/>
    <n v="0"/>
    <x v="0"/>
    <x v="2"/>
  </r>
  <r>
    <n v="37"/>
    <x v="1"/>
    <s v="Travel_Rarely"/>
    <n v="446"/>
    <x v="1"/>
    <x v="0"/>
    <n v="4"/>
    <s v="Life Sciences"/>
    <n v="1"/>
    <n v="635"/>
    <n v="2"/>
    <x v="0"/>
    <n v="65"/>
    <n v="3"/>
    <n v="2"/>
    <x v="3"/>
    <x v="1"/>
    <s v="Married"/>
    <n v="6447"/>
    <n v="15701"/>
    <n v="6"/>
    <s v="Y"/>
    <s v="No"/>
    <n v="12"/>
    <n v="3"/>
    <n v="2"/>
    <n v="80"/>
    <n v="1"/>
    <n v="8"/>
    <n v="2"/>
    <n v="2"/>
    <x v="0"/>
    <n v="5"/>
    <n v="4"/>
    <n v="3"/>
    <x v="0"/>
    <x v="4"/>
  </r>
  <r>
    <n v="49"/>
    <x v="1"/>
    <s v="Travel_Rarely"/>
    <n v="1245"/>
    <x v="1"/>
    <x v="21"/>
    <n v="4"/>
    <s v="Life Sciences"/>
    <n v="1"/>
    <n v="638"/>
    <n v="4"/>
    <x v="1"/>
    <n v="58"/>
    <n v="2"/>
    <n v="5"/>
    <x v="7"/>
    <x v="2"/>
    <s v="Divorced"/>
    <n v="19502"/>
    <n v="2125"/>
    <n v="1"/>
    <s v="Y"/>
    <s v="Yes"/>
    <n v="17"/>
    <n v="3"/>
    <n v="3"/>
    <n v="80"/>
    <n v="1"/>
    <n v="31"/>
    <n v="5"/>
    <n v="3"/>
    <x v="31"/>
    <n v="9"/>
    <n v="0"/>
    <n v="9"/>
    <x v="1"/>
    <x v="3"/>
  </r>
  <r>
    <n v="24"/>
    <x v="1"/>
    <s v="Travel_Rarely"/>
    <n v="691"/>
    <x v="1"/>
    <x v="5"/>
    <n v="3"/>
    <s v="Medical"/>
    <n v="1"/>
    <n v="639"/>
    <n v="2"/>
    <x v="1"/>
    <n v="89"/>
    <n v="4"/>
    <n v="1"/>
    <x v="1"/>
    <x v="0"/>
    <s v="Married"/>
    <n v="2725"/>
    <n v="21630"/>
    <n v="1"/>
    <s v="Y"/>
    <s v="Yes"/>
    <n v="11"/>
    <n v="3"/>
    <n v="2"/>
    <n v="80"/>
    <n v="2"/>
    <n v="6"/>
    <n v="3"/>
    <n v="3"/>
    <x v="0"/>
    <n v="5"/>
    <n v="1"/>
    <n v="4"/>
    <x v="4"/>
    <x v="1"/>
  </r>
  <r>
    <n v="26"/>
    <x v="1"/>
    <s v="Travel_Rarely"/>
    <n v="703"/>
    <x v="0"/>
    <x v="26"/>
    <n v="2"/>
    <s v="Marketing"/>
    <n v="1"/>
    <n v="641"/>
    <n v="1"/>
    <x v="1"/>
    <n v="66"/>
    <n v="3"/>
    <n v="2"/>
    <x v="0"/>
    <x v="1"/>
    <s v="Married"/>
    <n v="6272"/>
    <n v="7428"/>
    <n v="1"/>
    <s v="Y"/>
    <s v="No"/>
    <n v="20"/>
    <n v="4"/>
    <n v="4"/>
    <n v="80"/>
    <n v="2"/>
    <n v="6"/>
    <n v="5"/>
    <n v="4"/>
    <x v="8"/>
    <n v="3"/>
    <n v="1"/>
    <n v="4"/>
    <x v="2"/>
    <x v="4"/>
  </r>
  <r>
    <n v="24"/>
    <x v="1"/>
    <s v="Travel_Rarely"/>
    <n v="823"/>
    <x v="1"/>
    <x v="27"/>
    <n v="2"/>
    <s v="Other"/>
    <n v="1"/>
    <n v="643"/>
    <n v="4"/>
    <x v="1"/>
    <n v="94"/>
    <n v="2"/>
    <n v="1"/>
    <x v="2"/>
    <x v="1"/>
    <s v="Married"/>
    <n v="2127"/>
    <n v="9100"/>
    <n v="1"/>
    <s v="Y"/>
    <s v="No"/>
    <n v="21"/>
    <n v="4"/>
    <n v="4"/>
    <n v="80"/>
    <n v="1"/>
    <n v="1"/>
    <n v="2"/>
    <n v="3"/>
    <x v="6"/>
    <n v="0"/>
    <n v="0"/>
    <n v="0"/>
    <x v="4"/>
    <x v="1"/>
  </r>
  <r>
    <n v="50"/>
    <x v="1"/>
    <s v="Travel_Frequently"/>
    <n v="1246"/>
    <x v="2"/>
    <x v="3"/>
    <n v="3"/>
    <s v="Medical"/>
    <n v="1"/>
    <n v="644"/>
    <n v="1"/>
    <x v="1"/>
    <n v="99"/>
    <n v="3"/>
    <n v="5"/>
    <x v="5"/>
    <x v="1"/>
    <s v="Married"/>
    <n v="18200"/>
    <n v="7999"/>
    <n v="1"/>
    <s v="Y"/>
    <s v="No"/>
    <n v="11"/>
    <n v="3"/>
    <n v="3"/>
    <n v="80"/>
    <n v="1"/>
    <n v="32"/>
    <n v="2"/>
    <n v="3"/>
    <x v="32"/>
    <n v="5"/>
    <n v="10"/>
    <n v="7"/>
    <x v="1"/>
    <x v="3"/>
  </r>
  <r>
    <n v="25"/>
    <x v="1"/>
    <s v="Travel_Rarely"/>
    <n v="622"/>
    <x v="0"/>
    <x v="28"/>
    <n v="1"/>
    <s v="Medical"/>
    <n v="1"/>
    <n v="645"/>
    <n v="2"/>
    <x v="1"/>
    <n v="40"/>
    <n v="3"/>
    <n v="1"/>
    <x v="6"/>
    <x v="2"/>
    <s v="Married"/>
    <n v="2096"/>
    <n v="26376"/>
    <n v="1"/>
    <s v="Y"/>
    <s v="No"/>
    <n v="11"/>
    <n v="3"/>
    <n v="3"/>
    <n v="80"/>
    <n v="0"/>
    <n v="7"/>
    <n v="1"/>
    <n v="3"/>
    <x v="5"/>
    <n v="4"/>
    <n v="0"/>
    <n v="6"/>
    <x v="2"/>
    <x v="1"/>
  </r>
  <r>
    <n v="24"/>
    <x v="0"/>
    <s v="Travel_Frequently"/>
    <n v="1287"/>
    <x v="1"/>
    <x v="15"/>
    <n v="3"/>
    <s v="Life Sciences"/>
    <n v="1"/>
    <n v="647"/>
    <n v="1"/>
    <x v="0"/>
    <n v="55"/>
    <n v="3"/>
    <n v="1"/>
    <x v="2"/>
    <x v="2"/>
    <s v="Married"/>
    <n v="2886"/>
    <n v="14168"/>
    <n v="1"/>
    <s v="Y"/>
    <s v="Yes"/>
    <n v="16"/>
    <n v="3"/>
    <n v="4"/>
    <n v="80"/>
    <n v="1"/>
    <n v="6"/>
    <n v="4"/>
    <n v="3"/>
    <x v="0"/>
    <n v="3"/>
    <n v="1"/>
    <n v="2"/>
    <x v="4"/>
    <x v="1"/>
  </r>
  <r>
    <n v="30"/>
    <x v="0"/>
    <s v="Travel_Frequently"/>
    <n v="448"/>
    <x v="0"/>
    <x v="20"/>
    <n v="4"/>
    <s v="Life Sciences"/>
    <n v="1"/>
    <n v="648"/>
    <n v="2"/>
    <x v="1"/>
    <n v="74"/>
    <n v="2"/>
    <n v="1"/>
    <x v="6"/>
    <x v="3"/>
    <s v="Married"/>
    <n v="2033"/>
    <n v="14470"/>
    <n v="1"/>
    <s v="Y"/>
    <s v="No"/>
    <n v="18"/>
    <n v="3"/>
    <n v="3"/>
    <n v="80"/>
    <n v="1"/>
    <n v="1"/>
    <n v="2"/>
    <n v="4"/>
    <x v="6"/>
    <n v="0"/>
    <n v="0"/>
    <n v="0"/>
    <x v="2"/>
    <x v="1"/>
  </r>
  <r>
    <n v="34"/>
    <x v="1"/>
    <s v="Travel_Rarely"/>
    <n v="254"/>
    <x v="1"/>
    <x v="0"/>
    <n v="2"/>
    <s v="Life Sciences"/>
    <n v="1"/>
    <n v="649"/>
    <n v="2"/>
    <x v="1"/>
    <n v="83"/>
    <n v="2"/>
    <n v="1"/>
    <x v="1"/>
    <x v="0"/>
    <s v="Married"/>
    <n v="3622"/>
    <n v="22794"/>
    <n v="1"/>
    <s v="Y"/>
    <s v="Yes"/>
    <n v="13"/>
    <n v="3"/>
    <n v="4"/>
    <n v="80"/>
    <n v="1"/>
    <n v="6"/>
    <n v="3"/>
    <n v="3"/>
    <x v="0"/>
    <n v="5"/>
    <n v="1"/>
    <n v="3"/>
    <x v="2"/>
    <x v="0"/>
  </r>
  <r>
    <n v="31"/>
    <x v="0"/>
    <s v="Travel_Rarely"/>
    <n v="1365"/>
    <x v="0"/>
    <x v="28"/>
    <n v="4"/>
    <s v="Medical"/>
    <n v="1"/>
    <n v="650"/>
    <n v="2"/>
    <x v="1"/>
    <n v="46"/>
    <n v="3"/>
    <n v="2"/>
    <x v="0"/>
    <x v="3"/>
    <s v="Divorced"/>
    <n v="4233"/>
    <n v="11512"/>
    <n v="2"/>
    <s v="Y"/>
    <s v="No"/>
    <n v="17"/>
    <n v="3"/>
    <n v="3"/>
    <n v="80"/>
    <n v="0"/>
    <n v="9"/>
    <n v="2"/>
    <n v="1"/>
    <x v="11"/>
    <n v="1"/>
    <n v="1"/>
    <n v="2"/>
    <x v="2"/>
    <x v="0"/>
  </r>
  <r>
    <n v="35"/>
    <x v="1"/>
    <s v="Travel_Rarely"/>
    <n v="538"/>
    <x v="1"/>
    <x v="19"/>
    <n v="2"/>
    <s v="Other"/>
    <n v="1"/>
    <n v="652"/>
    <n v="1"/>
    <x v="1"/>
    <n v="54"/>
    <n v="2"/>
    <n v="2"/>
    <x v="2"/>
    <x v="0"/>
    <s v="Single"/>
    <n v="3681"/>
    <n v="14004"/>
    <n v="4"/>
    <s v="Y"/>
    <s v="No"/>
    <n v="14"/>
    <n v="3"/>
    <n v="4"/>
    <n v="80"/>
    <n v="0"/>
    <n v="9"/>
    <n v="3"/>
    <n v="3"/>
    <x v="11"/>
    <n v="2"/>
    <n v="0"/>
    <n v="2"/>
    <x v="0"/>
    <x v="0"/>
  </r>
  <r>
    <n v="31"/>
    <x v="1"/>
    <s v="Travel_Rarely"/>
    <n v="525"/>
    <x v="0"/>
    <x v="16"/>
    <n v="4"/>
    <s v="Medical"/>
    <n v="1"/>
    <n v="653"/>
    <n v="1"/>
    <x v="1"/>
    <n v="66"/>
    <n v="4"/>
    <n v="2"/>
    <x v="0"/>
    <x v="0"/>
    <s v="Divorced"/>
    <n v="5460"/>
    <n v="6219"/>
    <n v="4"/>
    <s v="Y"/>
    <s v="No"/>
    <n v="22"/>
    <n v="4"/>
    <n v="4"/>
    <n v="80"/>
    <n v="2"/>
    <n v="13"/>
    <n v="4"/>
    <n v="4"/>
    <x v="5"/>
    <n v="7"/>
    <n v="5"/>
    <n v="7"/>
    <x v="2"/>
    <x v="0"/>
  </r>
  <r>
    <n v="27"/>
    <x v="1"/>
    <s v="Travel_Rarely"/>
    <n v="798"/>
    <x v="1"/>
    <x v="16"/>
    <n v="4"/>
    <s v="Medical"/>
    <n v="1"/>
    <n v="655"/>
    <n v="1"/>
    <x v="0"/>
    <n v="66"/>
    <n v="2"/>
    <n v="1"/>
    <x v="1"/>
    <x v="2"/>
    <s v="Divorced"/>
    <n v="2187"/>
    <n v="5013"/>
    <n v="0"/>
    <s v="Y"/>
    <s v="No"/>
    <n v="12"/>
    <n v="3"/>
    <n v="3"/>
    <n v="80"/>
    <n v="2"/>
    <n v="6"/>
    <n v="5"/>
    <n v="2"/>
    <x v="8"/>
    <n v="3"/>
    <n v="0"/>
    <n v="3"/>
    <x v="2"/>
    <x v="1"/>
  </r>
  <r>
    <n v="37"/>
    <x v="1"/>
    <s v="Travel_Rarely"/>
    <n v="558"/>
    <x v="0"/>
    <x v="2"/>
    <n v="3"/>
    <s v="Marketing"/>
    <n v="1"/>
    <n v="656"/>
    <n v="4"/>
    <x v="1"/>
    <n v="75"/>
    <n v="3"/>
    <n v="2"/>
    <x v="0"/>
    <x v="2"/>
    <s v="Married"/>
    <n v="9602"/>
    <n v="3010"/>
    <n v="4"/>
    <s v="Y"/>
    <s v="Yes"/>
    <n v="11"/>
    <n v="3"/>
    <n v="3"/>
    <n v="80"/>
    <n v="1"/>
    <n v="17"/>
    <n v="3"/>
    <n v="2"/>
    <x v="11"/>
    <n v="0"/>
    <n v="1"/>
    <n v="0"/>
    <x v="0"/>
    <x v="2"/>
  </r>
  <r>
    <n v="20"/>
    <x v="1"/>
    <s v="Travel_Rarely"/>
    <n v="959"/>
    <x v="1"/>
    <x v="0"/>
    <n v="3"/>
    <s v="Life Sciences"/>
    <n v="1"/>
    <n v="657"/>
    <n v="4"/>
    <x v="0"/>
    <n v="83"/>
    <n v="2"/>
    <n v="1"/>
    <x v="1"/>
    <x v="1"/>
    <s v="Single"/>
    <n v="2836"/>
    <n v="11757"/>
    <n v="1"/>
    <s v="Y"/>
    <s v="No"/>
    <n v="13"/>
    <n v="3"/>
    <n v="4"/>
    <n v="80"/>
    <n v="0"/>
    <n v="1"/>
    <n v="0"/>
    <n v="4"/>
    <x v="6"/>
    <n v="0"/>
    <n v="0"/>
    <n v="0"/>
    <x v="4"/>
    <x v="1"/>
  </r>
  <r>
    <n v="42"/>
    <x v="1"/>
    <s v="Travel_Rarely"/>
    <n v="622"/>
    <x v="1"/>
    <x v="2"/>
    <n v="4"/>
    <s v="Life Sciences"/>
    <n v="1"/>
    <n v="659"/>
    <n v="3"/>
    <x v="0"/>
    <n v="81"/>
    <n v="3"/>
    <n v="2"/>
    <x v="4"/>
    <x v="0"/>
    <s v="Married"/>
    <n v="4089"/>
    <n v="5718"/>
    <n v="1"/>
    <s v="Y"/>
    <s v="No"/>
    <n v="13"/>
    <n v="3"/>
    <n v="2"/>
    <n v="80"/>
    <n v="2"/>
    <n v="10"/>
    <n v="4"/>
    <n v="3"/>
    <x v="1"/>
    <n v="2"/>
    <n v="2"/>
    <n v="2"/>
    <x v="0"/>
    <x v="0"/>
  </r>
  <r>
    <n v="43"/>
    <x v="1"/>
    <s v="Travel_Rarely"/>
    <n v="782"/>
    <x v="1"/>
    <x v="16"/>
    <n v="4"/>
    <s v="Other"/>
    <n v="1"/>
    <n v="661"/>
    <n v="2"/>
    <x v="1"/>
    <n v="50"/>
    <n v="2"/>
    <n v="4"/>
    <x v="7"/>
    <x v="0"/>
    <s v="Divorced"/>
    <n v="16627"/>
    <n v="2671"/>
    <n v="4"/>
    <s v="Y"/>
    <s v="Yes"/>
    <n v="14"/>
    <n v="3"/>
    <n v="3"/>
    <n v="80"/>
    <n v="1"/>
    <n v="21"/>
    <n v="3"/>
    <n v="2"/>
    <x v="6"/>
    <n v="0"/>
    <n v="0"/>
    <n v="0"/>
    <x v="0"/>
    <x v="3"/>
  </r>
  <r>
    <n v="38"/>
    <x v="1"/>
    <s v="Travel_Rarely"/>
    <n v="362"/>
    <x v="1"/>
    <x v="0"/>
    <n v="1"/>
    <s v="Life Sciences"/>
    <n v="1"/>
    <n v="662"/>
    <n v="3"/>
    <x v="0"/>
    <n v="43"/>
    <n v="3"/>
    <n v="1"/>
    <x v="1"/>
    <x v="3"/>
    <s v="Single"/>
    <n v="2619"/>
    <n v="14561"/>
    <n v="3"/>
    <s v="Y"/>
    <s v="No"/>
    <n v="17"/>
    <n v="3"/>
    <n v="4"/>
    <n v="80"/>
    <n v="0"/>
    <n v="8"/>
    <n v="3"/>
    <n v="2"/>
    <x v="2"/>
    <n v="0"/>
    <n v="0"/>
    <n v="0"/>
    <x v="0"/>
    <x v="1"/>
  </r>
  <r>
    <n v="43"/>
    <x v="1"/>
    <s v="Travel_Frequently"/>
    <n v="1001"/>
    <x v="1"/>
    <x v="14"/>
    <n v="5"/>
    <s v="Medical"/>
    <n v="1"/>
    <n v="663"/>
    <n v="4"/>
    <x v="1"/>
    <n v="72"/>
    <n v="3"/>
    <n v="2"/>
    <x v="2"/>
    <x v="2"/>
    <s v="Divorced"/>
    <n v="5679"/>
    <n v="19627"/>
    <n v="3"/>
    <s v="Y"/>
    <s v="Yes"/>
    <n v="13"/>
    <n v="3"/>
    <n v="2"/>
    <n v="80"/>
    <n v="1"/>
    <n v="10"/>
    <n v="3"/>
    <n v="3"/>
    <x v="3"/>
    <n v="7"/>
    <n v="4"/>
    <n v="7"/>
    <x v="0"/>
    <x v="0"/>
  </r>
  <r>
    <n v="48"/>
    <x v="1"/>
    <s v="Travel_Rarely"/>
    <n v="1236"/>
    <x v="1"/>
    <x v="0"/>
    <n v="4"/>
    <s v="Life Sciences"/>
    <n v="1"/>
    <n v="664"/>
    <n v="4"/>
    <x v="0"/>
    <n v="40"/>
    <n v="2"/>
    <n v="4"/>
    <x v="5"/>
    <x v="3"/>
    <s v="Married"/>
    <n v="15402"/>
    <n v="17997"/>
    <n v="7"/>
    <s v="Y"/>
    <s v="No"/>
    <n v="11"/>
    <n v="3"/>
    <n v="1"/>
    <n v="80"/>
    <n v="1"/>
    <n v="21"/>
    <n v="3"/>
    <n v="1"/>
    <x v="11"/>
    <n v="2"/>
    <n v="0"/>
    <n v="2"/>
    <x v="1"/>
    <x v="3"/>
  </r>
  <r>
    <n v="44"/>
    <x v="1"/>
    <s v="Travel_Rarely"/>
    <n v="1112"/>
    <x v="2"/>
    <x v="0"/>
    <n v="4"/>
    <s v="Life Sciences"/>
    <n v="1"/>
    <n v="665"/>
    <n v="1"/>
    <x v="0"/>
    <n v="50"/>
    <n v="2"/>
    <n v="2"/>
    <x v="8"/>
    <x v="2"/>
    <s v="Single"/>
    <n v="5985"/>
    <n v="26894"/>
    <n v="4"/>
    <s v="Y"/>
    <s v="No"/>
    <n v="11"/>
    <n v="3"/>
    <n v="2"/>
    <n v="80"/>
    <n v="0"/>
    <n v="10"/>
    <n v="1"/>
    <n v="4"/>
    <x v="4"/>
    <n v="2"/>
    <n v="0"/>
    <n v="2"/>
    <x v="0"/>
    <x v="0"/>
  </r>
  <r>
    <n v="34"/>
    <x v="1"/>
    <s v="Travel_Rarely"/>
    <n v="204"/>
    <x v="0"/>
    <x v="24"/>
    <n v="3"/>
    <s v="Technical Degree"/>
    <n v="1"/>
    <n v="666"/>
    <n v="3"/>
    <x v="0"/>
    <n v="31"/>
    <n v="3"/>
    <n v="1"/>
    <x v="6"/>
    <x v="2"/>
    <s v="Divorced"/>
    <n v="2579"/>
    <n v="2912"/>
    <n v="1"/>
    <s v="Y"/>
    <s v="Yes"/>
    <n v="18"/>
    <n v="3"/>
    <n v="4"/>
    <n v="80"/>
    <n v="2"/>
    <n v="8"/>
    <n v="3"/>
    <n v="3"/>
    <x v="3"/>
    <n v="2"/>
    <n v="0"/>
    <n v="6"/>
    <x v="2"/>
    <x v="1"/>
  </r>
  <r>
    <n v="27"/>
    <x v="0"/>
    <s v="Travel_Rarely"/>
    <n v="1420"/>
    <x v="0"/>
    <x v="2"/>
    <n v="1"/>
    <s v="Marketing"/>
    <n v="1"/>
    <n v="667"/>
    <n v="3"/>
    <x v="1"/>
    <n v="85"/>
    <n v="3"/>
    <n v="1"/>
    <x v="6"/>
    <x v="3"/>
    <s v="Divorced"/>
    <n v="3041"/>
    <n v="16346"/>
    <n v="0"/>
    <s v="Y"/>
    <s v="No"/>
    <n v="11"/>
    <n v="3"/>
    <n v="2"/>
    <n v="80"/>
    <n v="1"/>
    <n v="5"/>
    <n v="3"/>
    <n v="3"/>
    <x v="9"/>
    <n v="3"/>
    <n v="0"/>
    <n v="2"/>
    <x v="2"/>
    <x v="0"/>
  </r>
  <r>
    <n v="21"/>
    <x v="1"/>
    <s v="Travel_Rarely"/>
    <n v="1343"/>
    <x v="0"/>
    <x v="23"/>
    <n v="1"/>
    <s v="Technical Degree"/>
    <n v="1"/>
    <n v="669"/>
    <n v="3"/>
    <x v="1"/>
    <n v="49"/>
    <n v="3"/>
    <n v="1"/>
    <x v="6"/>
    <x v="2"/>
    <s v="Single"/>
    <n v="3447"/>
    <n v="24444"/>
    <n v="1"/>
    <s v="Y"/>
    <s v="No"/>
    <n v="11"/>
    <n v="3"/>
    <n v="3"/>
    <n v="80"/>
    <n v="0"/>
    <n v="3"/>
    <n v="2"/>
    <n v="3"/>
    <x v="11"/>
    <n v="2"/>
    <n v="1"/>
    <n v="2"/>
    <x v="4"/>
    <x v="0"/>
  </r>
  <r>
    <n v="44"/>
    <x v="1"/>
    <s v="Travel_Rarely"/>
    <n v="1315"/>
    <x v="1"/>
    <x v="3"/>
    <n v="4"/>
    <s v="Other"/>
    <n v="1"/>
    <n v="671"/>
    <n v="4"/>
    <x v="1"/>
    <n v="35"/>
    <n v="3"/>
    <n v="5"/>
    <x v="5"/>
    <x v="0"/>
    <s v="Married"/>
    <n v="19513"/>
    <n v="9358"/>
    <n v="4"/>
    <s v="Y"/>
    <s v="Yes"/>
    <n v="12"/>
    <n v="3"/>
    <n v="1"/>
    <n v="80"/>
    <n v="1"/>
    <n v="26"/>
    <n v="2"/>
    <n v="4"/>
    <x v="4"/>
    <n v="2"/>
    <n v="0"/>
    <n v="1"/>
    <x v="0"/>
    <x v="3"/>
  </r>
  <r>
    <n v="22"/>
    <x v="1"/>
    <s v="Travel_Rarely"/>
    <n v="604"/>
    <x v="1"/>
    <x v="16"/>
    <n v="1"/>
    <s v="Medical"/>
    <n v="1"/>
    <n v="675"/>
    <n v="1"/>
    <x v="1"/>
    <n v="69"/>
    <n v="3"/>
    <n v="1"/>
    <x v="1"/>
    <x v="2"/>
    <s v="Married"/>
    <n v="2773"/>
    <n v="12145"/>
    <n v="0"/>
    <s v="Y"/>
    <s v="No"/>
    <n v="20"/>
    <n v="4"/>
    <n v="4"/>
    <n v="80"/>
    <n v="0"/>
    <n v="3"/>
    <n v="3"/>
    <n v="3"/>
    <x v="4"/>
    <n v="2"/>
    <n v="2"/>
    <n v="2"/>
    <x v="4"/>
    <x v="1"/>
  </r>
  <r>
    <n v="33"/>
    <x v="1"/>
    <s v="Travel_Rarely"/>
    <n v="1216"/>
    <x v="0"/>
    <x v="1"/>
    <n v="4"/>
    <s v="Marketing"/>
    <n v="1"/>
    <n v="677"/>
    <n v="3"/>
    <x v="1"/>
    <n v="39"/>
    <n v="3"/>
    <n v="2"/>
    <x v="0"/>
    <x v="2"/>
    <s v="Divorced"/>
    <n v="7104"/>
    <n v="20431"/>
    <n v="0"/>
    <s v="Y"/>
    <s v="No"/>
    <n v="12"/>
    <n v="3"/>
    <n v="4"/>
    <n v="80"/>
    <n v="0"/>
    <n v="6"/>
    <n v="3"/>
    <n v="3"/>
    <x v="8"/>
    <n v="0"/>
    <n v="1"/>
    <n v="2"/>
    <x v="2"/>
    <x v="4"/>
  </r>
  <r>
    <n v="32"/>
    <x v="1"/>
    <s v="Travel_Rarely"/>
    <n v="646"/>
    <x v="1"/>
    <x v="14"/>
    <n v="4"/>
    <s v="Life Sciences"/>
    <n v="1"/>
    <n v="679"/>
    <n v="1"/>
    <x v="0"/>
    <n v="92"/>
    <n v="3"/>
    <n v="2"/>
    <x v="1"/>
    <x v="0"/>
    <s v="Married"/>
    <n v="6322"/>
    <n v="18089"/>
    <n v="1"/>
    <s v="Y"/>
    <s v="Yes"/>
    <n v="12"/>
    <n v="3"/>
    <n v="4"/>
    <n v="80"/>
    <n v="1"/>
    <n v="6"/>
    <n v="2"/>
    <n v="2"/>
    <x v="0"/>
    <n v="4"/>
    <n v="0"/>
    <n v="5"/>
    <x v="2"/>
    <x v="4"/>
  </r>
  <r>
    <n v="30"/>
    <x v="1"/>
    <s v="Travel_Frequently"/>
    <n v="160"/>
    <x v="1"/>
    <x v="3"/>
    <n v="3"/>
    <s v="Medical"/>
    <n v="1"/>
    <n v="680"/>
    <n v="3"/>
    <x v="0"/>
    <n v="71"/>
    <n v="3"/>
    <n v="1"/>
    <x v="1"/>
    <x v="2"/>
    <s v="Divorced"/>
    <n v="2083"/>
    <n v="22653"/>
    <n v="1"/>
    <s v="Y"/>
    <s v="No"/>
    <n v="20"/>
    <n v="4"/>
    <n v="3"/>
    <n v="80"/>
    <n v="1"/>
    <n v="1"/>
    <n v="2"/>
    <n v="3"/>
    <x v="6"/>
    <n v="0"/>
    <n v="0"/>
    <n v="0"/>
    <x v="2"/>
    <x v="1"/>
  </r>
  <r>
    <n v="53"/>
    <x v="1"/>
    <s v="Travel_Rarely"/>
    <n v="238"/>
    <x v="0"/>
    <x v="0"/>
    <n v="1"/>
    <s v="Medical"/>
    <n v="1"/>
    <n v="682"/>
    <n v="4"/>
    <x v="0"/>
    <n v="34"/>
    <n v="3"/>
    <n v="2"/>
    <x v="0"/>
    <x v="3"/>
    <s v="Single"/>
    <n v="8381"/>
    <n v="7507"/>
    <n v="7"/>
    <s v="Y"/>
    <s v="No"/>
    <n v="20"/>
    <n v="4"/>
    <n v="4"/>
    <n v="80"/>
    <n v="0"/>
    <n v="18"/>
    <n v="2"/>
    <n v="4"/>
    <x v="13"/>
    <n v="7"/>
    <n v="8"/>
    <n v="10"/>
    <x v="1"/>
    <x v="4"/>
  </r>
  <r>
    <n v="34"/>
    <x v="1"/>
    <s v="Travel_Rarely"/>
    <n v="1397"/>
    <x v="1"/>
    <x v="0"/>
    <n v="5"/>
    <s v="Life Sciences"/>
    <n v="1"/>
    <n v="683"/>
    <n v="2"/>
    <x v="1"/>
    <n v="42"/>
    <n v="3"/>
    <n v="1"/>
    <x v="1"/>
    <x v="0"/>
    <s v="Married"/>
    <n v="2691"/>
    <n v="7660"/>
    <n v="1"/>
    <s v="Y"/>
    <s v="No"/>
    <n v="12"/>
    <n v="3"/>
    <n v="4"/>
    <n v="80"/>
    <n v="1"/>
    <n v="10"/>
    <n v="4"/>
    <n v="2"/>
    <x v="1"/>
    <n v="9"/>
    <n v="8"/>
    <n v="8"/>
    <x v="2"/>
    <x v="1"/>
  </r>
  <r>
    <n v="45"/>
    <x v="0"/>
    <s v="Travel_Frequently"/>
    <n v="306"/>
    <x v="0"/>
    <x v="9"/>
    <n v="4"/>
    <s v="Life Sciences"/>
    <n v="1"/>
    <n v="684"/>
    <n v="1"/>
    <x v="0"/>
    <n v="100"/>
    <n v="3"/>
    <n v="2"/>
    <x v="0"/>
    <x v="3"/>
    <s v="Married"/>
    <n v="4286"/>
    <n v="5630"/>
    <n v="2"/>
    <s v="Y"/>
    <s v="No"/>
    <n v="14"/>
    <n v="3"/>
    <n v="4"/>
    <n v="80"/>
    <n v="2"/>
    <n v="5"/>
    <n v="4"/>
    <n v="3"/>
    <x v="6"/>
    <n v="1"/>
    <n v="0"/>
    <n v="0"/>
    <x v="1"/>
    <x v="0"/>
  </r>
  <r>
    <n v="26"/>
    <x v="1"/>
    <s v="Travel_Rarely"/>
    <n v="991"/>
    <x v="1"/>
    <x v="16"/>
    <n v="3"/>
    <s v="Life Sciences"/>
    <n v="1"/>
    <n v="686"/>
    <n v="3"/>
    <x v="0"/>
    <n v="71"/>
    <n v="3"/>
    <n v="1"/>
    <x v="2"/>
    <x v="0"/>
    <s v="Married"/>
    <n v="2659"/>
    <n v="17759"/>
    <n v="1"/>
    <s v="Y"/>
    <s v="Yes"/>
    <n v="13"/>
    <n v="3"/>
    <n v="3"/>
    <n v="80"/>
    <n v="1"/>
    <n v="3"/>
    <n v="2"/>
    <n v="3"/>
    <x v="11"/>
    <n v="2"/>
    <n v="0"/>
    <n v="2"/>
    <x v="2"/>
    <x v="1"/>
  </r>
  <r>
    <n v="37"/>
    <x v="1"/>
    <s v="Travel_Rarely"/>
    <n v="482"/>
    <x v="1"/>
    <x v="3"/>
    <n v="3"/>
    <s v="Other"/>
    <n v="1"/>
    <n v="689"/>
    <n v="3"/>
    <x v="1"/>
    <n v="36"/>
    <n v="3"/>
    <n v="3"/>
    <x v="3"/>
    <x v="2"/>
    <s v="Married"/>
    <n v="9434"/>
    <n v="9606"/>
    <n v="1"/>
    <s v="Y"/>
    <s v="No"/>
    <n v="15"/>
    <n v="3"/>
    <n v="3"/>
    <n v="80"/>
    <n v="1"/>
    <n v="10"/>
    <n v="2"/>
    <n v="3"/>
    <x v="1"/>
    <n v="7"/>
    <n v="7"/>
    <n v="8"/>
    <x v="0"/>
    <x v="2"/>
  </r>
  <r>
    <n v="29"/>
    <x v="1"/>
    <s v="Travel_Rarely"/>
    <n v="1176"/>
    <x v="0"/>
    <x v="3"/>
    <n v="2"/>
    <s v="Medical"/>
    <n v="1"/>
    <n v="690"/>
    <n v="2"/>
    <x v="0"/>
    <n v="62"/>
    <n v="3"/>
    <n v="2"/>
    <x v="0"/>
    <x v="2"/>
    <s v="Married"/>
    <n v="5561"/>
    <n v="3487"/>
    <n v="1"/>
    <s v="Y"/>
    <s v="No"/>
    <n v="14"/>
    <n v="3"/>
    <n v="1"/>
    <n v="80"/>
    <n v="1"/>
    <n v="6"/>
    <n v="5"/>
    <n v="2"/>
    <x v="0"/>
    <n v="0"/>
    <n v="1"/>
    <n v="2"/>
    <x v="2"/>
    <x v="0"/>
  </r>
  <r>
    <n v="35"/>
    <x v="1"/>
    <s v="Travel_Rarely"/>
    <n v="1017"/>
    <x v="1"/>
    <x v="16"/>
    <n v="4"/>
    <s v="Life Sciences"/>
    <n v="1"/>
    <n v="691"/>
    <n v="2"/>
    <x v="1"/>
    <n v="82"/>
    <n v="1"/>
    <n v="2"/>
    <x v="1"/>
    <x v="0"/>
    <s v="Single"/>
    <n v="6646"/>
    <n v="19368"/>
    <n v="1"/>
    <s v="Y"/>
    <s v="No"/>
    <n v="13"/>
    <n v="3"/>
    <n v="2"/>
    <n v="80"/>
    <n v="0"/>
    <n v="17"/>
    <n v="3"/>
    <n v="3"/>
    <x v="18"/>
    <n v="11"/>
    <n v="11"/>
    <n v="8"/>
    <x v="0"/>
    <x v="4"/>
  </r>
  <r>
    <n v="33"/>
    <x v="1"/>
    <s v="Travel_Frequently"/>
    <n v="1296"/>
    <x v="1"/>
    <x v="16"/>
    <n v="3"/>
    <s v="Life Sciences"/>
    <n v="1"/>
    <n v="692"/>
    <n v="3"/>
    <x v="1"/>
    <n v="30"/>
    <n v="3"/>
    <n v="2"/>
    <x v="4"/>
    <x v="0"/>
    <s v="Divorced"/>
    <n v="7725"/>
    <n v="5335"/>
    <n v="3"/>
    <s v="Y"/>
    <s v="No"/>
    <n v="23"/>
    <n v="4"/>
    <n v="3"/>
    <n v="80"/>
    <n v="1"/>
    <n v="15"/>
    <n v="2"/>
    <n v="1"/>
    <x v="20"/>
    <n v="11"/>
    <n v="4"/>
    <n v="7"/>
    <x v="2"/>
    <x v="4"/>
  </r>
  <r>
    <n v="54"/>
    <x v="1"/>
    <s v="Travel_Rarely"/>
    <n v="397"/>
    <x v="2"/>
    <x v="10"/>
    <n v="4"/>
    <s v="Medical"/>
    <n v="1"/>
    <n v="698"/>
    <n v="3"/>
    <x v="1"/>
    <n v="88"/>
    <n v="3"/>
    <n v="3"/>
    <x v="8"/>
    <x v="1"/>
    <s v="Married"/>
    <n v="10725"/>
    <n v="6729"/>
    <n v="2"/>
    <s v="Y"/>
    <s v="No"/>
    <n v="15"/>
    <n v="3"/>
    <n v="3"/>
    <n v="80"/>
    <n v="1"/>
    <n v="16"/>
    <n v="1"/>
    <n v="4"/>
    <x v="7"/>
    <n v="7"/>
    <n v="7"/>
    <n v="1"/>
    <x v="1"/>
    <x v="2"/>
  </r>
  <r>
    <n v="36"/>
    <x v="1"/>
    <s v="Travel_Rarely"/>
    <n v="913"/>
    <x v="1"/>
    <x v="14"/>
    <n v="2"/>
    <s v="Medical"/>
    <n v="1"/>
    <n v="699"/>
    <n v="2"/>
    <x v="1"/>
    <n v="48"/>
    <n v="2"/>
    <n v="2"/>
    <x v="3"/>
    <x v="1"/>
    <s v="Divorced"/>
    <n v="8847"/>
    <n v="13934"/>
    <n v="2"/>
    <s v="Y"/>
    <s v="Yes"/>
    <n v="11"/>
    <n v="3"/>
    <n v="3"/>
    <n v="80"/>
    <n v="1"/>
    <n v="13"/>
    <n v="2"/>
    <n v="3"/>
    <x v="11"/>
    <n v="2"/>
    <n v="0"/>
    <n v="2"/>
    <x v="0"/>
    <x v="4"/>
  </r>
  <r>
    <n v="27"/>
    <x v="1"/>
    <s v="Travel_Rarely"/>
    <n v="1115"/>
    <x v="1"/>
    <x v="3"/>
    <n v="4"/>
    <s v="Medical"/>
    <n v="1"/>
    <n v="700"/>
    <n v="1"/>
    <x v="1"/>
    <n v="54"/>
    <n v="2"/>
    <n v="1"/>
    <x v="1"/>
    <x v="0"/>
    <s v="Single"/>
    <n v="2045"/>
    <n v="15174"/>
    <n v="0"/>
    <s v="Y"/>
    <s v="No"/>
    <n v="13"/>
    <n v="3"/>
    <n v="4"/>
    <n v="80"/>
    <n v="0"/>
    <n v="5"/>
    <n v="0"/>
    <n v="3"/>
    <x v="9"/>
    <n v="2"/>
    <n v="1"/>
    <n v="1"/>
    <x v="2"/>
    <x v="1"/>
  </r>
  <r>
    <n v="20"/>
    <x v="0"/>
    <s v="Travel_Rarely"/>
    <n v="1362"/>
    <x v="1"/>
    <x v="17"/>
    <n v="1"/>
    <s v="Medical"/>
    <n v="1"/>
    <n v="701"/>
    <n v="4"/>
    <x v="1"/>
    <n v="32"/>
    <n v="3"/>
    <n v="1"/>
    <x v="1"/>
    <x v="2"/>
    <s v="Single"/>
    <n v="1009"/>
    <n v="26999"/>
    <n v="1"/>
    <s v="Y"/>
    <s v="Yes"/>
    <n v="11"/>
    <n v="3"/>
    <n v="4"/>
    <n v="80"/>
    <n v="0"/>
    <n v="1"/>
    <n v="5"/>
    <n v="3"/>
    <x v="6"/>
    <n v="0"/>
    <n v="1"/>
    <n v="1"/>
    <x v="4"/>
    <x v="1"/>
  </r>
  <r>
    <n v="33"/>
    <x v="0"/>
    <s v="Travel_Frequently"/>
    <n v="1076"/>
    <x v="1"/>
    <x v="3"/>
    <n v="3"/>
    <s v="Life Sciences"/>
    <n v="1"/>
    <n v="702"/>
    <n v="1"/>
    <x v="1"/>
    <n v="70"/>
    <n v="3"/>
    <n v="1"/>
    <x v="1"/>
    <x v="3"/>
    <s v="Single"/>
    <n v="3348"/>
    <n v="3164"/>
    <n v="1"/>
    <s v="Y"/>
    <s v="Yes"/>
    <n v="11"/>
    <n v="3"/>
    <n v="1"/>
    <n v="80"/>
    <n v="0"/>
    <n v="10"/>
    <n v="3"/>
    <n v="3"/>
    <x v="1"/>
    <n v="8"/>
    <n v="9"/>
    <n v="7"/>
    <x v="2"/>
    <x v="0"/>
  </r>
  <r>
    <n v="35"/>
    <x v="1"/>
    <s v="Non-Travel"/>
    <n v="727"/>
    <x v="1"/>
    <x v="3"/>
    <n v="3"/>
    <s v="Life Sciences"/>
    <n v="1"/>
    <n v="704"/>
    <n v="3"/>
    <x v="1"/>
    <n v="41"/>
    <n v="2"/>
    <n v="1"/>
    <x v="2"/>
    <x v="2"/>
    <s v="Married"/>
    <n v="1281"/>
    <n v="16900"/>
    <n v="1"/>
    <s v="Y"/>
    <s v="No"/>
    <n v="18"/>
    <n v="3"/>
    <n v="3"/>
    <n v="80"/>
    <n v="2"/>
    <n v="1"/>
    <n v="3"/>
    <n v="3"/>
    <x v="6"/>
    <n v="0"/>
    <n v="0"/>
    <n v="0"/>
    <x v="0"/>
    <x v="1"/>
  </r>
  <r>
    <n v="23"/>
    <x v="1"/>
    <s v="Travel_Rarely"/>
    <n v="885"/>
    <x v="1"/>
    <x v="18"/>
    <n v="3"/>
    <s v="Medical"/>
    <n v="1"/>
    <n v="705"/>
    <n v="1"/>
    <x v="1"/>
    <n v="58"/>
    <n v="4"/>
    <n v="1"/>
    <x v="1"/>
    <x v="3"/>
    <s v="Married"/>
    <n v="2819"/>
    <n v="8544"/>
    <n v="2"/>
    <s v="Y"/>
    <s v="No"/>
    <n v="16"/>
    <n v="3"/>
    <n v="1"/>
    <n v="80"/>
    <n v="1"/>
    <n v="5"/>
    <n v="3"/>
    <n v="4"/>
    <x v="11"/>
    <n v="2"/>
    <n v="0"/>
    <n v="2"/>
    <x v="4"/>
    <x v="1"/>
  </r>
  <r>
    <n v="25"/>
    <x v="1"/>
    <s v="Travel_Rarely"/>
    <n v="810"/>
    <x v="0"/>
    <x v="1"/>
    <n v="3"/>
    <s v="Life Sciences"/>
    <n v="1"/>
    <n v="707"/>
    <n v="4"/>
    <x v="1"/>
    <n v="57"/>
    <n v="4"/>
    <n v="2"/>
    <x v="0"/>
    <x v="1"/>
    <s v="Married"/>
    <n v="4851"/>
    <n v="15678"/>
    <n v="0"/>
    <s v="Y"/>
    <s v="No"/>
    <n v="22"/>
    <n v="4"/>
    <n v="3"/>
    <n v="80"/>
    <n v="1"/>
    <n v="4"/>
    <n v="4"/>
    <n v="3"/>
    <x v="11"/>
    <n v="2"/>
    <n v="1"/>
    <n v="2"/>
    <x v="2"/>
    <x v="0"/>
  </r>
  <r>
    <n v="38"/>
    <x v="1"/>
    <s v="Travel_Rarely"/>
    <n v="243"/>
    <x v="0"/>
    <x v="15"/>
    <n v="4"/>
    <s v="Marketing"/>
    <n v="1"/>
    <n v="709"/>
    <n v="4"/>
    <x v="0"/>
    <n v="46"/>
    <n v="2"/>
    <n v="2"/>
    <x v="0"/>
    <x v="0"/>
    <s v="Single"/>
    <n v="4028"/>
    <n v="7791"/>
    <n v="0"/>
    <s v="Y"/>
    <s v="No"/>
    <n v="20"/>
    <n v="4"/>
    <n v="1"/>
    <n v="80"/>
    <n v="0"/>
    <n v="8"/>
    <n v="2"/>
    <n v="3"/>
    <x v="5"/>
    <n v="7"/>
    <n v="0"/>
    <n v="5"/>
    <x v="0"/>
    <x v="0"/>
  </r>
  <r>
    <n v="29"/>
    <x v="1"/>
    <s v="Travel_Frequently"/>
    <n v="806"/>
    <x v="1"/>
    <x v="0"/>
    <n v="4"/>
    <s v="Life Sciences"/>
    <n v="1"/>
    <n v="710"/>
    <n v="2"/>
    <x v="1"/>
    <n v="76"/>
    <n v="1"/>
    <n v="1"/>
    <x v="1"/>
    <x v="0"/>
    <s v="Divorced"/>
    <n v="2720"/>
    <n v="18959"/>
    <n v="1"/>
    <s v="Y"/>
    <s v="No"/>
    <n v="18"/>
    <n v="3"/>
    <n v="4"/>
    <n v="80"/>
    <n v="1"/>
    <n v="10"/>
    <n v="5"/>
    <n v="3"/>
    <x v="1"/>
    <n v="7"/>
    <n v="2"/>
    <n v="8"/>
    <x v="2"/>
    <x v="1"/>
  </r>
  <r>
    <n v="48"/>
    <x v="1"/>
    <s v="Travel_Rarely"/>
    <n v="817"/>
    <x v="0"/>
    <x v="2"/>
    <n v="1"/>
    <s v="Marketing"/>
    <n v="1"/>
    <n v="712"/>
    <n v="2"/>
    <x v="1"/>
    <n v="56"/>
    <n v="4"/>
    <n v="2"/>
    <x v="0"/>
    <x v="1"/>
    <s v="Married"/>
    <n v="8120"/>
    <n v="18597"/>
    <n v="3"/>
    <s v="Y"/>
    <s v="No"/>
    <n v="12"/>
    <n v="3"/>
    <n v="4"/>
    <n v="80"/>
    <n v="0"/>
    <n v="12"/>
    <n v="3"/>
    <n v="3"/>
    <x v="4"/>
    <n v="2"/>
    <n v="2"/>
    <n v="2"/>
    <x v="1"/>
    <x v="4"/>
  </r>
  <r>
    <n v="27"/>
    <x v="1"/>
    <s v="Travel_Frequently"/>
    <n v="1410"/>
    <x v="0"/>
    <x v="3"/>
    <n v="1"/>
    <s v="Medical"/>
    <n v="1"/>
    <n v="714"/>
    <n v="4"/>
    <x v="0"/>
    <n v="71"/>
    <n v="4"/>
    <n v="2"/>
    <x v="0"/>
    <x v="0"/>
    <s v="Divorced"/>
    <n v="4647"/>
    <n v="16673"/>
    <n v="1"/>
    <s v="Y"/>
    <s v="Yes"/>
    <n v="20"/>
    <n v="4"/>
    <n v="2"/>
    <n v="80"/>
    <n v="2"/>
    <n v="6"/>
    <n v="3"/>
    <n v="3"/>
    <x v="0"/>
    <n v="5"/>
    <n v="0"/>
    <n v="4"/>
    <x v="2"/>
    <x v="0"/>
  </r>
  <r>
    <n v="37"/>
    <x v="1"/>
    <s v="Travel_Rarely"/>
    <n v="1225"/>
    <x v="1"/>
    <x v="17"/>
    <n v="2"/>
    <s v="Life Sciences"/>
    <n v="1"/>
    <n v="715"/>
    <n v="4"/>
    <x v="1"/>
    <n v="80"/>
    <n v="4"/>
    <n v="1"/>
    <x v="1"/>
    <x v="0"/>
    <s v="Single"/>
    <n v="4680"/>
    <n v="15232"/>
    <n v="3"/>
    <s v="Y"/>
    <s v="No"/>
    <n v="17"/>
    <n v="3"/>
    <n v="1"/>
    <n v="80"/>
    <n v="0"/>
    <n v="4"/>
    <n v="2"/>
    <n v="3"/>
    <x v="6"/>
    <n v="0"/>
    <n v="0"/>
    <n v="0"/>
    <x v="0"/>
    <x v="0"/>
  </r>
  <r>
    <n v="50"/>
    <x v="1"/>
    <s v="Travel_Rarely"/>
    <n v="1207"/>
    <x v="1"/>
    <x v="26"/>
    <n v="1"/>
    <s v="Medical"/>
    <n v="1"/>
    <n v="716"/>
    <n v="4"/>
    <x v="1"/>
    <n v="74"/>
    <n v="4"/>
    <n v="1"/>
    <x v="2"/>
    <x v="2"/>
    <s v="Married"/>
    <n v="3221"/>
    <n v="3297"/>
    <n v="1"/>
    <s v="Y"/>
    <s v="Yes"/>
    <n v="11"/>
    <n v="3"/>
    <n v="3"/>
    <n v="80"/>
    <n v="3"/>
    <n v="20"/>
    <n v="3"/>
    <n v="3"/>
    <x v="23"/>
    <n v="8"/>
    <n v="3"/>
    <n v="8"/>
    <x v="1"/>
    <x v="0"/>
  </r>
  <r>
    <n v="34"/>
    <x v="1"/>
    <s v="Travel_Rarely"/>
    <n v="1442"/>
    <x v="1"/>
    <x v="14"/>
    <n v="3"/>
    <s v="Medical"/>
    <n v="1"/>
    <n v="717"/>
    <n v="4"/>
    <x v="0"/>
    <n v="46"/>
    <n v="2"/>
    <n v="3"/>
    <x v="4"/>
    <x v="1"/>
    <s v="Single"/>
    <n v="8621"/>
    <n v="17654"/>
    <n v="1"/>
    <s v="Y"/>
    <s v="No"/>
    <n v="14"/>
    <n v="3"/>
    <n v="2"/>
    <n v="80"/>
    <n v="0"/>
    <n v="9"/>
    <n v="3"/>
    <n v="4"/>
    <x v="3"/>
    <n v="7"/>
    <n v="7"/>
    <n v="7"/>
    <x v="2"/>
    <x v="4"/>
  </r>
  <r>
    <n v="24"/>
    <x v="0"/>
    <s v="Travel_Rarely"/>
    <n v="693"/>
    <x v="0"/>
    <x v="3"/>
    <n v="2"/>
    <s v="Life Sciences"/>
    <n v="1"/>
    <n v="720"/>
    <n v="1"/>
    <x v="0"/>
    <n v="65"/>
    <n v="3"/>
    <n v="2"/>
    <x v="0"/>
    <x v="2"/>
    <s v="Single"/>
    <n v="4577"/>
    <n v="24785"/>
    <n v="9"/>
    <s v="Y"/>
    <s v="No"/>
    <n v="14"/>
    <n v="3"/>
    <n v="1"/>
    <n v="80"/>
    <n v="0"/>
    <n v="4"/>
    <n v="3"/>
    <n v="3"/>
    <x v="4"/>
    <n v="2"/>
    <n v="2"/>
    <n v="0"/>
    <x v="4"/>
    <x v="0"/>
  </r>
  <r>
    <n v="39"/>
    <x v="1"/>
    <s v="Travel_Rarely"/>
    <n v="408"/>
    <x v="1"/>
    <x v="2"/>
    <n v="4"/>
    <s v="Technical Degree"/>
    <n v="1"/>
    <n v="721"/>
    <n v="4"/>
    <x v="0"/>
    <n v="80"/>
    <n v="2"/>
    <n v="2"/>
    <x v="4"/>
    <x v="2"/>
    <s v="Single"/>
    <n v="4553"/>
    <n v="20978"/>
    <n v="1"/>
    <s v="Y"/>
    <s v="No"/>
    <n v="11"/>
    <n v="3"/>
    <n v="1"/>
    <n v="80"/>
    <n v="0"/>
    <n v="20"/>
    <n v="4"/>
    <n v="3"/>
    <x v="23"/>
    <n v="7"/>
    <n v="11"/>
    <n v="10"/>
    <x v="0"/>
    <x v="0"/>
  </r>
  <r>
    <n v="32"/>
    <x v="1"/>
    <s v="Travel_Rarely"/>
    <n v="929"/>
    <x v="0"/>
    <x v="17"/>
    <n v="3"/>
    <s v="Marketing"/>
    <n v="1"/>
    <n v="722"/>
    <n v="4"/>
    <x v="1"/>
    <n v="55"/>
    <n v="3"/>
    <n v="2"/>
    <x v="0"/>
    <x v="0"/>
    <s v="Single"/>
    <n v="5396"/>
    <n v="21703"/>
    <n v="1"/>
    <s v="Y"/>
    <s v="No"/>
    <n v="12"/>
    <n v="3"/>
    <n v="4"/>
    <n v="80"/>
    <n v="0"/>
    <n v="10"/>
    <n v="2"/>
    <n v="2"/>
    <x v="1"/>
    <n v="7"/>
    <n v="0"/>
    <n v="8"/>
    <x v="2"/>
    <x v="0"/>
  </r>
  <r>
    <n v="50"/>
    <x v="0"/>
    <s v="Travel_Frequently"/>
    <n v="562"/>
    <x v="0"/>
    <x v="1"/>
    <n v="2"/>
    <s v="Technical Degree"/>
    <n v="1"/>
    <n v="723"/>
    <n v="2"/>
    <x v="1"/>
    <n v="50"/>
    <n v="3"/>
    <n v="2"/>
    <x v="0"/>
    <x v="2"/>
    <s v="Married"/>
    <n v="6796"/>
    <n v="23452"/>
    <n v="3"/>
    <s v="Y"/>
    <s v="Yes"/>
    <n v="14"/>
    <n v="3"/>
    <n v="1"/>
    <n v="80"/>
    <n v="1"/>
    <n v="18"/>
    <n v="4"/>
    <n v="3"/>
    <x v="9"/>
    <n v="3"/>
    <n v="1"/>
    <n v="3"/>
    <x v="1"/>
    <x v="4"/>
  </r>
  <r>
    <n v="38"/>
    <x v="1"/>
    <s v="Travel_Rarely"/>
    <n v="827"/>
    <x v="1"/>
    <x v="0"/>
    <n v="4"/>
    <s v="Life Sciences"/>
    <n v="1"/>
    <n v="724"/>
    <n v="2"/>
    <x v="0"/>
    <n v="33"/>
    <n v="4"/>
    <n v="2"/>
    <x v="4"/>
    <x v="0"/>
    <s v="Single"/>
    <n v="7625"/>
    <n v="19383"/>
    <n v="0"/>
    <s v="Y"/>
    <s v="No"/>
    <n v="13"/>
    <n v="3"/>
    <n v="3"/>
    <n v="80"/>
    <n v="0"/>
    <n v="10"/>
    <n v="4"/>
    <n v="2"/>
    <x v="7"/>
    <n v="7"/>
    <n v="1"/>
    <n v="8"/>
    <x v="0"/>
    <x v="4"/>
  </r>
  <r>
    <n v="27"/>
    <x v="1"/>
    <s v="Travel_Rarely"/>
    <n v="608"/>
    <x v="1"/>
    <x v="0"/>
    <n v="2"/>
    <s v="Life Sciences"/>
    <n v="1"/>
    <n v="725"/>
    <n v="3"/>
    <x v="0"/>
    <n v="68"/>
    <n v="3"/>
    <n v="3"/>
    <x v="3"/>
    <x v="3"/>
    <s v="Married"/>
    <n v="7412"/>
    <n v="6009"/>
    <n v="1"/>
    <s v="Y"/>
    <s v="No"/>
    <n v="11"/>
    <n v="3"/>
    <n v="4"/>
    <n v="80"/>
    <n v="0"/>
    <n v="9"/>
    <n v="3"/>
    <n v="3"/>
    <x v="7"/>
    <n v="7"/>
    <n v="0"/>
    <n v="7"/>
    <x v="2"/>
    <x v="4"/>
  </r>
  <r>
    <n v="32"/>
    <x v="1"/>
    <s v="Travel_Rarely"/>
    <n v="1018"/>
    <x v="1"/>
    <x v="3"/>
    <n v="2"/>
    <s v="Life Sciences"/>
    <n v="1"/>
    <n v="727"/>
    <n v="3"/>
    <x v="0"/>
    <n v="39"/>
    <n v="3"/>
    <n v="3"/>
    <x v="7"/>
    <x v="0"/>
    <s v="Single"/>
    <n v="11159"/>
    <n v="19373"/>
    <n v="3"/>
    <s v="Y"/>
    <s v="No"/>
    <n v="15"/>
    <n v="3"/>
    <n v="4"/>
    <n v="80"/>
    <n v="0"/>
    <n v="10"/>
    <n v="6"/>
    <n v="3"/>
    <x v="5"/>
    <n v="7"/>
    <n v="7"/>
    <n v="7"/>
    <x v="2"/>
    <x v="2"/>
  </r>
  <r>
    <n v="47"/>
    <x v="1"/>
    <s v="Travel_Rarely"/>
    <n v="703"/>
    <x v="0"/>
    <x v="24"/>
    <n v="4"/>
    <s v="Marketing"/>
    <n v="1"/>
    <n v="728"/>
    <n v="4"/>
    <x v="1"/>
    <n v="42"/>
    <n v="3"/>
    <n v="2"/>
    <x v="0"/>
    <x v="3"/>
    <s v="Single"/>
    <n v="4960"/>
    <n v="11825"/>
    <n v="2"/>
    <s v="Y"/>
    <s v="No"/>
    <n v="12"/>
    <n v="3"/>
    <n v="4"/>
    <n v="80"/>
    <n v="0"/>
    <n v="20"/>
    <n v="2"/>
    <n v="3"/>
    <x v="5"/>
    <n v="7"/>
    <n v="1"/>
    <n v="7"/>
    <x v="1"/>
    <x v="0"/>
  </r>
  <r>
    <n v="40"/>
    <x v="1"/>
    <s v="Travel_Frequently"/>
    <n v="580"/>
    <x v="0"/>
    <x v="12"/>
    <n v="4"/>
    <s v="Life Sciences"/>
    <n v="1"/>
    <n v="729"/>
    <n v="4"/>
    <x v="1"/>
    <n v="48"/>
    <n v="2"/>
    <n v="3"/>
    <x v="0"/>
    <x v="3"/>
    <s v="Married"/>
    <n v="10475"/>
    <n v="23772"/>
    <n v="5"/>
    <s v="Y"/>
    <s v="Yes"/>
    <n v="21"/>
    <n v="4"/>
    <n v="3"/>
    <n v="80"/>
    <n v="1"/>
    <n v="20"/>
    <n v="2"/>
    <n v="3"/>
    <x v="29"/>
    <n v="13"/>
    <n v="1"/>
    <n v="12"/>
    <x v="0"/>
    <x v="2"/>
  </r>
  <r>
    <n v="53"/>
    <x v="1"/>
    <s v="Travel_Rarely"/>
    <n v="970"/>
    <x v="1"/>
    <x v="15"/>
    <n v="3"/>
    <s v="Life Sciences"/>
    <n v="1"/>
    <n v="730"/>
    <n v="3"/>
    <x v="1"/>
    <n v="59"/>
    <n v="4"/>
    <n v="4"/>
    <x v="7"/>
    <x v="2"/>
    <s v="Married"/>
    <n v="14814"/>
    <n v="13514"/>
    <n v="3"/>
    <s v="Y"/>
    <s v="No"/>
    <n v="19"/>
    <n v="3"/>
    <n v="3"/>
    <n v="80"/>
    <n v="0"/>
    <n v="32"/>
    <n v="3"/>
    <n v="3"/>
    <x v="8"/>
    <n v="1"/>
    <n v="1"/>
    <n v="3"/>
    <x v="1"/>
    <x v="3"/>
  </r>
  <r>
    <n v="41"/>
    <x v="1"/>
    <s v="Travel_Rarely"/>
    <n v="427"/>
    <x v="2"/>
    <x v="17"/>
    <n v="4"/>
    <s v="Human Resources"/>
    <n v="1"/>
    <n v="731"/>
    <n v="2"/>
    <x v="1"/>
    <n v="73"/>
    <n v="2"/>
    <n v="5"/>
    <x v="5"/>
    <x v="0"/>
    <s v="Divorced"/>
    <n v="19141"/>
    <n v="8861"/>
    <n v="3"/>
    <s v="Y"/>
    <s v="No"/>
    <n v="15"/>
    <n v="3"/>
    <n v="2"/>
    <n v="80"/>
    <n v="3"/>
    <n v="23"/>
    <n v="2"/>
    <n v="2"/>
    <x v="17"/>
    <n v="6"/>
    <n v="12"/>
    <n v="6"/>
    <x v="0"/>
    <x v="3"/>
  </r>
  <r>
    <n v="60"/>
    <x v="1"/>
    <s v="Travel_Rarely"/>
    <n v="1179"/>
    <x v="0"/>
    <x v="7"/>
    <n v="4"/>
    <s v="Marketing"/>
    <n v="1"/>
    <n v="732"/>
    <n v="1"/>
    <x v="1"/>
    <n v="84"/>
    <n v="3"/>
    <n v="2"/>
    <x v="0"/>
    <x v="3"/>
    <s v="Single"/>
    <n v="5405"/>
    <n v="11924"/>
    <n v="8"/>
    <s v="Y"/>
    <s v="No"/>
    <n v="14"/>
    <n v="3"/>
    <n v="4"/>
    <n v="80"/>
    <n v="0"/>
    <n v="10"/>
    <n v="1"/>
    <n v="3"/>
    <x v="4"/>
    <n v="2"/>
    <n v="2"/>
    <n v="2"/>
    <x v="3"/>
    <x v="0"/>
  </r>
  <r>
    <n v="27"/>
    <x v="1"/>
    <s v="Travel_Frequently"/>
    <n v="294"/>
    <x v="1"/>
    <x v="17"/>
    <n v="2"/>
    <s v="Life Sciences"/>
    <n v="1"/>
    <n v="733"/>
    <n v="4"/>
    <x v="1"/>
    <n v="32"/>
    <n v="3"/>
    <n v="3"/>
    <x v="3"/>
    <x v="3"/>
    <s v="Divorced"/>
    <n v="8793"/>
    <n v="4809"/>
    <n v="1"/>
    <s v="Y"/>
    <s v="No"/>
    <n v="21"/>
    <n v="4"/>
    <n v="3"/>
    <n v="80"/>
    <n v="2"/>
    <n v="9"/>
    <n v="4"/>
    <n v="2"/>
    <x v="7"/>
    <n v="7"/>
    <n v="1"/>
    <n v="7"/>
    <x v="2"/>
    <x v="4"/>
  </r>
  <r>
    <n v="41"/>
    <x v="1"/>
    <s v="Travel_Rarely"/>
    <n v="314"/>
    <x v="2"/>
    <x v="0"/>
    <n v="3"/>
    <s v="Human Resources"/>
    <n v="1"/>
    <n v="734"/>
    <n v="4"/>
    <x v="1"/>
    <n v="59"/>
    <n v="2"/>
    <n v="5"/>
    <x v="5"/>
    <x v="2"/>
    <s v="Married"/>
    <n v="19189"/>
    <n v="19562"/>
    <n v="1"/>
    <s v="Y"/>
    <s v="No"/>
    <n v="12"/>
    <n v="3"/>
    <n v="2"/>
    <n v="80"/>
    <n v="1"/>
    <n v="22"/>
    <n v="3"/>
    <n v="3"/>
    <x v="14"/>
    <n v="7"/>
    <n v="2"/>
    <n v="10"/>
    <x v="0"/>
    <x v="3"/>
  </r>
  <r>
    <n v="50"/>
    <x v="1"/>
    <s v="Travel_Rarely"/>
    <n v="316"/>
    <x v="0"/>
    <x v="1"/>
    <n v="4"/>
    <s v="Marketing"/>
    <n v="1"/>
    <n v="738"/>
    <n v="4"/>
    <x v="1"/>
    <n v="54"/>
    <n v="3"/>
    <n v="1"/>
    <x v="6"/>
    <x v="1"/>
    <s v="Married"/>
    <n v="3875"/>
    <n v="9983"/>
    <n v="7"/>
    <s v="Y"/>
    <s v="No"/>
    <n v="15"/>
    <n v="3"/>
    <n v="4"/>
    <n v="80"/>
    <n v="1"/>
    <n v="4"/>
    <n v="2"/>
    <n v="3"/>
    <x v="4"/>
    <n v="2"/>
    <n v="2"/>
    <n v="2"/>
    <x v="1"/>
    <x v="0"/>
  </r>
  <r>
    <n v="28"/>
    <x v="0"/>
    <s v="Travel_Rarely"/>
    <n v="654"/>
    <x v="1"/>
    <x v="0"/>
    <n v="2"/>
    <s v="Life Sciences"/>
    <n v="1"/>
    <n v="741"/>
    <n v="1"/>
    <x v="0"/>
    <n v="67"/>
    <n v="1"/>
    <n v="1"/>
    <x v="1"/>
    <x v="1"/>
    <s v="Single"/>
    <n v="2216"/>
    <n v="3872"/>
    <n v="7"/>
    <s v="Y"/>
    <s v="Yes"/>
    <n v="13"/>
    <n v="3"/>
    <n v="4"/>
    <n v="80"/>
    <n v="0"/>
    <n v="10"/>
    <n v="4"/>
    <n v="3"/>
    <x v="5"/>
    <n v="7"/>
    <n v="3"/>
    <n v="7"/>
    <x v="2"/>
    <x v="1"/>
  </r>
  <r>
    <n v="36"/>
    <x v="1"/>
    <s v="Non-Travel"/>
    <n v="427"/>
    <x v="1"/>
    <x v="1"/>
    <n v="3"/>
    <s v="Life Sciences"/>
    <n v="1"/>
    <n v="742"/>
    <n v="1"/>
    <x v="0"/>
    <n v="63"/>
    <n v="4"/>
    <n v="3"/>
    <x v="7"/>
    <x v="3"/>
    <s v="Married"/>
    <n v="11713"/>
    <n v="20335"/>
    <n v="9"/>
    <s v="Y"/>
    <s v="No"/>
    <n v="14"/>
    <n v="3"/>
    <n v="1"/>
    <n v="80"/>
    <n v="1"/>
    <n v="10"/>
    <n v="2"/>
    <n v="3"/>
    <x v="3"/>
    <n v="7"/>
    <n v="0"/>
    <n v="5"/>
    <x v="0"/>
    <x v="2"/>
  </r>
  <r>
    <n v="38"/>
    <x v="1"/>
    <s v="Travel_Rarely"/>
    <n v="168"/>
    <x v="1"/>
    <x v="0"/>
    <n v="3"/>
    <s v="Life Sciences"/>
    <n v="1"/>
    <n v="743"/>
    <n v="3"/>
    <x v="0"/>
    <n v="81"/>
    <n v="3"/>
    <n v="3"/>
    <x v="3"/>
    <x v="2"/>
    <s v="Single"/>
    <n v="7861"/>
    <n v="15397"/>
    <n v="4"/>
    <s v="Y"/>
    <s v="Yes"/>
    <n v="14"/>
    <n v="3"/>
    <n v="4"/>
    <n v="80"/>
    <n v="0"/>
    <n v="10"/>
    <n v="4"/>
    <n v="4"/>
    <x v="6"/>
    <n v="0"/>
    <n v="0"/>
    <n v="0"/>
    <x v="0"/>
    <x v="4"/>
  </r>
  <r>
    <n v="44"/>
    <x v="1"/>
    <s v="Non-Travel"/>
    <n v="381"/>
    <x v="1"/>
    <x v="4"/>
    <n v="3"/>
    <s v="Medical"/>
    <n v="1"/>
    <n v="744"/>
    <n v="1"/>
    <x v="1"/>
    <n v="49"/>
    <n v="1"/>
    <n v="1"/>
    <x v="2"/>
    <x v="2"/>
    <s v="Single"/>
    <n v="3708"/>
    <n v="2104"/>
    <n v="2"/>
    <s v="Y"/>
    <s v="No"/>
    <n v="14"/>
    <n v="3"/>
    <n v="3"/>
    <n v="80"/>
    <n v="0"/>
    <n v="9"/>
    <n v="5"/>
    <n v="3"/>
    <x v="8"/>
    <n v="2"/>
    <n v="1"/>
    <n v="4"/>
    <x v="0"/>
    <x v="0"/>
  </r>
  <r>
    <n v="47"/>
    <x v="1"/>
    <s v="Travel_Frequently"/>
    <n v="217"/>
    <x v="0"/>
    <x v="3"/>
    <n v="3"/>
    <s v="Medical"/>
    <n v="1"/>
    <n v="746"/>
    <n v="4"/>
    <x v="0"/>
    <n v="49"/>
    <n v="3"/>
    <n v="4"/>
    <x v="0"/>
    <x v="2"/>
    <s v="Divorced"/>
    <n v="13770"/>
    <n v="10225"/>
    <n v="9"/>
    <s v="Y"/>
    <s v="Yes"/>
    <n v="12"/>
    <n v="3"/>
    <n v="4"/>
    <n v="80"/>
    <n v="2"/>
    <n v="28"/>
    <n v="2"/>
    <n v="2"/>
    <x v="14"/>
    <n v="2"/>
    <n v="11"/>
    <n v="13"/>
    <x v="1"/>
    <x v="3"/>
  </r>
  <r>
    <n v="30"/>
    <x v="1"/>
    <s v="Travel_Rarely"/>
    <n v="501"/>
    <x v="0"/>
    <x v="6"/>
    <n v="5"/>
    <s v="Marketing"/>
    <n v="1"/>
    <n v="747"/>
    <n v="3"/>
    <x v="1"/>
    <n v="99"/>
    <n v="3"/>
    <n v="2"/>
    <x v="0"/>
    <x v="0"/>
    <s v="Divorced"/>
    <n v="5304"/>
    <n v="25275"/>
    <n v="7"/>
    <s v="Y"/>
    <s v="No"/>
    <n v="23"/>
    <n v="4"/>
    <n v="4"/>
    <n v="80"/>
    <n v="1"/>
    <n v="10"/>
    <n v="2"/>
    <n v="2"/>
    <x v="3"/>
    <n v="7"/>
    <n v="7"/>
    <n v="7"/>
    <x v="2"/>
    <x v="0"/>
  </r>
  <r>
    <n v="29"/>
    <x v="1"/>
    <s v="Travel_Rarely"/>
    <n v="1396"/>
    <x v="0"/>
    <x v="17"/>
    <n v="3"/>
    <s v="Life Sciences"/>
    <n v="1"/>
    <n v="749"/>
    <n v="3"/>
    <x v="1"/>
    <n v="99"/>
    <n v="3"/>
    <n v="1"/>
    <x v="6"/>
    <x v="2"/>
    <s v="Single"/>
    <n v="2642"/>
    <n v="2755"/>
    <n v="1"/>
    <s v="Y"/>
    <s v="No"/>
    <n v="11"/>
    <n v="3"/>
    <n v="3"/>
    <n v="80"/>
    <n v="0"/>
    <n v="1"/>
    <n v="6"/>
    <n v="3"/>
    <x v="6"/>
    <n v="0"/>
    <n v="0"/>
    <n v="0"/>
    <x v="2"/>
    <x v="1"/>
  </r>
  <r>
    <n v="42"/>
    <x v="0"/>
    <s v="Travel_Frequently"/>
    <n v="933"/>
    <x v="1"/>
    <x v="10"/>
    <n v="3"/>
    <s v="Medical"/>
    <n v="1"/>
    <n v="752"/>
    <n v="3"/>
    <x v="1"/>
    <n v="57"/>
    <n v="4"/>
    <n v="1"/>
    <x v="1"/>
    <x v="2"/>
    <s v="Divorced"/>
    <n v="2759"/>
    <n v="20366"/>
    <n v="6"/>
    <s v="Y"/>
    <s v="Yes"/>
    <n v="12"/>
    <n v="3"/>
    <n v="4"/>
    <n v="80"/>
    <n v="0"/>
    <n v="7"/>
    <n v="2"/>
    <n v="3"/>
    <x v="4"/>
    <n v="2"/>
    <n v="2"/>
    <n v="2"/>
    <x v="0"/>
    <x v="1"/>
  </r>
  <r>
    <n v="43"/>
    <x v="1"/>
    <s v="Travel_Frequently"/>
    <n v="775"/>
    <x v="0"/>
    <x v="8"/>
    <n v="3"/>
    <s v="Life Sciences"/>
    <n v="1"/>
    <n v="754"/>
    <n v="4"/>
    <x v="1"/>
    <n v="47"/>
    <n v="2"/>
    <n v="2"/>
    <x v="0"/>
    <x v="0"/>
    <s v="Married"/>
    <n v="6804"/>
    <n v="23683"/>
    <n v="3"/>
    <s v="Y"/>
    <s v="No"/>
    <n v="18"/>
    <n v="3"/>
    <n v="3"/>
    <n v="80"/>
    <n v="1"/>
    <n v="7"/>
    <n v="5"/>
    <n v="3"/>
    <x v="4"/>
    <n v="2"/>
    <n v="2"/>
    <n v="2"/>
    <x v="0"/>
    <x v="4"/>
  </r>
  <r>
    <n v="34"/>
    <x v="1"/>
    <s v="Travel_Rarely"/>
    <n v="970"/>
    <x v="1"/>
    <x v="1"/>
    <n v="2"/>
    <s v="Medical"/>
    <n v="1"/>
    <n v="757"/>
    <n v="2"/>
    <x v="0"/>
    <n v="96"/>
    <n v="3"/>
    <n v="2"/>
    <x v="4"/>
    <x v="2"/>
    <s v="Single"/>
    <n v="6142"/>
    <n v="7360"/>
    <n v="3"/>
    <s v="Y"/>
    <s v="No"/>
    <n v="11"/>
    <n v="3"/>
    <n v="4"/>
    <n v="80"/>
    <n v="0"/>
    <n v="10"/>
    <n v="2"/>
    <n v="3"/>
    <x v="8"/>
    <n v="1"/>
    <n v="4"/>
    <n v="3"/>
    <x v="2"/>
    <x v="4"/>
  </r>
  <r>
    <n v="23"/>
    <x v="1"/>
    <s v="Travel_Rarely"/>
    <n v="650"/>
    <x v="1"/>
    <x v="14"/>
    <n v="1"/>
    <s v="Medical"/>
    <n v="1"/>
    <n v="758"/>
    <n v="2"/>
    <x v="1"/>
    <n v="37"/>
    <n v="3"/>
    <n v="1"/>
    <x v="2"/>
    <x v="3"/>
    <s v="Married"/>
    <n v="2500"/>
    <n v="4344"/>
    <n v="1"/>
    <s v="Y"/>
    <s v="No"/>
    <n v="14"/>
    <n v="3"/>
    <n v="4"/>
    <n v="80"/>
    <n v="1"/>
    <n v="5"/>
    <n v="2"/>
    <n v="4"/>
    <x v="9"/>
    <n v="3"/>
    <n v="0"/>
    <n v="2"/>
    <x v="4"/>
    <x v="1"/>
  </r>
  <r>
    <n v="39"/>
    <x v="1"/>
    <s v="Travel_Rarely"/>
    <n v="141"/>
    <x v="2"/>
    <x v="3"/>
    <n v="3"/>
    <s v="Human Resources"/>
    <n v="1"/>
    <n v="760"/>
    <n v="3"/>
    <x v="0"/>
    <n v="44"/>
    <n v="4"/>
    <n v="2"/>
    <x v="8"/>
    <x v="1"/>
    <s v="Married"/>
    <n v="6389"/>
    <n v="18767"/>
    <n v="9"/>
    <s v="Y"/>
    <s v="No"/>
    <n v="15"/>
    <n v="3"/>
    <n v="3"/>
    <n v="80"/>
    <n v="1"/>
    <n v="12"/>
    <n v="3"/>
    <n v="1"/>
    <x v="3"/>
    <n v="3"/>
    <n v="3"/>
    <n v="6"/>
    <x v="0"/>
    <x v="4"/>
  </r>
  <r>
    <n v="56"/>
    <x v="1"/>
    <s v="Travel_Rarely"/>
    <n v="832"/>
    <x v="1"/>
    <x v="14"/>
    <n v="3"/>
    <s v="Medical"/>
    <n v="1"/>
    <n v="762"/>
    <n v="3"/>
    <x v="1"/>
    <n v="81"/>
    <n v="3"/>
    <n v="4"/>
    <x v="4"/>
    <x v="0"/>
    <s v="Married"/>
    <n v="11103"/>
    <n v="20420"/>
    <n v="7"/>
    <s v="Y"/>
    <s v="No"/>
    <n v="11"/>
    <n v="3"/>
    <n v="3"/>
    <n v="80"/>
    <n v="0"/>
    <n v="30"/>
    <n v="1"/>
    <n v="2"/>
    <x v="1"/>
    <n v="7"/>
    <n v="1"/>
    <n v="1"/>
    <x v="3"/>
    <x v="2"/>
  </r>
  <r>
    <n v="40"/>
    <x v="1"/>
    <s v="Travel_Rarely"/>
    <n v="804"/>
    <x v="1"/>
    <x v="2"/>
    <n v="1"/>
    <s v="Medical"/>
    <n v="1"/>
    <n v="763"/>
    <n v="4"/>
    <x v="0"/>
    <n v="86"/>
    <n v="2"/>
    <n v="1"/>
    <x v="1"/>
    <x v="0"/>
    <s v="Single"/>
    <n v="2342"/>
    <n v="22929"/>
    <n v="0"/>
    <s v="Y"/>
    <s v="Yes"/>
    <n v="20"/>
    <n v="4"/>
    <n v="4"/>
    <n v="80"/>
    <n v="0"/>
    <n v="5"/>
    <n v="2"/>
    <n v="2"/>
    <x v="9"/>
    <n v="2"/>
    <n v="2"/>
    <n v="3"/>
    <x v="0"/>
    <x v="1"/>
  </r>
  <r>
    <n v="27"/>
    <x v="1"/>
    <s v="Travel_Rarely"/>
    <n v="975"/>
    <x v="1"/>
    <x v="15"/>
    <n v="3"/>
    <s v="Medical"/>
    <n v="1"/>
    <n v="764"/>
    <n v="4"/>
    <x v="0"/>
    <n v="55"/>
    <n v="2"/>
    <n v="2"/>
    <x v="4"/>
    <x v="3"/>
    <s v="Single"/>
    <n v="6811"/>
    <n v="23398"/>
    <n v="8"/>
    <s v="Y"/>
    <s v="No"/>
    <n v="19"/>
    <n v="3"/>
    <n v="1"/>
    <n v="80"/>
    <n v="0"/>
    <n v="9"/>
    <n v="2"/>
    <n v="1"/>
    <x v="5"/>
    <n v="6"/>
    <n v="0"/>
    <n v="7"/>
    <x v="2"/>
    <x v="4"/>
  </r>
  <r>
    <n v="29"/>
    <x v="1"/>
    <s v="Travel_Rarely"/>
    <n v="1090"/>
    <x v="0"/>
    <x v="17"/>
    <n v="3"/>
    <s v="Marketing"/>
    <n v="1"/>
    <n v="766"/>
    <n v="4"/>
    <x v="1"/>
    <n v="83"/>
    <n v="3"/>
    <n v="1"/>
    <x v="6"/>
    <x v="1"/>
    <s v="Divorced"/>
    <n v="2297"/>
    <n v="17967"/>
    <n v="1"/>
    <s v="Y"/>
    <s v="No"/>
    <n v="14"/>
    <n v="3"/>
    <n v="4"/>
    <n v="80"/>
    <n v="2"/>
    <n v="2"/>
    <n v="2"/>
    <n v="3"/>
    <x v="4"/>
    <n v="2"/>
    <n v="2"/>
    <n v="2"/>
    <x v="2"/>
    <x v="1"/>
  </r>
  <r>
    <n v="53"/>
    <x v="1"/>
    <s v="Travel_Rarely"/>
    <n v="346"/>
    <x v="1"/>
    <x v="16"/>
    <n v="3"/>
    <s v="Life Sciences"/>
    <n v="1"/>
    <n v="769"/>
    <n v="4"/>
    <x v="1"/>
    <n v="86"/>
    <n v="3"/>
    <n v="2"/>
    <x v="2"/>
    <x v="0"/>
    <s v="Single"/>
    <n v="2450"/>
    <n v="10919"/>
    <n v="2"/>
    <s v="Y"/>
    <s v="No"/>
    <n v="17"/>
    <n v="3"/>
    <n v="4"/>
    <n v="80"/>
    <n v="0"/>
    <n v="19"/>
    <n v="4"/>
    <n v="3"/>
    <x v="4"/>
    <n v="2"/>
    <n v="2"/>
    <n v="2"/>
    <x v="1"/>
    <x v="1"/>
  </r>
  <r>
    <n v="35"/>
    <x v="1"/>
    <s v="Non-Travel"/>
    <n v="1225"/>
    <x v="1"/>
    <x v="2"/>
    <n v="4"/>
    <s v="Life Sciences"/>
    <n v="1"/>
    <n v="771"/>
    <n v="4"/>
    <x v="0"/>
    <n v="61"/>
    <n v="3"/>
    <n v="2"/>
    <x v="4"/>
    <x v="3"/>
    <s v="Divorced"/>
    <n v="5093"/>
    <n v="4761"/>
    <n v="2"/>
    <s v="Y"/>
    <s v="No"/>
    <n v="11"/>
    <n v="3"/>
    <n v="1"/>
    <n v="80"/>
    <n v="1"/>
    <n v="16"/>
    <n v="2"/>
    <n v="4"/>
    <x v="6"/>
    <n v="0"/>
    <n v="0"/>
    <n v="0"/>
    <x v="0"/>
    <x v="0"/>
  </r>
  <r>
    <n v="32"/>
    <x v="1"/>
    <s v="Travel_Frequently"/>
    <n v="430"/>
    <x v="1"/>
    <x v="4"/>
    <n v="4"/>
    <s v="Life Sciences"/>
    <n v="1"/>
    <n v="772"/>
    <n v="1"/>
    <x v="1"/>
    <n v="80"/>
    <n v="3"/>
    <n v="2"/>
    <x v="2"/>
    <x v="0"/>
    <s v="Married"/>
    <n v="5309"/>
    <n v="21146"/>
    <n v="1"/>
    <s v="Y"/>
    <s v="No"/>
    <n v="15"/>
    <n v="3"/>
    <n v="4"/>
    <n v="80"/>
    <n v="2"/>
    <n v="10"/>
    <n v="2"/>
    <n v="3"/>
    <x v="1"/>
    <n v="8"/>
    <n v="4"/>
    <n v="7"/>
    <x v="2"/>
    <x v="0"/>
  </r>
  <r>
    <n v="38"/>
    <x v="1"/>
    <s v="Travel_Rarely"/>
    <n v="268"/>
    <x v="1"/>
    <x v="2"/>
    <n v="5"/>
    <s v="Medical"/>
    <n v="1"/>
    <n v="773"/>
    <n v="4"/>
    <x v="1"/>
    <n v="92"/>
    <n v="3"/>
    <n v="1"/>
    <x v="1"/>
    <x v="2"/>
    <s v="Married"/>
    <n v="3057"/>
    <n v="20471"/>
    <n v="6"/>
    <s v="Y"/>
    <s v="Yes"/>
    <n v="13"/>
    <n v="3"/>
    <n v="2"/>
    <n v="80"/>
    <n v="1"/>
    <n v="6"/>
    <n v="0"/>
    <n v="1"/>
    <x v="6"/>
    <n v="0"/>
    <n v="0"/>
    <n v="1"/>
    <x v="0"/>
    <x v="0"/>
  </r>
  <r>
    <n v="34"/>
    <x v="1"/>
    <s v="Travel_Rarely"/>
    <n v="167"/>
    <x v="1"/>
    <x v="1"/>
    <n v="5"/>
    <s v="Life Sciences"/>
    <n v="1"/>
    <n v="775"/>
    <n v="2"/>
    <x v="0"/>
    <n v="32"/>
    <n v="3"/>
    <n v="2"/>
    <x v="3"/>
    <x v="3"/>
    <s v="Divorced"/>
    <n v="5121"/>
    <n v="4187"/>
    <n v="3"/>
    <s v="Y"/>
    <s v="No"/>
    <n v="14"/>
    <n v="3"/>
    <n v="3"/>
    <n v="80"/>
    <n v="1"/>
    <n v="7"/>
    <n v="3"/>
    <n v="3"/>
    <x v="2"/>
    <n v="0"/>
    <n v="0"/>
    <n v="0"/>
    <x v="2"/>
    <x v="0"/>
  </r>
  <r>
    <n v="52"/>
    <x v="1"/>
    <s v="Travel_Rarely"/>
    <n v="621"/>
    <x v="0"/>
    <x v="3"/>
    <n v="4"/>
    <s v="Marketing"/>
    <n v="1"/>
    <n v="776"/>
    <n v="3"/>
    <x v="1"/>
    <n v="31"/>
    <n v="2"/>
    <n v="4"/>
    <x v="5"/>
    <x v="3"/>
    <s v="Married"/>
    <n v="16856"/>
    <n v="10084"/>
    <n v="1"/>
    <s v="Y"/>
    <s v="No"/>
    <n v="11"/>
    <n v="3"/>
    <n v="1"/>
    <n v="80"/>
    <n v="0"/>
    <n v="34"/>
    <n v="3"/>
    <n v="4"/>
    <x v="33"/>
    <n v="6"/>
    <n v="1"/>
    <n v="16"/>
    <x v="1"/>
    <x v="3"/>
  </r>
  <r>
    <n v="33"/>
    <x v="0"/>
    <s v="Travel_Rarely"/>
    <n v="527"/>
    <x v="1"/>
    <x v="0"/>
    <n v="4"/>
    <s v="Other"/>
    <n v="1"/>
    <n v="780"/>
    <n v="4"/>
    <x v="1"/>
    <n v="63"/>
    <n v="3"/>
    <n v="1"/>
    <x v="1"/>
    <x v="0"/>
    <s v="Single"/>
    <n v="2686"/>
    <n v="5207"/>
    <n v="1"/>
    <s v="Y"/>
    <s v="Yes"/>
    <n v="13"/>
    <n v="3"/>
    <n v="3"/>
    <n v="80"/>
    <n v="0"/>
    <n v="10"/>
    <n v="2"/>
    <n v="2"/>
    <x v="1"/>
    <n v="9"/>
    <n v="7"/>
    <n v="8"/>
    <x v="2"/>
    <x v="1"/>
  </r>
  <r>
    <n v="25"/>
    <x v="1"/>
    <s v="Travel_Rarely"/>
    <n v="883"/>
    <x v="0"/>
    <x v="9"/>
    <n v="1"/>
    <s v="Medical"/>
    <n v="1"/>
    <n v="781"/>
    <n v="3"/>
    <x v="0"/>
    <n v="32"/>
    <n v="3"/>
    <n v="2"/>
    <x v="0"/>
    <x v="0"/>
    <s v="Single"/>
    <n v="6180"/>
    <n v="22807"/>
    <n v="1"/>
    <s v="Y"/>
    <s v="No"/>
    <n v="23"/>
    <n v="4"/>
    <n v="2"/>
    <n v="80"/>
    <n v="0"/>
    <n v="6"/>
    <n v="5"/>
    <n v="2"/>
    <x v="0"/>
    <n v="5"/>
    <n v="1"/>
    <n v="4"/>
    <x v="2"/>
    <x v="4"/>
  </r>
  <r>
    <n v="45"/>
    <x v="1"/>
    <s v="Travel_Rarely"/>
    <n v="954"/>
    <x v="0"/>
    <x v="2"/>
    <n v="2"/>
    <s v="Technical Degree"/>
    <n v="1"/>
    <n v="783"/>
    <n v="2"/>
    <x v="1"/>
    <n v="46"/>
    <n v="1"/>
    <n v="2"/>
    <x v="6"/>
    <x v="2"/>
    <s v="Single"/>
    <n v="6632"/>
    <n v="12388"/>
    <n v="0"/>
    <s v="Y"/>
    <s v="No"/>
    <n v="13"/>
    <n v="3"/>
    <n v="1"/>
    <n v="80"/>
    <n v="0"/>
    <n v="9"/>
    <n v="3"/>
    <n v="3"/>
    <x v="3"/>
    <n v="7"/>
    <n v="3"/>
    <n v="1"/>
    <x v="1"/>
    <x v="4"/>
  </r>
  <r>
    <n v="23"/>
    <x v="1"/>
    <s v="Travel_Rarely"/>
    <n v="310"/>
    <x v="1"/>
    <x v="17"/>
    <n v="1"/>
    <s v="Medical"/>
    <n v="1"/>
    <n v="784"/>
    <n v="1"/>
    <x v="1"/>
    <n v="79"/>
    <n v="4"/>
    <n v="1"/>
    <x v="1"/>
    <x v="2"/>
    <s v="Single"/>
    <n v="3505"/>
    <n v="19630"/>
    <n v="1"/>
    <s v="Y"/>
    <s v="No"/>
    <n v="18"/>
    <n v="3"/>
    <n v="4"/>
    <n v="80"/>
    <n v="0"/>
    <n v="2"/>
    <n v="3"/>
    <n v="3"/>
    <x v="4"/>
    <n v="2"/>
    <n v="0"/>
    <n v="2"/>
    <x v="4"/>
    <x v="0"/>
  </r>
  <r>
    <n v="47"/>
    <x v="0"/>
    <s v="Travel_Frequently"/>
    <n v="719"/>
    <x v="0"/>
    <x v="6"/>
    <n v="2"/>
    <s v="Life Sciences"/>
    <n v="1"/>
    <n v="785"/>
    <n v="2"/>
    <x v="0"/>
    <n v="77"/>
    <n v="4"/>
    <n v="2"/>
    <x v="0"/>
    <x v="2"/>
    <s v="Single"/>
    <n v="6397"/>
    <n v="10339"/>
    <n v="4"/>
    <s v="Y"/>
    <s v="Yes"/>
    <n v="12"/>
    <n v="3"/>
    <n v="4"/>
    <n v="80"/>
    <n v="0"/>
    <n v="8"/>
    <n v="2"/>
    <n v="3"/>
    <x v="8"/>
    <n v="4"/>
    <n v="1"/>
    <n v="3"/>
    <x v="1"/>
    <x v="4"/>
  </r>
  <r>
    <n v="34"/>
    <x v="1"/>
    <s v="Travel_Rarely"/>
    <n v="304"/>
    <x v="0"/>
    <x v="2"/>
    <n v="3"/>
    <s v="Other"/>
    <n v="1"/>
    <n v="786"/>
    <n v="4"/>
    <x v="1"/>
    <n v="60"/>
    <n v="3"/>
    <n v="2"/>
    <x v="0"/>
    <x v="0"/>
    <s v="Single"/>
    <n v="6274"/>
    <n v="18686"/>
    <n v="1"/>
    <s v="Y"/>
    <s v="No"/>
    <n v="22"/>
    <n v="4"/>
    <n v="3"/>
    <n v="80"/>
    <n v="0"/>
    <n v="6"/>
    <n v="5"/>
    <n v="3"/>
    <x v="0"/>
    <n v="5"/>
    <n v="1"/>
    <n v="4"/>
    <x v="2"/>
    <x v="4"/>
  </r>
  <r>
    <n v="55"/>
    <x v="0"/>
    <s v="Travel_Rarely"/>
    <n v="725"/>
    <x v="1"/>
    <x v="2"/>
    <n v="3"/>
    <s v="Medical"/>
    <n v="1"/>
    <n v="787"/>
    <n v="4"/>
    <x v="1"/>
    <n v="78"/>
    <n v="3"/>
    <n v="5"/>
    <x v="5"/>
    <x v="3"/>
    <s v="Married"/>
    <n v="19859"/>
    <n v="21199"/>
    <n v="5"/>
    <s v="Y"/>
    <s v="Yes"/>
    <n v="13"/>
    <n v="3"/>
    <n v="4"/>
    <n v="80"/>
    <n v="1"/>
    <n v="24"/>
    <n v="2"/>
    <n v="3"/>
    <x v="8"/>
    <n v="2"/>
    <n v="1"/>
    <n v="4"/>
    <x v="3"/>
    <x v="3"/>
  </r>
  <r>
    <n v="36"/>
    <x v="1"/>
    <s v="Non-Travel"/>
    <n v="1434"/>
    <x v="0"/>
    <x v="1"/>
    <n v="4"/>
    <s v="Life Sciences"/>
    <n v="1"/>
    <n v="789"/>
    <n v="1"/>
    <x v="1"/>
    <n v="76"/>
    <n v="2"/>
    <n v="3"/>
    <x v="0"/>
    <x v="3"/>
    <s v="Single"/>
    <n v="7587"/>
    <n v="14229"/>
    <n v="1"/>
    <s v="Y"/>
    <s v="No"/>
    <n v="15"/>
    <n v="3"/>
    <n v="2"/>
    <n v="80"/>
    <n v="0"/>
    <n v="10"/>
    <n v="1"/>
    <n v="3"/>
    <x v="1"/>
    <n v="7"/>
    <n v="0"/>
    <n v="9"/>
    <x v="0"/>
    <x v="4"/>
  </r>
  <r>
    <n v="52"/>
    <x v="1"/>
    <s v="Non-Travel"/>
    <n v="715"/>
    <x v="1"/>
    <x v="10"/>
    <n v="4"/>
    <s v="Medical"/>
    <n v="1"/>
    <n v="791"/>
    <n v="4"/>
    <x v="1"/>
    <n v="41"/>
    <n v="3"/>
    <n v="1"/>
    <x v="1"/>
    <x v="0"/>
    <s v="Married"/>
    <n v="4258"/>
    <n v="26589"/>
    <n v="0"/>
    <s v="Y"/>
    <s v="No"/>
    <n v="18"/>
    <n v="3"/>
    <n v="1"/>
    <n v="80"/>
    <n v="1"/>
    <n v="5"/>
    <n v="3"/>
    <n v="3"/>
    <x v="9"/>
    <n v="3"/>
    <n v="1"/>
    <n v="2"/>
    <x v="1"/>
    <x v="0"/>
  </r>
  <r>
    <n v="26"/>
    <x v="1"/>
    <s v="Travel_Frequently"/>
    <n v="575"/>
    <x v="1"/>
    <x v="0"/>
    <n v="2"/>
    <s v="Life Sciences"/>
    <n v="1"/>
    <n v="792"/>
    <n v="1"/>
    <x v="0"/>
    <n v="71"/>
    <n v="1"/>
    <n v="1"/>
    <x v="2"/>
    <x v="0"/>
    <s v="Divorced"/>
    <n v="4364"/>
    <n v="5288"/>
    <n v="3"/>
    <s v="Y"/>
    <s v="No"/>
    <n v="14"/>
    <n v="3"/>
    <n v="1"/>
    <n v="80"/>
    <n v="1"/>
    <n v="5"/>
    <n v="2"/>
    <n v="3"/>
    <x v="4"/>
    <n v="2"/>
    <n v="2"/>
    <n v="0"/>
    <x v="2"/>
    <x v="0"/>
  </r>
  <r>
    <n v="29"/>
    <x v="1"/>
    <s v="Travel_Rarely"/>
    <n v="657"/>
    <x v="1"/>
    <x v="6"/>
    <n v="3"/>
    <s v="Medical"/>
    <n v="1"/>
    <n v="793"/>
    <n v="2"/>
    <x v="0"/>
    <n v="66"/>
    <n v="3"/>
    <n v="2"/>
    <x v="4"/>
    <x v="2"/>
    <s v="Married"/>
    <n v="4335"/>
    <n v="25549"/>
    <n v="4"/>
    <s v="Y"/>
    <s v="No"/>
    <n v="12"/>
    <n v="3"/>
    <n v="1"/>
    <n v="80"/>
    <n v="1"/>
    <n v="11"/>
    <n v="3"/>
    <n v="2"/>
    <x v="3"/>
    <n v="7"/>
    <n v="1"/>
    <n v="1"/>
    <x v="2"/>
    <x v="0"/>
  </r>
  <r>
    <n v="26"/>
    <x v="0"/>
    <s v="Travel_Rarely"/>
    <n v="1146"/>
    <x v="0"/>
    <x v="1"/>
    <n v="3"/>
    <s v="Technical Degree"/>
    <n v="1"/>
    <n v="796"/>
    <n v="4"/>
    <x v="1"/>
    <n v="38"/>
    <n v="2"/>
    <n v="2"/>
    <x v="0"/>
    <x v="3"/>
    <s v="Single"/>
    <n v="5326"/>
    <n v="3064"/>
    <n v="6"/>
    <s v="Y"/>
    <s v="No"/>
    <n v="17"/>
    <n v="3"/>
    <n v="3"/>
    <n v="80"/>
    <n v="0"/>
    <n v="6"/>
    <n v="2"/>
    <n v="2"/>
    <x v="9"/>
    <n v="3"/>
    <n v="1"/>
    <n v="2"/>
    <x v="2"/>
    <x v="0"/>
  </r>
  <r>
    <n v="34"/>
    <x v="1"/>
    <s v="Travel_Rarely"/>
    <n v="182"/>
    <x v="1"/>
    <x v="0"/>
    <n v="4"/>
    <s v="Life Sciences"/>
    <n v="1"/>
    <n v="797"/>
    <n v="2"/>
    <x v="0"/>
    <n v="72"/>
    <n v="4"/>
    <n v="1"/>
    <x v="1"/>
    <x v="0"/>
    <s v="Single"/>
    <n v="3280"/>
    <n v="13551"/>
    <n v="2"/>
    <s v="Y"/>
    <s v="No"/>
    <n v="16"/>
    <n v="3"/>
    <n v="3"/>
    <n v="80"/>
    <n v="0"/>
    <n v="10"/>
    <n v="2"/>
    <n v="3"/>
    <x v="9"/>
    <n v="2"/>
    <n v="1"/>
    <n v="3"/>
    <x v="2"/>
    <x v="0"/>
  </r>
  <r>
    <n v="54"/>
    <x v="1"/>
    <s v="Travel_Rarely"/>
    <n v="376"/>
    <x v="1"/>
    <x v="10"/>
    <n v="4"/>
    <s v="Medical"/>
    <n v="1"/>
    <n v="799"/>
    <n v="4"/>
    <x v="0"/>
    <n v="95"/>
    <n v="3"/>
    <n v="2"/>
    <x v="3"/>
    <x v="3"/>
    <s v="Divorced"/>
    <n v="5485"/>
    <n v="22670"/>
    <n v="9"/>
    <s v="Y"/>
    <s v="Yes"/>
    <n v="11"/>
    <n v="3"/>
    <n v="2"/>
    <n v="80"/>
    <n v="2"/>
    <n v="9"/>
    <n v="4"/>
    <n v="3"/>
    <x v="8"/>
    <n v="3"/>
    <n v="1"/>
    <n v="4"/>
    <x v="1"/>
    <x v="0"/>
  </r>
  <r>
    <n v="27"/>
    <x v="1"/>
    <s v="Travel_Frequently"/>
    <n v="829"/>
    <x v="0"/>
    <x v="1"/>
    <n v="1"/>
    <s v="Marketing"/>
    <n v="1"/>
    <n v="800"/>
    <n v="3"/>
    <x v="1"/>
    <n v="84"/>
    <n v="3"/>
    <n v="2"/>
    <x v="0"/>
    <x v="0"/>
    <s v="Married"/>
    <n v="4342"/>
    <n v="24008"/>
    <n v="0"/>
    <s v="Y"/>
    <s v="No"/>
    <n v="19"/>
    <n v="3"/>
    <n v="2"/>
    <n v="80"/>
    <n v="1"/>
    <n v="5"/>
    <n v="3"/>
    <n v="3"/>
    <x v="9"/>
    <n v="2"/>
    <n v="1"/>
    <n v="1"/>
    <x v="2"/>
    <x v="0"/>
  </r>
  <r>
    <n v="37"/>
    <x v="1"/>
    <s v="Travel_Rarely"/>
    <n v="571"/>
    <x v="1"/>
    <x v="17"/>
    <n v="1"/>
    <s v="Life Sciences"/>
    <n v="1"/>
    <n v="802"/>
    <n v="4"/>
    <x v="0"/>
    <n v="82"/>
    <n v="3"/>
    <n v="1"/>
    <x v="1"/>
    <x v="3"/>
    <s v="Divorced"/>
    <n v="2782"/>
    <n v="19905"/>
    <n v="0"/>
    <s v="Y"/>
    <s v="Yes"/>
    <n v="13"/>
    <n v="3"/>
    <n v="2"/>
    <n v="80"/>
    <n v="2"/>
    <n v="6"/>
    <n v="3"/>
    <n v="2"/>
    <x v="8"/>
    <n v="3"/>
    <n v="4"/>
    <n v="3"/>
    <x v="0"/>
    <x v="1"/>
  </r>
  <r>
    <n v="38"/>
    <x v="1"/>
    <s v="Travel_Frequently"/>
    <n v="240"/>
    <x v="1"/>
    <x v="2"/>
    <n v="4"/>
    <s v="Life Sciences"/>
    <n v="1"/>
    <n v="803"/>
    <n v="1"/>
    <x v="0"/>
    <n v="75"/>
    <n v="4"/>
    <n v="2"/>
    <x v="3"/>
    <x v="3"/>
    <s v="Single"/>
    <n v="5980"/>
    <n v="26085"/>
    <n v="6"/>
    <s v="Y"/>
    <s v="Yes"/>
    <n v="12"/>
    <n v="3"/>
    <n v="4"/>
    <n v="80"/>
    <n v="0"/>
    <n v="17"/>
    <n v="2"/>
    <n v="3"/>
    <x v="15"/>
    <n v="7"/>
    <n v="4"/>
    <n v="12"/>
    <x v="0"/>
    <x v="0"/>
  </r>
  <r>
    <n v="34"/>
    <x v="1"/>
    <s v="Travel_Rarely"/>
    <n v="121"/>
    <x v="1"/>
    <x v="2"/>
    <n v="4"/>
    <s v="Medical"/>
    <n v="1"/>
    <n v="804"/>
    <n v="3"/>
    <x v="0"/>
    <n v="86"/>
    <n v="2"/>
    <n v="1"/>
    <x v="1"/>
    <x v="3"/>
    <s v="Single"/>
    <n v="4381"/>
    <n v="7530"/>
    <n v="1"/>
    <s v="Y"/>
    <s v="No"/>
    <n v="11"/>
    <n v="3"/>
    <n v="3"/>
    <n v="80"/>
    <n v="0"/>
    <n v="6"/>
    <n v="3"/>
    <n v="3"/>
    <x v="0"/>
    <n v="5"/>
    <n v="1"/>
    <n v="3"/>
    <x v="2"/>
    <x v="0"/>
  </r>
  <r>
    <n v="35"/>
    <x v="1"/>
    <s v="Travel_Rarely"/>
    <n v="384"/>
    <x v="0"/>
    <x v="1"/>
    <n v="4"/>
    <s v="Life Sciences"/>
    <n v="1"/>
    <n v="805"/>
    <n v="1"/>
    <x v="0"/>
    <n v="72"/>
    <n v="3"/>
    <n v="1"/>
    <x v="6"/>
    <x v="0"/>
    <s v="Married"/>
    <n v="2572"/>
    <n v="20317"/>
    <n v="1"/>
    <s v="Y"/>
    <s v="No"/>
    <n v="16"/>
    <n v="3"/>
    <n v="2"/>
    <n v="80"/>
    <n v="1"/>
    <n v="3"/>
    <n v="1"/>
    <n v="2"/>
    <x v="11"/>
    <n v="2"/>
    <n v="0"/>
    <n v="2"/>
    <x v="0"/>
    <x v="1"/>
  </r>
  <r>
    <n v="30"/>
    <x v="1"/>
    <s v="Travel_Rarely"/>
    <n v="921"/>
    <x v="1"/>
    <x v="0"/>
    <n v="3"/>
    <s v="Life Sciences"/>
    <n v="1"/>
    <n v="806"/>
    <n v="4"/>
    <x v="1"/>
    <n v="38"/>
    <n v="1"/>
    <n v="1"/>
    <x v="2"/>
    <x v="2"/>
    <s v="Married"/>
    <n v="3833"/>
    <n v="24375"/>
    <n v="3"/>
    <s v="Y"/>
    <s v="No"/>
    <n v="21"/>
    <n v="4"/>
    <n v="3"/>
    <n v="80"/>
    <n v="2"/>
    <n v="7"/>
    <n v="2"/>
    <n v="3"/>
    <x v="4"/>
    <n v="2"/>
    <n v="0"/>
    <n v="2"/>
    <x v="2"/>
    <x v="0"/>
  </r>
  <r>
    <n v="40"/>
    <x v="1"/>
    <s v="Travel_Frequently"/>
    <n v="791"/>
    <x v="1"/>
    <x v="2"/>
    <n v="2"/>
    <s v="Medical"/>
    <n v="1"/>
    <n v="807"/>
    <n v="3"/>
    <x v="0"/>
    <n v="38"/>
    <n v="4"/>
    <n v="2"/>
    <x v="4"/>
    <x v="1"/>
    <s v="Married"/>
    <n v="4244"/>
    <n v="9931"/>
    <n v="1"/>
    <s v="Y"/>
    <s v="No"/>
    <n v="24"/>
    <n v="4"/>
    <n v="4"/>
    <n v="80"/>
    <n v="1"/>
    <n v="8"/>
    <n v="2"/>
    <n v="3"/>
    <x v="3"/>
    <n v="7"/>
    <n v="3"/>
    <n v="7"/>
    <x v="0"/>
    <x v="0"/>
  </r>
  <r>
    <n v="34"/>
    <x v="1"/>
    <s v="Travel_Rarely"/>
    <n v="1111"/>
    <x v="0"/>
    <x v="1"/>
    <n v="2"/>
    <s v="Life Sciences"/>
    <n v="1"/>
    <n v="808"/>
    <n v="3"/>
    <x v="0"/>
    <n v="93"/>
    <n v="3"/>
    <n v="2"/>
    <x v="0"/>
    <x v="3"/>
    <s v="Married"/>
    <n v="6500"/>
    <n v="13305"/>
    <n v="5"/>
    <s v="Y"/>
    <s v="No"/>
    <n v="17"/>
    <n v="3"/>
    <n v="2"/>
    <n v="80"/>
    <n v="1"/>
    <n v="6"/>
    <n v="1"/>
    <n v="3"/>
    <x v="11"/>
    <n v="2"/>
    <n v="1"/>
    <n v="2"/>
    <x v="2"/>
    <x v="4"/>
  </r>
  <r>
    <n v="42"/>
    <x v="1"/>
    <s v="Travel_Frequently"/>
    <n v="570"/>
    <x v="1"/>
    <x v="1"/>
    <n v="3"/>
    <s v="Life Sciences"/>
    <n v="1"/>
    <n v="809"/>
    <n v="2"/>
    <x v="1"/>
    <n v="66"/>
    <n v="3"/>
    <n v="5"/>
    <x v="5"/>
    <x v="0"/>
    <s v="Divorced"/>
    <n v="18430"/>
    <n v="16225"/>
    <n v="1"/>
    <s v="Y"/>
    <s v="No"/>
    <n v="13"/>
    <n v="3"/>
    <n v="2"/>
    <n v="80"/>
    <n v="1"/>
    <n v="24"/>
    <n v="4"/>
    <n v="2"/>
    <x v="25"/>
    <n v="7"/>
    <n v="14"/>
    <n v="9"/>
    <x v="0"/>
    <x v="3"/>
  </r>
  <r>
    <n v="23"/>
    <x v="0"/>
    <s v="Travel_Rarely"/>
    <n v="1243"/>
    <x v="1"/>
    <x v="16"/>
    <n v="3"/>
    <s v="Life Sciences"/>
    <n v="1"/>
    <n v="811"/>
    <n v="3"/>
    <x v="1"/>
    <n v="63"/>
    <n v="4"/>
    <n v="1"/>
    <x v="2"/>
    <x v="3"/>
    <s v="Married"/>
    <n v="1601"/>
    <n v="3445"/>
    <n v="1"/>
    <s v="Y"/>
    <s v="Yes"/>
    <n v="21"/>
    <n v="4"/>
    <n v="3"/>
    <n v="80"/>
    <n v="2"/>
    <n v="1"/>
    <n v="2"/>
    <n v="3"/>
    <x v="2"/>
    <n v="0"/>
    <n v="0"/>
    <n v="0"/>
    <x v="4"/>
    <x v="1"/>
  </r>
  <r>
    <n v="24"/>
    <x v="1"/>
    <s v="Non-Travel"/>
    <n v="1092"/>
    <x v="1"/>
    <x v="14"/>
    <n v="3"/>
    <s v="Life Sciences"/>
    <n v="1"/>
    <n v="812"/>
    <n v="3"/>
    <x v="1"/>
    <n v="60"/>
    <n v="2"/>
    <n v="1"/>
    <x v="2"/>
    <x v="1"/>
    <s v="Divorced"/>
    <n v="2694"/>
    <n v="26551"/>
    <n v="1"/>
    <s v="Y"/>
    <s v="No"/>
    <n v="11"/>
    <n v="3"/>
    <n v="3"/>
    <n v="80"/>
    <n v="3"/>
    <n v="1"/>
    <n v="4"/>
    <n v="3"/>
    <x v="6"/>
    <n v="0"/>
    <n v="0"/>
    <n v="0"/>
    <x v="4"/>
    <x v="1"/>
  </r>
  <r>
    <n v="52"/>
    <x v="1"/>
    <s v="Travel_Rarely"/>
    <n v="1325"/>
    <x v="1"/>
    <x v="13"/>
    <n v="4"/>
    <s v="Life Sciences"/>
    <n v="1"/>
    <n v="813"/>
    <n v="4"/>
    <x v="0"/>
    <n v="82"/>
    <n v="3"/>
    <n v="2"/>
    <x v="2"/>
    <x v="2"/>
    <s v="Married"/>
    <n v="3149"/>
    <n v="21821"/>
    <n v="8"/>
    <s v="Y"/>
    <s v="No"/>
    <n v="20"/>
    <n v="4"/>
    <n v="2"/>
    <n v="80"/>
    <n v="1"/>
    <n v="9"/>
    <n v="3"/>
    <n v="3"/>
    <x v="8"/>
    <n v="2"/>
    <n v="1"/>
    <n v="4"/>
    <x v="1"/>
    <x v="0"/>
  </r>
  <r>
    <n v="50"/>
    <x v="1"/>
    <s v="Travel_Rarely"/>
    <n v="691"/>
    <x v="1"/>
    <x v="2"/>
    <n v="3"/>
    <s v="Medical"/>
    <n v="1"/>
    <n v="815"/>
    <n v="3"/>
    <x v="1"/>
    <n v="64"/>
    <n v="3"/>
    <n v="4"/>
    <x v="7"/>
    <x v="2"/>
    <s v="Married"/>
    <n v="17639"/>
    <n v="6881"/>
    <n v="5"/>
    <s v="Y"/>
    <s v="No"/>
    <n v="16"/>
    <n v="3"/>
    <n v="4"/>
    <n v="80"/>
    <n v="0"/>
    <n v="30"/>
    <n v="3"/>
    <n v="3"/>
    <x v="9"/>
    <n v="3"/>
    <n v="0"/>
    <n v="3"/>
    <x v="1"/>
    <x v="3"/>
  </r>
  <r>
    <n v="29"/>
    <x v="0"/>
    <s v="Travel_Rarely"/>
    <n v="805"/>
    <x v="1"/>
    <x v="0"/>
    <n v="2"/>
    <s v="Life Sciences"/>
    <n v="1"/>
    <n v="816"/>
    <n v="2"/>
    <x v="0"/>
    <n v="36"/>
    <n v="2"/>
    <n v="1"/>
    <x v="2"/>
    <x v="3"/>
    <s v="Married"/>
    <n v="2319"/>
    <n v="6689"/>
    <n v="1"/>
    <s v="Y"/>
    <s v="Yes"/>
    <n v="11"/>
    <n v="3"/>
    <n v="4"/>
    <n v="80"/>
    <n v="1"/>
    <n v="1"/>
    <n v="1"/>
    <n v="3"/>
    <x v="6"/>
    <n v="0"/>
    <n v="0"/>
    <n v="0"/>
    <x v="2"/>
    <x v="1"/>
  </r>
  <r>
    <n v="33"/>
    <x v="1"/>
    <s v="Travel_Rarely"/>
    <n v="213"/>
    <x v="1"/>
    <x v="15"/>
    <n v="3"/>
    <s v="Medical"/>
    <n v="1"/>
    <n v="817"/>
    <n v="3"/>
    <x v="1"/>
    <n v="49"/>
    <n v="3"/>
    <n v="3"/>
    <x v="7"/>
    <x v="2"/>
    <s v="Married"/>
    <n v="11691"/>
    <n v="25995"/>
    <n v="0"/>
    <s v="Y"/>
    <s v="No"/>
    <n v="11"/>
    <n v="3"/>
    <n v="4"/>
    <n v="80"/>
    <n v="0"/>
    <n v="14"/>
    <n v="3"/>
    <n v="4"/>
    <x v="20"/>
    <n v="9"/>
    <n v="3"/>
    <n v="7"/>
    <x v="2"/>
    <x v="2"/>
  </r>
  <r>
    <n v="33"/>
    <x v="0"/>
    <s v="Travel_Rarely"/>
    <n v="118"/>
    <x v="0"/>
    <x v="7"/>
    <n v="3"/>
    <s v="Marketing"/>
    <n v="1"/>
    <n v="819"/>
    <n v="1"/>
    <x v="0"/>
    <n v="69"/>
    <n v="3"/>
    <n v="2"/>
    <x v="0"/>
    <x v="3"/>
    <s v="Single"/>
    <n v="5324"/>
    <n v="26507"/>
    <n v="5"/>
    <s v="Y"/>
    <s v="No"/>
    <n v="15"/>
    <n v="3"/>
    <n v="3"/>
    <n v="80"/>
    <n v="0"/>
    <n v="6"/>
    <n v="3"/>
    <n v="3"/>
    <x v="11"/>
    <n v="2"/>
    <n v="0"/>
    <n v="2"/>
    <x v="2"/>
    <x v="0"/>
  </r>
  <r>
    <n v="47"/>
    <x v="1"/>
    <s v="Travel_Rarely"/>
    <n v="202"/>
    <x v="1"/>
    <x v="2"/>
    <n v="2"/>
    <s v="Other"/>
    <n v="1"/>
    <n v="820"/>
    <n v="3"/>
    <x v="0"/>
    <n v="33"/>
    <n v="3"/>
    <n v="4"/>
    <x v="5"/>
    <x v="0"/>
    <s v="Married"/>
    <n v="16752"/>
    <n v="12982"/>
    <n v="1"/>
    <s v="Y"/>
    <s v="Yes"/>
    <n v="11"/>
    <n v="3"/>
    <n v="3"/>
    <n v="80"/>
    <n v="1"/>
    <n v="26"/>
    <n v="3"/>
    <n v="2"/>
    <x v="34"/>
    <n v="14"/>
    <n v="3"/>
    <n v="0"/>
    <x v="1"/>
    <x v="3"/>
  </r>
  <r>
    <n v="36"/>
    <x v="1"/>
    <s v="Travel_Rarely"/>
    <n v="676"/>
    <x v="1"/>
    <x v="0"/>
    <n v="3"/>
    <s v="Other"/>
    <n v="1"/>
    <n v="823"/>
    <n v="3"/>
    <x v="0"/>
    <n v="35"/>
    <n v="3"/>
    <n v="2"/>
    <x v="3"/>
    <x v="1"/>
    <s v="Married"/>
    <n v="5228"/>
    <n v="23361"/>
    <n v="0"/>
    <s v="Y"/>
    <s v="No"/>
    <n v="15"/>
    <n v="3"/>
    <n v="1"/>
    <n v="80"/>
    <n v="1"/>
    <n v="10"/>
    <n v="2"/>
    <n v="3"/>
    <x v="7"/>
    <n v="7"/>
    <n v="0"/>
    <n v="5"/>
    <x v="0"/>
    <x v="0"/>
  </r>
  <r>
    <n v="29"/>
    <x v="1"/>
    <s v="Travel_Rarely"/>
    <n v="1252"/>
    <x v="1"/>
    <x v="5"/>
    <n v="2"/>
    <s v="Life Sciences"/>
    <n v="1"/>
    <n v="824"/>
    <n v="3"/>
    <x v="1"/>
    <n v="81"/>
    <n v="4"/>
    <n v="1"/>
    <x v="1"/>
    <x v="2"/>
    <s v="Married"/>
    <n v="2700"/>
    <n v="23779"/>
    <n v="1"/>
    <s v="Y"/>
    <s v="No"/>
    <n v="24"/>
    <n v="4"/>
    <n v="3"/>
    <n v="80"/>
    <n v="1"/>
    <n v="10"/>
    <n v="3"/>
    <n v="3"/>
    <x v="1"/>
    <n v="7"/>
    <n v="0"/>
    <n v="7"/>
    <x v="2"/>
    <x v="1"/>
  </r>
  <r>
    <n v="58"/>
    <x v="0"/>
    <s v="Travel_Rarely"/>
    <n v="286"/>
    <x v="1"/>
    <x v="2"/>
    <n v="4"/>
    <s v="Life Sciences"/>
    <n v="1"/>
    <n v="825"/>
    <n v="4"/>
    <x v="1"/>
    <n v="31"/>
    <n v="3"/>
    <n v="5"/>
    <x v="7"/>
    <x v="1"/>
    <s v="Single"/>
    <n v="19246"/>
    <n v="25761"/>
    <n v="7"/>
    <s v="Y"/>
    <s v="Yes"/>
    <n v="12"/>
    <n v="3"/>
    <n v="4"/>
    <n v="80"/>
    <n v="0"/>
    <n v="40"/>
    <n v="2"/>
    <n v="3"/>
    <x v="31"/>
    <n v="15"/>
    <n v="13"/>
    <n v="8"/>
    <x v="3"/>
    <x v="3"/>
  </r>
  <r>
    <n v="35"/>
    <x v="1"/>
    <s v="Travel_Rarely"/>
    <n v="1258"/>
    <x v="1"/>
    <x v="0"/>
    <n v="4"/>
    <s v="Life Sciences"/>
    <n v="1"/>
    <n v="826"/>
    <n v="4"/>
    <x v="0"/>
    <n v="40"/>
    <n v="4"/>
    <n v="1"/>
    <x v="1"/>
    <x v="2"/>
    <s v="Single"/>
    <n v="2506"/>
    <n v="13301"/>
    <n v="3"/>
    <s v="Y"/>
    <s v="No"/>
    <n v="13"/>
    <n v="3"/>
    <n v="3"/>
    <n v="80"/>
    <n v="0"/>
    <n v="7"/>
    <n v="0"/>
    <n v="3"/>
    <x v="4"/>
    <n v="2"/>
    <n v="2"/>
    <n v="2"/>
    <x v="0"/>
    <x v="1"/>
  </r>
  <r>
    <n v="42"/>
    <x v="1"/>
    <s v="Travel_Rarely"/>
    <n v="932"/>
    <x v="1"/>
    <x v="0"/>
    <n v="2"/>
    <s v="Life Sciences"/>
    <n v="1"/>
    <n v="827"/>
    <n v="4"/>
    <x v="0"/>
    <n v="43"/>
    <n v="2"/>
    <n v="2"/>
    <x v="3"/>
    <x v="0"/>
    <s v="Married"/>
    <n v="6062"/>
    <n v="4051"/>
    <n v="9"/>
    <s v="Y"/>
    <s v="Yes"/>
    <n v="13"/>
    <n v="3"/>
    <n v="4"/>
    <n v="80"/>
    <n v="1"/>
    <n v="8"/>
    <n v="4"/>
    <n v="3"/>
    <x v="9"/>
    <n v="3"/>
    <n v="0"/>
    <n v="2"/>
    <x v="0"/>
    <x v="4"/>
  </r>
  <r>
    <n v="28"/>
    <x v="0"/>
    <s v="Travel_Rarely"/>
    <n v="890"/>
    <x v="1"/>
    <x v="2"/>
    <n v="4"/>
    <s v="Medical"/>
    <n v="1"/>
    <n v="828"/>
    <n v="3"/>
    <x v="1"/>
    <n v="46"/>
    <n v="3"/>
    <n v="1"/>
    <x v="1"/>
    <x v="2"/>
    <s v="Single"/>
    <n v="4382"/>
    <n v="16374"/>
    <n v="6"/>
    <s v="Y"/>
    <s v="No"/>
    <n v="17"/>
    <n v="3"/>
    <n v="4"/>
    <n v="80"/>
    <n v="0"/>
    <n v="5"/>
    <n v="3"/>
    <n v="2"/>
    <x v="4"/>
    <n v="2"/>
    <n v="2"/>
    <n v="1"/>
    <x v="2"/>
    <x v="0"/>
  </r>
  <r>
    <n v="36"/>
    <x v="1"/>
    <s v="Travel_Rarely"/>
    <n v="1041"/>
    <x v="2"/>
    <x v="28"/>
    <n v="3"/>
    <s v="Human Resources"/>
    <n v="1"/>
    <n v="829"/>
    <n v="3"/>
    <x v="1"/>
    <n v="36"/>
    <n v="3"/>
    <n v="1"/>
    <x v="8"/>
    <x v="1"/>
    <s v="Married"/>
    <n v="2143"/>
    <n v="25527"/>
    <n v="4"/>
    <s v="Y"/>
    <s v="No"/>
    <n v="13"/>
    <n v="3"/>
    <n v="2"/>
    <n v="80"/>
    <n v="1"/>
    <n v="8"/>
    <n v="2"/>
    <n v="3"/>
    <x v="8"/>
    <n v="2"/>
    <n v="0"/>
    <n v="4"/>
    <x v="0"/>
    <x v="1"/>
  </r>
  <r>
    <n v="32"/>
    <x v="1"/>
    <s v="Travel_Rarely"/>
    <n v="859"/>
    <x v="1"/>
    <x v="18"/>
    <n v="3"/>
    <s v="Life Sciences"/>
    <n v="1"/>
    <n v="830"/>
    <n v="3"/>
    <x v="0"/>
    <n v="98"/>
    <n v="2"/>
    <n v="2"/>
    <x v="3"/>
    <x v="2"/>
    <s v="Married"/>
    <n v="6162"/>
    <n v="19124"/>
    <n v="1"/>
    <s v="Y"/>
    <s v="No"/>
    <n v="12"/>
    <n v="3"/>
    <n v="3"/>
    <n v="80"/>
    <n v="1"/>
    <n v="14"/>
    <n v="3"/>
    <n v="3"/>
    <x v="13"/>
    <n v="13"/>
    <n v="6"/>
    <n v="8"/>
    <x v="2"/>
    <x v="4"/>
  </r>
  <r>
    <n v="40"/>
    <x v="1"/>
    <s v="Travel_Frequently"/>
    <n v="720"/>
    <x v="1"/>
    <x v="7"/>
    <n v="4"/>
    <s v="Medical"/>
    <n v="1"/>
    <n v="832"/>
    <n v="1"/>
    <x v="1"/>
    <n v="51"/>
    <n v="2"/>
    <n v="2"/>
    <x v="2"/>
    <x v="2"/>
    <s v="Single"/>
    <n v="5094"/>
    <n v="11983"/>
    <n v="6"/>
    <s v="Y"/>
    <s v="No"/>
    <n v="14"/>
    <n v="3"/>
    <n v="4"/>
    <n v="80"/>
    <n v="0"/>
    <n v="10"/>
    <n v="6"/>
    <n v="3"/>
    <x v="6"/>
    <n v="0"/>
    <n v="0"/>
    <n v="0"/>
    <x v="0"/>
    <x v="0"/>
  </r>
  <r>
    <n v="30"/>
    <x v="1"/>
    <s v="Travel_Rarely"/>
    <n v="946"/>
    <x v="1"/>
    <x v="2"/>
    <n v="3"/>
    <s v="Medical"/>
    <n v="1"/>
    <n v="833"/>
    <n v="3"/>
    <x v="0"/>
    <n v="52"/>
    <n v="2"/>
    <n v="2"/>
    <x v="3"/>
    <x v="0"/>
    <s v="Single"/>
    <n v="6877"/>
    <n v="20234"/>
    <n v="5"/>
    <s v="Y"/>
    <s v="Yes"/>
    <n v="24"/>
    <n v="4"/>
    <n v="2"/>
    <n v="80"/>
    <n v="0"/>
    <n v="12"/>
    <n v="4"/>
    <n v="2"/>
    <x v="2"/>
    <n v="0"/>
    <n v="0"/>
    <n v="0"/>
    <x v="2"/>
    <x v="4"/>
  </r>
  <r>
    <n v="45"/>
    <x v="1"/>
    <s v="Travel_Rarely"/>
    <n v="252"/>
    <x v="1"/>
    <x v="2"/>
    <n v="3"/>
    <s v="Life Sciences"/>
    <n v="1"/>
    <n v="834"/>
    <n v="2"/>
    <x v="0"/>
    <n v="95"/>
    <n v="2"/>
    <n v="1"/>
    <x v="1"/>
    <x v="2"/>
    <s v="Single"/>
    <n v="2274"/>
    <n v="6153"/>
    <n v="1"/>
    <s v="Y"/>
    <s v="No"/>
    <n v="14"/>
    <n v="3"/>
    <n v="4"/>
    <n v="80"/>
    <n v="0"/>
    <n v="1"/>
    <n v="3"/>
    <n v="3"/>
    <x v="6"/>
    <n v="0"/>
    <n v="0"/>
    <n v="0"/>
    <x v="1"/>
    <x v="1"/>
  </r>
  <r>
    <n v="42"/>
    <x v="1"/>
    <s v="Travel_Rarely"/>
    <n v="933"/>
    <x v="1"/>
    <x v="22"/>
    <n v="3"/>
    <s v="Life Sciences"/>
    <n v="1"/>
    <n v="836"/>
    <n v="2"/>
    <x v="1"/>
    <n v="98"/>
    <n v="3"/>
    <n v="2"/>
    <x v="3"/>
    <x v="1"/>
    <s v="Married"/>
    <n v="4434"/>
    <n v="11806"/>
    <n v="1"/>
    <s v="Y"/>
    <s v="No"/>
    <n v="13"/>
    <n v="3"/>
    <n v="4"/>
    <n v="80"/>
    <n v="1"/>
    <n v="10"/>
    <n v="3"/>
    <n v="2"/>
    <x v="7"/>
    <n v="8"/>
    <n v="7"/>
    <n v="8"/>
    <x v="0"/>
    <x v="0"/>
  </r>
  <r>
    <n v="38"/>
    <x v="1"/>
    <s v="Travel_Frequently"/>
    <n v="471"/>
    <x v="1"/>
    <x v="20"/>
    <n v="3"/>
    <s v="Life Sciences"/>
    <n v="1"/>
    <n v="837"/>
    <n v="1"/>
    <x v="1"/>
    <n v="45"/>
    <n v="2"/>
    <n v="2"/>
    <x v="4"/>
    <x v="3"/>
    <s v="Divorced"/>
    <n v="6288"/>
    <n v="4284"/>
    <n v="2"/>
    <s v="Y"/>
    <s v="No"/>
    <n v="15"/>
    <n v="3"/>
    <n v="3"/>
    <n v="80"/>
    <n v="1"/>
    <n v="13"/>
    <n v="3"/>
    <n v="2"/>
    <x v="9"/>
    <n v="3"/>
    <n v="1"/>
    <n v="2"/>
    <x v="0"/>
    <x v="4"/>
  </r>
  <r>
    <n v="34"/>
    <x v="1"/>
    <s v="Travel_Frequently"/>
    <n v="702"/>
    <x v="1"/>
    <x v="7"/>
    <n v="4"/>
    <s v="Life Sciences"/>
    <n v="1"/>
    <n v="838"/>
    <n v="3"/>
    <x v="0"/>
    <n v="100"/>
    <n v="2"/>
    <n v="1"/>
    <x v="1"/>
    <x v="0"/>
    <s v="Single"/>
    <n v="2553"/>
    <n v="8306"/>
    <n v="1"/>
    <s v="Y"/>
    <s v="No"/>
    <n v="16"/>
    <n v="3"/>
    <n v="3"/>
    <n v="80"/>
    <n v="0"/>
    <n v="6"/>
    <n v="3"/>
    <n v="3"/>
    <x v="8"/>
    <n v="2"/>
    <n v="1"/>
    <n v="3"/>
    <x v="2"/>
    <x v="1"/>
  </r>
  <r>
    <n v="49"/>
    <x v="0"/>
    <s v="Travel_Rarely"/>
    <n v="1184"/>
    <x v="0"/>
    <x v="13"/>
    <n v="3"/>
    <s v="Marketing"/>
    <n v="1"/>
    <n v="840"/>
    <n v="3"/>
    <x v="0"/>
    <n v="43"/>
    <n v="3"/>
    <n v="3"/>
    <x v="0"/>
    <x v="0"/>
    <s v="Married"/>
    <n v="7654"/>
    <n v="5860"/>
    <n v="1"/>
    <s v="Y"/>
    <s v="No"/>
    <n v="18"/>
    <n v="3"/>
    <n v="1"/>
    <n v="80"/>
    <n v="2"/>
    <n v="9"/>
    <n v="3"/>
    <n v="4"/>
    <x v="7"/>
    <n v="8"/>
    <n v="7"/>
    <n v="7"/>
    <x v="1"/>
    <x v="4"/>
  </r>
  <r>
    <n v="55"/>
    <x v="0"/>
    <s v="Travel_Rarely"/>
    <n v="436"/>
    <x v="0"/>
    <x v="2"/>
    <n v="1"/>
    <s v="Medical"/>
    <n v="1"/>
    <n v="842"/>
    <n v="3"/>
    <x v="1"/>
    <n v="37"/>
    <n v="3"/>
    <n v="2"/>
    <x v="0"/>
    <x v="0"/>
    <s v="Single"/>
    <n v="5160"/>
    <n v="21519"/>
    <n v="4"/>
    <s v="Y"/>
    <s v="No"/>
    <n v="16"/>
    <n v="3"/>
    <n v="3"/>
    <n v="80"/>
    <n v="0"/>
    <n v="12"/>
    <n v="3"/>
    <n v="2"/>
    <x v="7"/>
    <n v="7"/>
    <n v="7"/>
    <n v="3"/>
    <x v="3"/>
    <x v="0"/>
  </r>
  <r>
    <n v="43"/>
    <x v="1"/>
    <s v="Travel_Rarely"/>
    <n v="589"/>
    <x v="1"/>
    <x v="24"/>
    <n v="2"/>
    <s v="Life Sciences"/>
    <n v="1"/>
    <n v="843"/>
    <n v="2"/>
    <x v="1"/>
    <n v="94"/>
    <n v="3"/>
    <n v="4"/>
    <x v="7"/>
    <x v="3"/>
    <s v="Married"/>
    <n v="17159"/>
    <n v="5200"/>
    <n v="6"/>
    <s v="Y"/>
    <s v="No"/>
    <n v="24"/>
    <n v="4"/>
    <n v="3"/>
    <n v="80"/>
    <n v="1"/>
    <n v="22"/>
    <n v="3"/>
    <n v="3"/>
    <x v="9"/>
    <n v="1"/>
    <n v="1"/>
    <n v="0"/>
    <x v="0"/>
    <x v="3"/>
  </r>
  <r>
    <n v="27"/>
    <x v="1"/>
    <s v="Travel_Rarely"/>
    <n v="269"/>
    <x v="1"/>
    <x v="12"/>
    <n v="1"/>
    <s v="Technical Degree"/>
    <n v="1"/>
    <n v="844"/>
    <n v="3"/>
    <x v="1"/>
    <n v="42"/>
    <n v="2"/>
    <n v="3"/>
    <x v="7"/>
    <x v="0"/>
    <s v="Divorced"/>
    <n v="12808"/>
    <n v="8842"/>
    <n v="1"/>
    <s v="Y"/>
    <s v="Yes"/>
    <n v="16"/>
    <n v="3"/>
    <n v="2"/>
    <n v="80"/>
    <n v="1"/>
    <n v="9"/>
    <n v="3"/>
    <n v="3"/>
    <x v="7"/>
    <n v="8"/>
    <n v="0"/>
    <n v="8"/>
    <x v="2"/>
    <x v="3"/>
  </r>
  <r>
    <n v="35"/>
    <x v="1"/>
    <s v="Travel_Rarely"/>
    <n v="950"/>
    <x v="1"/>
    <x v="15"/>
    <n v="3"/>
    <s v="Other"/>
    <n v="1"/>
    <n v="845"/>
    <n v="3"/>
    <x v="1"/>
    <n v="59"/>
    <n v="3"/>
    <n v="3"/>
    <x v="3"/>
    <x v="2"/>
    <s v="Single"/>
    <n v="10221"/>
    <n v="18869"/>
    <n v="3"/>
    <s v="Y"/>
    <s v="No"/>
    <n v="21"/>
    <n v="4"/>
    <n v="2"/>
    <n v="80"/>
    <n v="0"/>
    <n v="17"/>
    <n v="3"/>
    <n v="4"/>
    <x v="3"/>
    <n v="5"/>
    <n v="1"/>
    <n v="6"/>
    <x v="0"/>
    <x v="2"/>
  </r>
  <r>
    <n v="28"/>
    <x v="1"/>
    <s v="Travel_Rarely"/>
    <n v="760"/>
    <x v="0"/>
    <x v="2"/>
    <n v="4"/>
    <s v="Marketing"/>
    <n v="1"/>
    <n v="846"/>
    <n v="2"/>
    <x v="0"/>
    <n v="81"/>
    <n v="3"/>
    <n v="2"/>
    <x v="0"/>
    <x v="1"/>
    <s v="Married"/>
    <n v="4779"/>
    <n v="3698"/>
    <n v="1"/>
    <s v="Y"/>
    <s v="Yes"/>
    <n v="20"/>
    <n v="4"/>
    <n v="1"/>
    <n v="80"/>
    <n v="0"/>
    <n v="8"/>
    <n v="2"/>
    <n v="3"/>
    <x v="3"/>
    <n v="7"/>
    <n v="7"/>
    <n v="5"/>
    <x v="2"/>
    <x v="0"/>
  </r>
  <r>
    <n v="34"/>
    <x v="1"/>
    <s v="Travel_Rarely"/>
    <n v="829"/>
    <x v="2"/>
    <x v="3"/>
    <n v="2"/>
    <s v="Human Resources"/>
    <n v="1"/>
    <n v="847"/>
    <n v="3"/>
    <x v="1"/>
    <n v="88"/>
    <n v="3"/>
    <n v="1"/>
    <x v="8"/>
    <x v="0"/>
    <s v="Married"/>
    <n v="3737"/>
    <n v="2243"/>
    <n v="0"/>
    <s v="Y"/>
    <s v="No"/>
    <n v="19"/>
    <n v="3"/>
    <n v="3"/>
    <n v="80"/>
    <n v="1"/>
    <n v="4"/>
    <n v="1"/>
    <n v="1"/>
    <x v="11"/>
    <n v="2"/>
    <n v="0"/>
    <n v="2"/>
    <x v="2"/>
    <x v="0"/>
  </r>
  <r>
    <n v="26"/>
    <x v="0"/>
    <s v="Travel_Frequently"/>
    <n v="887"/>
    <x v="1"/>
    <x v="12"/>
    <n v="2"/>
    <s v="Medical"/>
    <n v="1"/>
    <n v="848"/>
    <n v="3"/>
    <x v="0"/>
    <n v="88"/>
    <n v="2"/>
    <n v="1"/>
    <x v="1"/>
    <x v="2"/>
    <s v="Married"/>
    <n v="2366"/>
    <n v="20898"/>
    <n v="1"/>
    <s v="Y"/>
    <s v="Yes"/>
    <n v="14"/>
    <n v="3"/>
    <n v="1"/>
    <n v="80"/>
    <n v="1"/>
    <n v="8"/>
    <n v="2"/>
    <n v="3"/>
    <x v="3"/>
    <n v="7"/>
    <n v="1"/>
    <n v="7"/>
    <x v="2"/>
    <x v="1"/>
  </r>
  <r>
    <n v="27"/>
    <x v="1"/>
    <s v="Non-Travel"/>
    <n v="443"/>
    <x v="1"/>
    <x v="3"/>
    <n v="3"/>
    <s v="Medical"/>
    <n v="1"/>
    <n v="850"/>
    <n v="4"/>
    <x v="1"/>
    <n v="50"/>
    <n v="3"/>
    <n v="1"/>
    <x v="1"/>
    <x v="0"/>
    <s v="Married"/>
    <n v="1706"/>
    <n v="16571"/>
    <n v="1"/>
    <s v="Y"/>
    <s v="No"/>
    <n v="11"/>
    <n v="3"/>
    <n v="3"/>
    <n v="80"/>
    <n v="3"/>
    <n v="0"/>
    <n v="6"/>
    <n v="2"/>
    <x v="2"/>
    <n v="0"/>
    <n v="0"/>
    <n v="0"/>
    <x v="2"/>
    <x v="1"/>
  </r>
  <r>
    <n v="51"/>
    <x v="1"/>
    <s v="Travel_Rarely"/>
    <n v="1318"/>
    <x v="0"/>
    <x v="9"/>
    <n v="4"/>
    <s v="Marketing"/>
    <n v="1"/>
    <n v="851"/>
    <n v="1"/>
    <x v="0"/>
    <n v="66"/>
    <n v="3"/>
    <n v="4"/>
    <x v="5"/>
    <x v="2"/>
    <s v="Married"/>
    <n v="16307"/>
    <n v="5594"/>
    <n v="2"/>
    <s v="Y"/>
    <s v="No"/>
    <n v="14"/>
    <n v="3"/>
    <n v="3"/>
    <n v="80"/>
    <n v="1"/>
    <n v="29"/>
    <n v="2"/>
    <n v="2"/>
    <x v="23"/>
    <n v="6"/>
    <n v="4"/>
    <n v="17"/>
    <x v="1"/>
    <x v="3"/>
  </r>
  <r>
    <n v="44"/>
    <x v="1"/>
    <s v="Travel_Rarely"/>
    <n v="625"/>
    <x v="1"/>
    <x v="18"/>
    <n v="3"/>
    <s v="Medical"/>
    <n v="1"/>
    <n v="852"/>
    <n v="4"/>
    <x v="1"/>
    <n v="50"/>
    <n v="3"/>
    <n v="2"/>
    <x v="4"/>
    <x v="1"/>
    <s v="Single"/>
    <n v="5933"/>
    <n v="5197"/>
    <n v="9"/>
    <s v="Y"/>
    <s v="No"/>
    <n v="12"/>
    <n v="3"/>
    <n v="4"/>
    <n v="80"/>
    <n v="0"/>
    <n v="10"/>
    <n v="2"/>
    <n v="2"/>
    <x v="8"/>
    <n v="2"/>
    <n v="2"/>
    <n v="3"/>
    <x v="0"/>
    <x v="0"/>
  </r>
  <r>
    <n v="25"/>
    <x v="1"/>
    <s v="Travel_Rarely"/>
    <n v="180"/>
    <x v="1"/>
    <x v="2"/>
    <n v="1"/>
    <s v="Medical"/>
    <n v="1"/>
    <n v="854"/>
    <n v="1"/>
    <x v="1"/>
    <n v="65"/>
    <n v="4"/>
    <n v="1"/>
    <x v="1"/>
    <x v="3"/>
    <s v="Single"/>
    <n v="3424"/>
    <n v="21632"/>
    <n v="7"/>
    <s v="Y"/>
    <s v="No"/>
    <n v="13"/>
    <n v="3"/>
    <n v="3"/>
    <n v="80"/>
    <n v="0"/>
    <n v="6"/>
    <n v="3"/>
    <n v="2"/>
    <x v="9"/>
    <n v="3"/>
    <n v="0"/>
    <n v="1"/>
    <x v="2"/>
    <x v="0"/>
  </r>
  <r>
    <n v="33"/>
    <x v="1"/>
    <s v="Travel_Rarely"/>
    <n v="586"/>
    <x v="0"/>
    <x v="0"/>
    <n v="3"/>
    <s v="Medical"/>
    <n v="1"/>
    <n v="855"/>
    <n v="1"/>
    <x v="1"/>
    <n v="48"/>
    <n v="4"/>
    <n v="2"/>
    <x v="0"/>
    <x v="3"/>
    <s v="Divorced"/>
    <n v="4037"/>
    <n v="21816"/>
    <n v="1"/>
    <s v="Y"/>
    <s v="No"/>
    <n v="22"/>
    <n v="4"/>
    <n v="1"/>
    <n v="80"/>
    <n v="1"/>
    <n v="9"/>
    <n v="5"/>
    <n v="3"/>
    <x v="7"/>
    <n v="8"/>
    <n v="0"/>
    <n v="8"/>
    <x v="2"/>
    <x v="0"/>
  </r>
  <r>
    <n v="35"/>
    <x v="1"/>
    <s v="Travel_Rarely"/>
    <n v="1343"/>
    <x v="1"/>
    <x v="6"/>
    <n v="1"/>
    <s v="Medical"/>
    <n v="1"/>
    <n v="856"/>
    <n v="3"/>
    <x v="0"/>
    <n v="53"/>
    <n v="2"/>
    <n v="1"/>
    <x v="1"/>
    <x v="3"/>
    <s v="Single"/>
    <n v="2559"/>
    <n v="17852"/>
    <n v="1"/>
    <s v="Y"/>
    <s v="No"/>
    <n v="11"/>
    <n v="3"/>
    <n v="4"/>
    <n v="80"/>
    <n v="0"/>
    <n v="6"/>
    <n v="3"/>
    <n v="2"/>
    <x v="0"/>
    <n v="5"/>
    <n v="1"/>
    <n v="1"/>
    <x v="0"/>
    <x v="1"/>
  </r>
  <r>
    <n v="36"/>
    <x v="1"/>
    <s v="Travel_Rarely"/>
    <n v="928"/>
    <x v="0"/>
    <x v="0"/>
    <n v="2"/>
    <s v="Life Sciences"/>
    <n v="1"/>
    <n v="857"/>
    <n v="2"/>
    <x v="1"/>
    <n v="56"/>
    <n v="3"/>
    <n v="2"/>
    <x v="0"/>
    <x v="0"/>
    <s v="Married"/>
    <n v="6201"/>
    <n v="2823"/>
    <n v="1"/>
    <s v="Y"/>
    <s v="Yes"/>
    <n v="14"/>
    <n v="3"/>
    <n v="4"/>
    <n v="80"/>
    <n v="1"/>
    <n v="18"/>
    <n v="1"/>
    <n v="2"/>
    <x v="29"/>
    <n v="14"/>
    <n v="4"/>
    <n v="11"/>
    <x v="0"/>
    <x v="4"/>
  </r>
  <r>
    <n v="32"/>
    <x v="1"/>
    <s v="Travel_Rarely"/>
    <n v="117"/>
    <x v="0"/>
    <x v="28"/>
    <n v="4"/>
    <s v="Life Sciences"/>
    <n v="1"/>
    <n v="859"/>
    <n v="2"/>
    <x v="1"/>
    <n v="73"/>
    <n v="3"/>
    <n v="2"/>
    <x v="0"/>
    <x v="0"/>
    <s v="Divorced"/>
    <n v="4403"/>
    <n v="9250"/>
    <n v="2"/>
    <s v="Y"/>
    <s v="No"/>
    <n v="11"/>
    <n v="3"/>
    <n v="3"/>
    <n v="80"/>
    <n v="1"/>
    <n v="8"/>
    <n v="3"/>
    <n v="2"/>
    <x v="8"/>
    <n v="2"/>
    <n v="0"/>
    <n v="3"/>
    <x v="2"/>
    <x v="0"/>
  </r>
  <r>
    <n v="30"/>
    <x v="1"/>
    <s v="Travel_Frequently"/>
    <n v="1012"/>
    <x v="1"/>
    <x v="12"/>
    <n v="4"/>
    <s v="Life Sciences"/>
    <n v="1"/>
    <n v="861"/>
    <n v="2"/>
    <x v="1"/>
    <n v="75"/>
    <n v="2"/>
    <n v="1"/>
    <x v="1"/>
    <x v="0"/>
    <s v="Divorced"/>
    <n v="3761"/>
    <n v="2373"/>
    <n v="9"/>
    <s v="Y"/>
    <s v="No"/>
    <n v="12"/>
    <n v="3"/>
    <n v="2"/>
    <n v="80"/>
    <n v="1"/>
    <n v="10"/>
    <n v="3"/>
    <n v="2"/>
    <x v="8"/>
    <n v="4"/>
    <n v="0"/>
    <n v="3"/>
    <x v="2"/>
    <x v="0"/>
  </r>
  <r>
    <n v="53"/>
    <x v="1"/>
    <s v="Travel_Rarely"/>
    <n v="661"/>
    <x v="0"/>
    <x v="15"/>
    <n v="2"/>
    <s v="Marketing"/>
    <n v="1"/>
    <n v="862"/>
    <n v="1"/>
    <x v="0"/>
    <n v="78"/>
    <n v="2"/>
    <n v="3"/>
    <x v="0"/>
    <x v="0"/>
    <s v="Married"/>
    <n v="10934"/>
    <n v="20715"/>
    <n v="7"/>
    <s v="Y"/>
    <s v="Yes"/>
    <n v="18"/>
    <n v="3"/>
    <n v="4"/>
    <n v="80"/>
    <n v="1"/>
    <n v="35"/>
    <n v="3"/>
    <n v="3"/>
    <x v="8"/>
    <n v="2"/>
    <n v="0"/>
    <n v="4"/>
    <x v="1"/>
    <x v="2"/>
  </r>
  <r>
    <n v="45"/>
    <x v="1"/>
    <s v="Travel_Rarely"/>
    <n v="930"/>
    <x v="0"/>
    <x v="14"/>
    <n v="3"/>
    <s v="Marketing"/>
    <n v="1"/>
    <n v="864"/>
    <n v="4"/>
    <x v="1"/>
    <n v="74"/>
    <n v="3"/>
    <n v="3"/>
    <x v="0"/>
    <x v="3"/>
    <s v="Divorced"/>
    <n v="10761"/>
    <n v="19239"/>
    <n v="4"/>
    <s v="Y"/>
    <s v="Yes"/>
    <n v="12"/>
    <n v="3"/>
    <n v="3"/>
    <n v="80"/>
    <n v="1"/>
    <n v="18"/>
    <n v="2"/>
    <n v="3"/>
    <x v="8"/>
    <n v="4"/>
    <n v="0"/>
    <n v="2"/>
    <x v="1"/>
    <x v="2"/>
  </r>
  <r>
    <n v="32"/>
    <x v="1"/>
    <s v="Travel_Rarely"/>
    <n v="638"/>
    <x v="1"/>
    <x v="1"/>
    <n v="2"/>
    <s v="Medical"/>
    <n v="1"/>
    <n v="865"/>
    <n v="3"/>
    <x v="0"/>
    <n v="91"/>
    <n v="4"/>
    <n v="2"/>
    <x v="1"/>
    <x v="2"/>
    <s v="Married"/>
    <n v="5175"/>
    <n v="22162"/>
    <n v="5"/>
    <s v="Y"/>
    <s v="No"/>
    <n v="12"/>
    <n v="3"/>
    <n v="3"/>
    <n v="80"/>
    <n v="1"/>
    <n v="9"/>
    <n v="3"/>
    <n v="2"/>
    <x v="8"/>
    <n v="3"/>
    <n v="1"/>
    <n v="3"/>
    <x v="2"/>
    <x v="0"/>
  </r>
  <r>
    <n v="52"/>
    <x v="1"/>
    <s v="Travel_Frequently"/>
    <n v="890"/>
    <x v="1"/>
    <x v="19"/>
    <n v="4"/>
    <s v="Medical"/>
    <n v="1"/>
    <n v="867"/>
    <n v="3"/>
    <x v="0"/>
    <n v="81"/>
    <n v="2"/>
    <n v="4"/>
    <x v="3"/>
    <x v="0"/>
    <s v="Married"/>
    <n v="13826"/>
    <n v="19028"/>
    <n v="3"/>
    <s v="Y"/>
    <s v="No"/>
    <n v="22"/>
    <n v="4"/>
    <n v="3"/>
    <n v="80"/>
    <n v="0"/>
    <n v="31"/>
    <n v="3"/>
    <n v="3"/>
    <x v="7"/>
    <n v="8"/>
    <n v="0"/>
    <n v="0"/>
    <x v="1"/>
    <x v="3"/>
  </r>
  <r>
    <n v="37"/>
    <x v="1"/>
    <s v="Travel_Rarely"/>
    <n v="342"/>
    <x v="0"/>
    <x v="7"/>
    <n v="4"/>
    <s v="Marketing"/>
    <n v="1"/>
    <n v="868"/>
    <n v="4"/>
    <x v="1"/>
    <n v="66"/>
    <n v="2"/>
    <n v="2"/>
    <x v="0"/>
    <x v="2"/>
    <s v="Divorced"/>
    <n v="6334"/>
    <n v="24558"/>
    <n v="4"/>
    <s v="Y"/>
    <s v="No"/>
    <n v="19"/>
    <n v="3"/>
    <n v="4"/>
    <n v="80"/>
    <n v="2"/>
    <n v="9"/>
    <n v="2"/>
    <n v="3"/>
    <x v="6"/>
    <n v="0"/>
    <n v="0"/>
    <n v="0"/>
    <x v="0"/>
    <x v="4"/>
  </r>
  <r>
    <n v="28"/>
    <x v="1"/>
    <s v="Travel_Rarely"/>
    <n v="1169"/>
    <x v="2"/>
    <x v="1"/>
    <n v="2"/>
    <s v="Medical"/>
    <n v="1"/>
    <n v="869"/>
    <n v="2"/>
    <x v="1"/>
    <n v="63"/>
    <n v="2"/>
    <n v="1"/>
    <x v="8"/>
    <x v="0"/>
    <s v="Divorced"/>
    <n v="4936"/>
    <n v="23965"/>
    <n v="1"/>
    <s v="Y"/>
    <s v="No"/>
    <n v="13"/>
    <n v="3"/>
    <n v="4"/>
    <n v="80"/>
    <n v="1"/>
    <n v="6"/>
    <n v="6"/>
    <n v="3"/>
    <x v="8"/>
    <n v="1"/>
    <n v="0"/>
    <n v="4"/>
    <x v="2"/>
    <x v="0"/>
  </r>
  <r>
    <n v="22"/>
    <x v="1"/>
    <s v="Travel_Rarely"/>
    <n v="1230"/>
    <x v="1"/>
    <x v="0"/>
    <n v="2"/>
    <s v="Life Sciences"/>
    <n v="1"/>
    <n v="872"/>
    <n v="4"/>
    <x v="1"/>
    <n v="33"/>
    <n v="2"/>
    <n v="2"/>
    <x v="3"/>
    <x v="0"/>
    <s v="Married"/>
    <n v="4775"/>
    <n v="19146"/>
    <n v="6"/>
    <s v="Y"/>
    <s v="No"/>
    <n v="22"/>
    <n v="4"/>
    <n v="1"/>
    <n v="80"/>
    <n v="2"/>
    <n v="4"/>
    <n v="2"/>
    <n v="1"/>
    <x v="4"/>
    <n v="2"/>
    <n v="2"/>
    <n v="2"/>
    <x v="4"/>
    <x v="0"/>
  </r>
  <r>
    <n v="44"/>
    <x v="1"/>
    <s v="Travel_Rarely"/>
    <n v="986"/>
    <x v="1"/>
    <x v="1"/>
    <n v="4"/>
    <s v="Life Sciences"/>
    <n v="1"/>
    <n v="874"/>
    <n v="1"/>
    <x v="1"/>
    <n v="62"/>
    <n v="4"/>
    <n v="1"/>
    <x v="2"/>
    <x v="0"/>
    <s v="Married"/>
    <n v="2818"/>
    <n v="5044"/>
    <n v="2"/>
    <s v="Y"/>
    <s v="Yes"/>
    <n v="24"/>
    <n v="4"/>
    <n v="3"/>
    <n v="80"/>
    <n v="1"/>
    <n v="10"/>
    <n v="2"/>
    <n v="2"/>
    <x v="11"/>
    <n v="2"/>
    <n v="0"/>
    <n v="2"/>
    <x v="0"/>
    <x v="1"/>
  </r>
  <r>
    <n v="42"/>
    <x v="1"/>
    <s v="Travel_Frequently"/>
    <n v="1271"/>
    <x v="1"/>
    <x v="2"/>
    <n v="1"/>
    <s v="Medical"/>
    <n v="1"/>
    <n v="875"/>
    <n v="2"/>
    <x v="1"/>
    <n v="35"/>
    <n v="3"/>
    <n v="1"/>
    <x v="1"/>
    <x v="0"/>
    <s v="Single"/>
    <n v="2515"/>
    <n v="9068"/>
    <n v="5"/>
    <s v="Y"/>
    <s v="Yes"/>
    <n v="14"/>
    <n v="3"/>
    <n v="4"/>
    <n v="80"/>
    <n v="0"/>
    <n v="8"/>
    <n v="2"/>
    <n v="3"/>
    <x v="4"/>
    <n v="1"/>
    <n v="2"/>
    <n v="2"/>
    <x v="0"/>
    <x v="1"/>
  </r>
  <r>
    <n v="36"/>
    <x v="1"/>
    <s v="Travel_Rarely"/>
    <n v="1278"/>
    <x v="2"/>
    <x v="1"/>
    <n v="3"/>
    <s v="Life Sciences"/>
    <n v="1"/>
    <n v="878"/>
    <n v="1"/>
    <x v="1"/>
    <n v="77"/>
    <n v="2"/>
    <n v="1"/>
    <x v="8"/>
    <x v="3"/>
    <s v="Married"/>
    <n v="2342"/>
    <n v="8635"/>
    <n v="0"/>
    <s v="Y"/>
    <s v="No"/>
    <n v="21"/>
    <n v="4"/>
    <n v="3"/>
    <n v="80"/>
    <n v="0"/>
    <n v="6"/>
    <n v="3"/>
    <n v="3"/>
    <x v="8"/>
    <n v="4"/>
    <n v="0"/>
    <n v="3"/>
    <x v="0"/>
    <x v="1"/>
  </r>
  <r>
    <n v="25"/>
    <x v="1"/>
    <s v="Travel_Rarely"/>
    <n v="141"/>
    <x v="0"/>
    <x v="3"/>
    <n v="1"/>
    <s v="Other"/>
    <n v="1"/>
    <n v="879"/>
    <n v="3"/>
    <x v="1"/>
    <n v="98"/>
    <n v="3"/>
    <n v="2"/>
    <x v="0"/>
    <x v="3"/>
    <s v="Married"/>
    <n v="4194"/>
    <n v="14363"/>
    <n v="1"/>
    <s v="Y"/>
    <s v="Yes"/>
    <n v="18"/>
    <n v="3"/>
    <n v="4"/>
    <n v="80"/>
    <n v="0"/>
    <n v="5"/>
    <n v="3"/>
    <n v="3"/>
    <x v="8"/>
    <n v="3"/>
    <n v="0"/>
    <n v="3"/>
    <x v="2"/>
    <x v="0"/>
  </r>
  <r>
    <n v="35"/>
    <x v="1"/>
    <s v="Travel_Rarely"/>
    <n v="607"/>
    <x v="1"/>
    <x v="14"/>
    <n v="3"/>
    <s v="Life Sciences"/>
    <n v="1"/>
    <n v="880"/>
    <n v="4"/>
    <x v="0"/>
    <n v="66"/>
    <n v="2"/>
    <n v="3"/>
    <x v="3"/>
    <x v="2"/>
    <s v="Married"/>
    <n v="10685"/>
    <n v="23457"/>
    <n v="1"/>
    <s v="Y"/>
    <s v="Yes"/>
    <n v="20"/>
    <n v="4"/>
    <n v="2"/>
    <n v="80"/>
    <n v="1"/>
    <n v="17"/>
    <n v="2"/>
    <n v="3"/>
    <x v="18"/>
    <n v="14"/>
    <n v="5"/>
    <n v="15"/>
    <x v="0"/>
    <x v="2"/>
  </r>
  <r>
    <n v="35"/>
    <x v="0"/>
    <s v="Travel_Frequently"/>
    <n v="130"/>
    <x v="1"/>
    <x v="19"/>
    <n v="4"/>
    <s v="Life Sciences"/>
    <n v="1"/>
    <n v="881"/>
    <n v="4"/>
    <x v="0"/>
    <n v="96"/>
    <n v="3"/>
    <n v="1"/>
    <x v="1"/>
    <x v="1"/>
    <s v="Divorced"/>
    <n v="2022"/>
    <n v="16612"/>
    <n v="1"/>
    <s v="Y"/>
    <s v="Yes"/>
    <n v="19"/>
    <n v="3"/>
    <n v="1"/>
    <n v="80"/>
    <n v="1"/>
    <n v="10"/>
    <n v="3"/>
    <n v="2"/>
    <x v="1"/>
    <n v="2"/>
    <n v="7"/>
    <n v="8"/>
    <x v="0"/>
    <x v="1"/>
  </r>
  <r>
    <n v="32"/>
    <x v="1"/>
    <s v="Non-Travel"/>
    <n v="300"/>
    <x v="1"/>
    <x v="0"/>
    <n v="3"/>
    <s v="Life Sciences"/>
    <n v="1"/>
    <n v="882"/>
    <n v="4"/>
    <x v="1"/>
    <n v="61"/>
    <n v="3"/>
    <n v="1"/>
    <x v="2"/>
    <x v="0"/>
    <s v="Divorced"/>
    <n v="2314"/>
    <n v="9148"/>
    <n v="0"/>
    <s v="Y"/>
    <s v="No"/>
    <n v="12"/>
    <n v="3"/>
    <n v="2"/>
    <n v="80"/>
    <n v="1"/>
    <n v="4"/>
    <n v="2"/>
    <n v="3"/>
    <x v="11"/>
    <n v="0"/>
    <n v="0"/>
    <n v="2"/>
    <x v="2"/>
    <x v="1"/>
  </r>
  <r>
    <n v="25"/>
    <x v="1"/>
    <s v="Travel_Rarely"/>
    <n v="583"/>
    <x v="0"/>
    <x v="18"/>
    <n v="1"/>
    <s v="Marketing"/>
    <n v="1"/>
    <n v="885"/>
    <n v="3"/>
    <x v="1"/>
    <n v="87"/>
    <n v="2"/>
    <n v="2"/>
    <x v="0"/>
    <x v="3"/>
    <s v="Married"/>
    <n v="4256"/>
    <n v="18154"/>
    <n v="1"/>
    <s v="Y"/>
    <s v="No"/>
    <n v="12"/>
    <n v="3"/>
    <n v="1"/>
    <n v="80"/>
    <n v="0"/>
    <n v="5"/>
    <n v="1"/>
    <n v="4"/>
    <x v="8"/>
    <n v="2"/>
    <n v="0"/>
    <n v="3"/>
    <x v="2"/>
    <x v="0"/>
  </r>
  <r>
    <n v="49"/>
    <x v="1"/>
    <s v="Travel_Rarely"/>
    <n v="1418"/>
    <x v="1"/>
    <x v="0"/>
    <n v="3"/>
    <s v="Technical Degree"/>
    <n v="1"/>
    <n v="887"/>
    <n v="3"/>
    <x v="0"/>
    <n v="36"/>
    <n v="3"/>
    <n v="1"/>
    <x v="1"/>
    <x v="3"/>
    <s v="Married"/>
    <n v="3580"/>
    <n v="10554"/>
    <n v="2"/>
    <s v="Y"/>
    <s v="No"/>
    <n v="16"/>
    <n v="3"/>
    <n v="2"/>
    <n v="80"/>
    <n v="1"/>
    <n v="7"/>
    <n v="2"/>
    <n v="3"/>
    <x v="9"/>
    <n v="2"/>
    <n v="0"/>
    <n v="2"/>
    <x v="1"/>
    <x v="0"/>
  </r>
  <r>
    <n v="24"/>
    <x v="1"/>
    <s v="Non-Travel"/>
    <n v="1269"/>
    <x v="1"/>
    <x v="18"/>
    <n v="1"/>
    <s v="Life Sciences"/>
    <n v="1"/>
    <n v="888"/>
    <n v="1"/>
    <x v="1"/>
    <n v="46"/>
    <n v="2"/>
    <n v="1"/>
    <x v="2"/>
    <x v="0"/>
    <s v="Married"/>
    <n v="3162"/>
    <n v="10778"/>
    <n v="0"/>
    <s v="Y"/>
    <s v="No"/>
    <n v="17"/>
    <n v="3"/>
    <n v="4"/>
    <n v="80"/>
    <n v="0"/>
    <n v="6"/>
    <n v="2"/>
    <n v="2"/>
    <x v="8"/>
    <n v="2"/>
    <n v="3"/>
    <n v="4"/>
    <x v="4"/>
    <x v="0"/>
  </r>
  <r>
    <n v="32"/>
    <x v="1"/>
    <s v="Travel_Frequently"/>
    <n v="379"/>
    <x v="0"/>
    <x v="12"/>
    <n v="2"/>
    <s v="Life Sciences"/>
    <n v="1"/>
    <n v="889"/>
    <n v="2"/>
    <x v="1"/>
    <n v="48"/>
    <n v="3"/>
    <n v="2"/>
    <x v="0"/>
    <x v="1"/>
    <s v="Married"/>
    <n v="6524"/>
    <n v="8891"/>
    <n v="1"/>
    <s v="Y"/>
    <s v="No"/>
    <n v="14"/>
    <n v="3"/>
    <n v="4"/>
    <n v="80"/>
    <n v="1"/>
    <n v="10"/>
    <n v="3"/>
    <n v="3"/>
    <x v="1"/>
    <n v="8"/>
    <n v="5"/>
    <n v="3"/>
    <x v="2"/>
    <x v="4"/>
  </r>
  <r>
    <n v="38"/>
    <x v="1"/>
    <s v="Travel_Rarely"/>
    <n v="395"/>
    <x v="0"/>
    <x v="14"/>
    <n v="3"/>
    <s v="Marketing"/>
    <n v="1"/>
    <n v="893"/>
    <n v="2"/>
    <x v="1"/>
    <n v="98"/>
    <n v="2"/>
    <n v="1"/>
    <x v="6"/>
    <x v="1"/>
    <s v="Married"/>
    <n v="2899"/>
    <n v="12102"/>
    <n v="0"/>
    <s v="Y"/>
    <s v="No"/>
    <n v="19"/>
    <n v="3"/>
    <n v="4"/>
    <n v="80"/>
    <n v="1"/>
    <n v="3"/>
    <n v="3"/>
    <n v="3"/>
    <x v="4"/>
    <n v="2"/>
    <n v="1"/>
    <n v="2"/>
    <x v="0"/>
    <x v="1"/>
  </r>
  <r>
    <n v="42"/>
    <x v="1"/>
    <s v="Travel_Rarely"/>
    <n v="1265"/>
    <x v="1"/>
    <x v="3"/>
    <n v="3"/>
    <s v="Life Sciences"/>
    <n v="1"/>
    <n v="894"/>
    <n v="3"/>
    <x v="0"/>
    <n v="95"/>
    <n v="4"/>
    <n v="2"/>
    <x v="2"/>
    <x v="0"/>
    <s v="Married"/>
    <n v="5231"/>
    <n v="23726"/>
    <n v="2"/>
    <s v="Y"/>
    <s v="Yes"/>
    <n v="13"/>
    <n v="3"/>
    <n v="2"/>
    <n v="80"/>
    <n v="1"/>
    <n v="17"/>
    <n v="1"/>
    <n v="2"/>
    <x v="8"/>
    <n v="3"/>
    <n v="1"/>
    <n v="3"/>
    <x v="0"/>
    <x v="0"/>
  </r>
  <r>
    <n v="31"/>
    <x v="1"/>
    <s v="Travel_Rarely"/>
    <n v="1222"/>
    <x v="1"/>
    <x v="13"/>
    <n v="4"/>
    <s v="Life Sciences"/>
    <n v="1"/>
    <n v="895"/>
    <n v="4"/>
    <x v="1"/>
    <n v="48"/>
    <n v="3"/>
    <n v="1"/>
    <x v="1"/>
    <x v="0"/>
    <s v="Married"/>
    <n v="2356"/>
    <n v="14871"/>
    <n v="3"/>
    <s v="Y"/>
    <s v="Yes"/>
    <n v="19"/>
    <n v="3"/>
    <n v="2"/>
    <n v="80"/>
    <n v="1"/>
    <n v="8"/>
    <n v="2"/>
    <n v="3"/>
    <x v="0"/>
    <n v="4"/>
    <n v="0"/>
    <n v="2"/>
    <x v="2"/>
    <x v="1"/>
  </r>
  <r>
    <n v="29"/>
    <x v="0"/>
    <s v="Travel_Rarely"/>
    <n v="341"/>
    <x v="0"/>
    <x v="0"/>
    <n v="3"/>
    <s v="Medical"/>
    <n v="1"/>
    <n v="896"/>
    <n v="2"/>
    <x v="0"/>
    <n v="48"/>
    <n v="2"/>
    <n v="1"/>
    <x v="6"/>
    <x v="2"/>
    <s v="Divorced"/>
    <n v="2800"/>
    <n v="23522"/>
    <n v="6"/>
    <s v="Y"/>
    <s v="Yes"/>
    <n v="19"/>
    <n v="3"/>
    <n v="3"/>
    <n v="80"/>
    <n v="3"/>
    <n v="5"/>
    <n v="3"/>
    <n v="3"/>
    <x v="11"/>
    <n v="2"/>
    <n v="0"/>
    <n v="2"/>
    <x v="2"/>
    <x v="1"/>
  </r>
  <r>
    <n v="53"/>
    <x v="1"/>
    <s v="Travel_Rarely"/>
    <n v="868"/>
    <x v="0"/>
    <x v="1"/>
    <n v="3"/>
    <s v="Marketing"/>
    <n v="1"/>
    <n v="897"/>
    <n v="1"/>
    <x v="1"/>
    <n v="73"/>
    <n v="3"/>
    <n v="4"/>
    <x v="0"/>
    <x v="0"/>
    <s v="Married"/>
    <n v="11836"/>
    <n v="22789"/>
    <n v="5"/>
    <s v="Y"/>
    <s v="No"/>
    <n v="14"/>
    <n v="3"/>
    <n v="3"/>
    <n v="80"/>
    <n v="1"/>
    <n v="28"/>
    <n v="3"/>
    <n v="3"/>
    <x v="4"/>
    <n v="0"/>
    <n v="2"/>
    <n v="2"/>
    <x v="1"/>
    <x v="2"/>
  </r>
  <r>
    <n v="35"/>
    <x v="1"/>
    <s v="Travel_Rarely"/>
    <n v="672"/>
    <x v="1"/>
    <x v="19"/>
    <n v="3"/>
    <s v="Technical Degree"/>
    <n v="1"/>
    <n v="899"/>
    <n v="4"/>
    <x v="1"/>
    <n v="78"/>
    <n v="2"/>
    <n v="3"/>
    <x v="3"/>
    <x v="1"/>
    <s v="Married"/>
    <n v="10903"/>
    <n v="9129"/>
    <n v="3"/>
    <s v="Y"/>
    <s v="No"/>
    <n v="16"/>
    <n v="3"/>
    <n v="1"/>
    <n v="80"/>
    <n v="0"/>
    <n v="16"/>
    <n v="2"/>
    <n v="3"/>
    <x v="20"/>
    <n v="10"/>
    <n v="4"/>
    <n v="8"/>
    <x v="0"/>
    <x v="2"/>
  </r>
  <r>
    <n v="37"/>
    <x v="1"/>
    <s v="Travel_Frequently"/>
    <n v="1231"/>
    <x v="0"/>
    <x v="11"/>
    <n v="2"/>
    <s v="Medical"/>
    <n v="1"/>
    <n v="900"/>
    <n v="3"/>
    <x v="0"/>
    <n v="54"/>
    <n v="3"/>
    <n v="1"/>
    <x v="6"/>
    <x v="0"/>
    <s v="Married"/>
    <n v="2973"/>
    <n v="21222"/>
    <n v="5"/>
    <s v="Y"/>
    <s v="No"/>
    <n v="15"/>
    <n v="3"/>
    <n v="2"/>
    <n v="80"/>
    <n v="1"/>
    <n v="10"/>
    <n v="3"/>
    <n v="3"/>
    <x v="8"/>
    <n v="4"/>
    <n v="0"/>
    <n v="0"/>
    <x v="0"/>
    <x v="1"/>
  </r>
  <r>
    <n v="53"/>
    <x v="1"/>
    <s v="Travel_Rarely"/>
    <n v="102"/>
    <x v="1"/>
    <x v="5"/>
    <n v="4"/>
    <s v="Life Sciences"/>
    <n v="1"/>
    <n v="901"/>
    <n v="4"/>
    <x v="0"/>
    <n v="72"/>
    <n v="3"/>
    <n v="4"/>
    <x v="7"/>
    <x v="0"/>
    <s v="Single"/>
    <n v="14275"/>
    <n v="20206"/>
    <n v="6"/>
    <s v="Y"/>
    <s v="No"/>
    <n v="18"/>
    <n v="3"/>
    <n v="3"/>
    <n v="80"/>
    <n v="0"/>
    <n v="33"/>
    <n v="0"/>
    <n v="3"/>
    <x v="12"/>
    <n v="9"/>
    <n v="3"/>
    <n v="8"/>
    <x v="1"/>
    <x v="3"/>
  </r>
  <r>
    <n v="43"/>
    <x v="1"/>
    <s v="Travel_Frequently"/>
    <n v="422"/>
    <x v="1"/>
    <x v="0"/>
    <n v="3"/>
    <s v="Life Sciences"/>
    <n v="1"/>
    <n v="902"/>
    <n v="4"/>
    <x v="0"/>
    <n v="33"/>
    <n v="3"/>
    <n v="2"/>
    <x v="4"/>
    <x v="0"/>
    <s v="Married"/>
    <n v="5562"/>
    <n v="21782"/>
    <n v="4"/>
    <s v="Y"/>
    <s v="No"/>
    <n v="13"/>
    <n v="3"/>
    <n v="2"/>
    <n v="80"/>
    <n v="1"/>
    <n v="12"/>
    <n v="2"/>
    <n v="2"/>
    <x v="8"/>
    <n v="2"/>
    <n v="2"/>
    <n v="2"/>
    <x v="0"/>
    <x v="0"/>
  </r>
  <r>
    <n v="47"/>
    <x v="1"/>
    <s v="Travel_Rarely"/>
    <n v="249"/>
    <x v="0"/>
    <x v="2"/>
    <n v="2"/>
    <s v="Marketing"/>
    <n v="1"/>
    <n v="903"/>
    <n v="3"/>
    <x v="0"/>
    <n v="35"/>
    <n v="3"/>
    <n v="2"/>
    <x v="0"/>
    <x v="0"/>
    <s v="Married"/>
    <n v="4537"/>
    <n v="17783"/>
    <n v="0"/>
    <s v="Y"/>
    <s v="Yes"/>
    <n v="22"/>
    <n v="4"/>
    <n v="1"/>
    <n v="80"/>
    <n v="1"/>
    <n v="8"/>
    <n v="2"/>
    <n v="3"/>
    <x v="5"/>
    <n v="6"/>
    <n v="7"/>
    <n v="7"/>
    <x v="1"/>
    <x v="0"/>
  </r>
  <r>
    <n v="37"/>
    <x v="1"/>
    <s v="Non-Travel"/>
    <n v="1252"/>
    <x v="0"/>
    <x v="10"/>
    <n v="2"/>
    <s v="Medical"/>
    <n v="1"/>
    <n v="904"/>
    <n v="1"/>
    <x v="1"/>
    <n v="32"/>
    <n v="3"/>
    <n v="3"/>
    <x v="0"/>
    <x v="1"/>
    <s v="Single"/>
    <n v="7642"/>
    <n v="4814"/>
    <n v="1"/>
    <s v="Y"/>
    <s v="Yes"/>
    <n v="13"/>
    <n v="3"/>
    <n v="4"/>
    <n v="80"/>
    <n v="0"/>
    <n v="10"/>
    <n v="2"/>
    <n v="3"/>
    <x v="1"/>
    <n v="0"/>
    <n v="0"/>
    <n v="9"/>
    <x v="0"/>
    <x v="4"/>
  </r>
  <r>
    <n v="50"/>
    <x v="1"/>
    <s v="Non-Travel"/>
    <n v="881"/>
    <x v="1"/>
    <x v="2"/>
    <n v="4"/>
    <s v="Life Sciences"/>
    <n v="1"/>
    <n v="905"/>
    <n v="1"/>
    <x v="1"/>
    <n v="98"/>
    <n v="3"/>
    <n v="4"/>
    <x v="5"/>
    <x v="3"/>
    <s v="Divorced"/>
    <n v="17924"/>
    <n v="4544"/>
    <n v="1"/>
    <s v="Y"/>
    <s v="No"/>
    <n v="11"/>
    <n v="3"/>
    <n v="4"/>
    <n v="80"/>
    <n v="1"/>
    <n v="31"/>
    <n v="3"/>
    <n v="3"/>
    <x v="31"/>
    <n v="6"/>
    <n v="14"/>
    <n v="7"/>
    <x v="1"/>
    <x v="3"/>
  </r>
  <r>
    <n v="39"/>
    <x v="1"/>
    <s v="Travel_Rarely"/>
    <n v="1383"/>
    <x v="2"/>
    <x v="2"/>
    <n v="3"/>
    <s v="Life Sciences"/>
    <n v="1"/>
    <n v="909"/>
    <n v="4"/>
    <x v="0"/>
    <n v="42"/>
    <n v="2"/>
    <n v="2"/>
    <x v="8"/>
    <x v="0"/>
    <s v="Married"/>
    <n v="5204"/>
    <n v="7790"/>
    <n v="8"/>
    <s v="Y"/>
    <s v="No"/>
    <n v="11"/>
    <n v="3"/>
    <n v="3"/>
    <n v="80"/>
    <n v="2"/>
    <n v="13"/>
    <n v="2"/>
    <n v="3"/>
    <x v="8"/>
    <n v="4"/>
    <n v="0"/>
    <n v="4"/>
    <x v="0"/>
    <x v="0"/>
  </r>
  <r>
    <n v="33"/>
    <x v="1"/>
    <s v="Travel_Rarely"/>
    <n v="1075"/>
    <x v="2"/>
    <x v="3"/>
    <n v="2"/>
    <s v="Human Resources"/>
    <n v="1"/>
    <n v="910"/>
    <n v="4"/>
    <x v="1"/>
    <n v="57"/>
    <n v="3"/>
    <n v="1"/>
    <x v="8"/>
    <x v="1"/>
    <s v="Divorced"/>
    <n v="2277"/>
    <n v="22650"/>
    <n v="3"/>
    <s v="Y"/>
    <s v="Yes"/>
    <n v="11"/>
    <n v="3"/>
    <n v="3"/>
    <n v="80"/>
    <n v="1"/>
    <n v="7"/>
    <n v="4"/>
    <n v="4"/>
    <x v="9"/>
    <n v="3"/>
    <n v="0"/>
    <n v="3"/>
    <x v="2"/>
    <x v="1"/>
  </r>
  <r>
    <n v="32"/>
    <x v="0"/>
    <s v="Travel_Rarely"/>
    <n v="374"/>
    <x v="1"/>
    <x v="19"/>
    <n v="4"/>
    <s v="Life Sciences"/>
    <n v="1"/>
    <n v="911"/>
    <n v="1"/>
    <x v="1"/>
    <n v="87"/>
    <n v="3"/>
    <n v="1"/>
    <x v="2"/>
    <x v="0"/>
    <s v="Single"/>
    <n v="2795"/>
    <n v="18016"/>
    <n v="1"/>
    <s v="Y"/>
    <s v="Yes"/>
    <n v="24"/>
    <n v="4"/>
    <n v="3"/>
    <n v="80"/>
    <n v="0"/>
    <n v="1"/>
    <n v="2"/>
    <n v="1"/>
    <x v="6"/>
    <n v="0"/>
    <n v="0"/>
    <n v="1"/>
    <x v="2"/>
    <x v="1"/>
  </r>
  <r>
    <n v="29"/>
    <x v="1"/>
    <s v="Travel_Rarely"/>
    <n v="1086"/>
    <x v="1"/>
    <x v="15"/>
    <n v="1"/>
    <s v="Medical"/>
    <n v="1"/>
    <n v="912"/>
    <n v="1"/>
    <x v="0"/>
    <n v="62"/>
    <n v="2"/>
    <n v="1"/>
    <x v="2"/>
    <x v="0"/>
    <s v="Divorced"/>
    <n v="2532"/>
    <n v="6054"/>
    <n v="6"/>
    <s v="Y"/>
    <s v="No"/>
    <n v="14"/>
    <n v="3"/>
    <n v="3"/>
    <n v="80"/>
    <n v="3"/>
    <n v="8"/>
    <n v="5"/>
    <n v="3"/>
    <x v="9"/>
    <n v="3"/>
    <n v="0"/>
    <n v="3"/>
    <x v="2"/>
    <x v="1"/>
  </r>
  <r>
    <n v="44"/>
    <x v="1"/>
    <s v="Travel_Rarely"/>
    <n v="661"/>
    <x v="1"/>
    <x v="14"/>
    <n v="2"/>
    <s v="Life Sciences"/>
    <n v="1"/>
    <n v="913"/>
    <n v="2"/>
    <x v="1"/>
    <n v="61"/>
    <n v="3"/>
    <n v="1"/>
    <x v="1"/>
    <x v="3"/>
    <s v="Married"/>
    <n v="2559"/>
    <n v="7508"/>
    <n v="1"/>
    <s v="Y"/>
    <s v="Yes"/>
    <n v="13"/>
    <n v="3"/>
    <n v="4"/>
    <n v="80"/>
    <n v="0"/>
    <n v="8"/>
    <n v="0"/>
    <n v="3"/>
    <x v="3"/>
    <n v="7"/>
    <n v="7"/>
    <n v="1"/>
    <x v="0"/>
    <x v="1"/>
  </r>
  <r>
    <n v="28"/>
    <x v="1"/>
    <s v="Travel_Rarely"/>
    <n v="821"/>
    <x v="0"/>
    <x v="12"/>
    <n v="4"/>
    <s v="Medical"/>
    <n v="1"/>
    <n v="916"/>
    <n v="1"/>
    <x v="1"/>
    <n v="98"/>
    <n v="3"/>
    <n v="2"/>
    <x v="0"/>
    <x v="0"/>
    <s v="Single"/>
    <n v="4908"/>
    <n v="24252"/>
    <n v="1"/>
    <s v="Y"/>
    <s v="No"/>
    <n v="14"/>
    <n v="3"/>
    <n v="2"/>
    <n v="80"/>
    <n v="0"/>
    <n v="4"/>
    <n v="3"/>
    <n v="3"/>
    <x v="9"/>
    <n v="2"/>
    <n v="0"/>
    <n v="2"/>
    <x v="2"/>
    <x v="0"/>
  </r>
  <r>
    <n v="58"/>
    <x v="0"/>
    <s v="Travel_Frequently"/>
    <n v="781"/>
    <x v="1"/>
    <x v="2"/>
    <n v="1"/>
    <s v="Life Sciences"/>
    <n v="1"/>
    <n v="918"/>
    <n v="4"/>
    <x v="1"/>
    <n v="57"/>
    <n v="2"/>
    <n v="1"/>
    <x v="2"/>
    <x v="0"/>
    <s v="Divorced"/>
    <n v="2380"/>
    <n v="13384"/>
    <n v="9"/>
    <s v="Y"/>
    <s v="Yes"/>
    <n v="14"/>
    <n v="3"/>
    <n v="4"/>
    <n v="80"/>
    <n v="1"/>
    <n v="3"/>
    <n v="3"/>
    <n v="2"/>
    <x v="6"/>
    <n v="0"/>
    <n v="0"/>
    <n v="0"/>
    <x v="3"/>
    <x v="1"/>
  </r>
  <r>
    <n v="43"/>
    <x v="1"/>
    <s v="Travel_Rarely"/>
    <n v="177"/>
    <x v="1"/>
    <x v="1"/>
    <n v="3"/>
    <s v="Life Sciences"/>
    <n v="1"/>
    <n v="920"/>
    <n v="1"/>
    <x v="0"/>
    <n v="55"/>
    <n v="3"/>
    <n v="2"/>
    <x v="3"/>
    <x v="1"/>
    <s v="Divorced"/>
    <n v="4765"/>
    <n v="23814"/>
    <n v="4"/>
    <s v="Y"/>
    <s v="No"/>
    <n v="21"/>
    <n v="4"/>
    <n v="3"/>
    <n v="80"/>
    <n v="1"/>
    <n v="4"/>
    <n v="2"/>
    <n v="4"/>
    <x v="6"/>
    <n v="0"/>
    <n v="0"/>
    <n v="0"/>
    <x v="0"/>
    <x v="0"/>
  </r>
  <r>
    <n v="20"/>
    <x v="0"/>
    <s v="Travel_Rarely"/>
    <n v="500"/>
    <x v="0"/>
    <x v="2"/>
    <n v="3"/>
    <s v="Medical"/>
    <n v="1"/>
    <n v="922"/>
    <n v="3"/>
    <x v="0"/>
    <n v="49"/>
    <n v="2"/>
    <n v="1"/>
    <x v="6"/>
    <x v="2"/>
    <s v="Single"/>
    <n v="2044"/>
    <n v="22052"/>
    <n v="1"/>
    <s v="Y"/>
    <s v="No"/>
    <n v="13"/>
    <n v="3"/>
    <n v="4"/>
    <n v="80"/>
    <n v="0"/>
    <n v="2"/>
    <n v="3"/>
    <n v="2"/>
    <x v="4"/>
    <n v="2"/>
    <n v="0"/>
    <n v="2"/>
    <x v="4"/>
    <x v="1"/>
  </r>
  <r>
    <n v="21"/>
    <x v="0"/>
    <s v="Travel_Rarely"/>
    <n v="1427"/>
    <x v="1"/>
    <x v="21"/>
    <n v="1"/>
    <s v="Other"/>
    <n v="1"/>
    <n v="923"/>
    <n v="4"/>
    <x v="0"/>
    <n v="65"/>
    <n v="3"/>
    <n v="1"/>
    <x v="1"/>
    <x v="0"/>
    <s v="Single"/>
    <n v="2693"/>
    <n v="8870"/>
    <n v="1"/>
    <s v="Y"/>
    <s v="No"/>
    <n v="19"/>
    <n v="3"/>
    <n v="1"/>
    <n v="80"/>
    <n v="0"/>
    <n v="1"/>
    <n v="3"/>
    <n v="2"/>
    <x v="6"/>
    <n v="0"/>
    <n v="0"/>
    <n v="0"/>
    <x v="4"/>
    <x v="1"/>
  </r>
  <r>
    <n v="36"/>
    <x v="1"/>
    <s v="Travel_Rarely"/>
    <n v="1425"/>
    <x v="1"/>
    <x v="24"/>
    <n v="1"/>
    <s v="Life Sciences"/>
    <n v="1"/>
    <n v="924"/>
    <n v="3"/>
    <x v="1"/>
    <n v="68"/>
    <n v="3"/>
    <n v="2"/>
    <x v="4"/>
    <x v="0"/>
    <s v="Married"/>
    <n v="6586"/>
    <n v="4821"/>
    <n v="0"/>
    <s v="Y"/>
    <s v="Yes"/>
    <n v="17"/>
    <n v="3"/>
    <n v="1"/>
    <n v="80"/>
    <n v="1"/>
    <n v="17"/>
    <n v="2"/>
    <n v="2"/>
    <x v="22"/>
    <n v="8"/>
    <n v="4"/>
    <n v="11"/>
    <x v="0"/>
    <x v="4"/>
  </r>
  <r>
    <n v="47"/>
    <x v="1"/>
    <s v="Travel_Rarely"/>
    <n v="1454"/>
    <x v="0"/>
    <x v="2"/>
    <n v="4"/>
    <s v="Life Sciences"/>
    <n v="1"/>
    <n v="925"/>
    <n v="4"/>
    <x v="0"/>
    <n v="65"/>
    <n v="2"/>
    <n v="1"/>
    <x v="6"/>
    <x v="0"/>
    <s v="Single"/>
    <n v="3294"/>
    <n v="13137"/>
    <n v="1"/>
    <s v="Y"/>
    <s v="Yes"/>
    <n v="18"/>
    <n v="3"/>
    <n v="1"/>
    <n v="80"/>
    <n v="0"/>
    <n v="3"/>
    <n v="3"/>
    <n v="2"/>
    <x v="11"/>
    <n v="2"/>
    <n v="1"/>
    <n v="2"/>
    <x v="1"/>
    <x v="0"/>
  </r>
  <r>
    <n v="22"/>
    <x v="0"/>
    <s v="Travel_Rarely"/>
    <n v="617"/>
    <x v="1"/>
    <x v="3"/>
    <n v="1"/>
    <s v="Life Sciences"/>
    <n v="1"/>
    <n v="926"/>
    <n v="2"/>
    <x v="0"/>
    <n v="34"/>
    <n v="3"/>
    <n v="2"/>
    <x v="3"/>
    <x v="2"/>
    <s v="Married"/>
    <n v="4171"/>
    <n v="10022"/>
    <n v="0"/>
    <s v="Y"/>
    <s v="Yes"/>
    <n v="19"/>
    <n v="3"/>
    <n v="1"/>
    <n v="80"/>
    <n v="1"/>
    <n v="4"/>
    <n v="3"/>
    <n v="4"/>
    <x v="11"/>
    <n v="2"/>
    <n v="0"/>
    <n v="2"/>
    <x v="4"/>
    <x v="0"/>
  </r>
  <r>
    <n v="41"/>
    <x v="0"/>
    <s v="Travel_Rarely"/>
    <n v="1085"/>
    <x v="1"/>
    <x v="2"/>
    <n v="4"/>
    <s v="Life Sciences"/>
    <n v="1"/>
    <n v="927"/>
    <n v="2"/>
    <x v="0"/>
    <n v="57"/>
    <n v="1"/>
    <n v="1"/>
    <x v="2"/>
    <x v="0"/>
    <s v="Divorced"/>
    <n v="2778"/>
    <n v="17725"/>
    <n v="4"/>
    <s v="Y"/>
    <s v="Yes"/>
    <n v="13"/>
    <n v="3"/>
    <n v="3"/>
    <n v="80"/>
    <n v="1"/>
    <n v="10"/>
    <n v="1"/>
    <n v="2"/>
    <x v="5"/>
    <n v="7"/>
    <n v="1"/>
    <n v="0"/>
    <x v="0"/>
    <x v="1"/>
  </r>
  <r>
    <n v="28"/>
    <x v="1"/>
    <s v="Travel_Rarely"/>
    <n v="995"/>
    <x v="1"/>
    <x v="14"/>
    <n v="3"/>
    <s v="Medical"/>
    <n v="1"/>
    <n v="930"/>
    <n v="3"/>
    <x v="0"/>
    <n v="77"/>
    <n v="3"/>
    <n v="1"/>
    <x v="1"/>
    <x v="2"/>
    <s v="Divorced"/>
    <n v="2377"/>
    <n v="9834"/>
    <n v="5"/>
    <s v="Y"/>
    <s v="No"/>
    <n v="18"/>
    <n v="3"/>
    <n v="2"/>
    <n v="80"/>
    <n v="1"/>
    <n v="6"/>
    <n v="2"/>
    <n v="3"/>
    <x v="4"/>
    <n v="2"/>
    <n v="2"/>
    <n v="2"/>
    <x v="2"/>
    <x v="1"/>
  </r>
  <r>
    <n v="39"/>
    <x v="0"/>
    <s v="Travel_Rarely"/>
    <n v="1122"/>
    <x v="1"/>
    <x v="16"/>
    <n v="3"/>
    <s v="Medical"/>
    <n v="1"/>
    <n v="932"/>
    <n v="4"/>
    <x v="1"/>
    <n v="70"/>
    <n v="3"/>
    <n v="1"/>
    <x v="2"/>
    <x v="3"/>
    <s v="Married"/>
    <n v="2404"/>
    <n v="4303"/>
    <n v="7"/>
    <s v="Y"/>
    <s v="Yes"/>
    <n v="21"/>
    <n v="4"/>
    <n v="4"/>
    <n v="80"/>
    <n v="0"/>
    <n v="8"/>
    <n v="2"/>
    <n v="1"/>
    <x v="4"/>
    <n v="2"/>
    <n v="2"/>
    <n v="2"/>
    <x v="0"/>
    <x v="1"/>
  </r>
  <r>
    <n v="27"/>
    <x v="1"/>
    <s v="Travel_Rarely"/>
    <n v="618"/>
    <x v="1"/>
    <x v="18"/>
    <n v="3"/>
    <s v="Life Sciences"/>
    <n v="1"/>
    <n v="933"/>
    <n v="2"/>
    <x v="0"/>
    <n v="76"/>
    <n v="3"/>
    <n v="1"/>
    <x v="1"/>
    <x v="2"/>
    <s v="Single"/>
    <n v="2318"/>
    <n v="17808"/>
    <n v="1"/>
    <s v="Y"/>
    <s v="No"/>
    <n v="19"/>
    <n v="3"/>
    <n v="3"/>
    <n v="80"/>
    <n v="0"/>
    <n v="1"/>
    <n v="2"/>
    <n v="3"/>
    <x v="6"/>
    <n v="1"/>
    <n v="0"/>
    <n v="0"/>
    <x v="2"/>
    <x v="1"/>
  </r>
  <r>
    <n v="34"/>
    <x v="1"/>
    <s v="Travel_Rarely"/>
    <n v="546"/>
    <x v="1"/>
    <x v="17"/>
    <n v="3"/>
    <s v="Life Sciences"/>
    <n v="1"/>
    <n v="934"/>
    <n v="2"/>
    <x v="1"/>
    <n v="83"/>
    <n v="3"/>
    <n v="1"/>
    <x v="2"/>
    <x v="1"/>
    <s v="Divorced"/>
    <n v="2008"/>
    <n v="6896"/>
    <n v="1"/>
    <s v="Y"/>
    <s v="No"/>
    <n v="14"/>
    <n v="3"/>
    <n v="2"/>
    <n v="80"/>
    <n v="2"/>
    <n v="1"/>
    <n v="3"/>
    <n v="3"/>
    <x v="6"/>
    <n v="0"/>
    <n v="1"/>
    <n v="0"/>
    <x v="2"/>
    <x v="1"/>
  </r>
  <r>
    <n v="42"/>
    <x v="1"/>
    <s v="Travel_Rarely"/>
    <n v="462"/>
    <x v="0"/>
    <x v="24"/>
    <n v="2"/>
    <s v="Medical"/>
    <n v="1"/>
    <n v="936"/>
    <n v="3"/>
    <x v="0"/>
    <n v="68"/>
    <n v="2"/>
    <n v="2"/>
    <x v="0"/>
    <x v="2"/>
    <s v="Single"/>
    <n v="6244"/>
    <n v="7824"/>
    <n v="7"/>
    <s v="Y"/>
    <s v="No"/>
    <n v="17"/>
    <n v="3"/>
    <n v="1"/>
    <n v="80"/>
    <n v="0"/>
    <n v="10"/>
    <n v="6"/>
    <n v="3"/>
    <x v="8"/>
    <n v="4"/>
    <n v="0"/>
    <n v="3"/>
    <x v="0"/>
    <x v="4"/>
  </r>
  <r>
    <n v="33"/>
    <x v="1"/>
    <s v="Travel_Rarely"/>
    <n v="1198"/>
    <x v="1"/>
    <x v="0"/>
    <n v="4"/>
    <s v="Other"/>
    <n v="1"/>
    <n v="939"/>
    <n v="3"/>
    <x v="1"/>
    <n v="100"/>
    <n v="2"/>
    <n v="1"/>
    <x v="1"/>
    <x v="3"/>
    <s v="Single"/>
    <n v="2799"/>
    <n v="3339"/>
    <n v="3"/>
    <s v="Y"/>
    <s v="Yes"/>
    <n v="11"/>
    <n v="3"/>
    <n v="2"/>
    <n v="80"/>
    <n v="0"/>
    <n v="6"/>
    <n v="1"/>
    <n v="3"/>
    <x v="11"/>
    <n v="2"/>
    <n v="0"/>
    <n v="2"/>
    <x v="2"/>
    <x v="1"/>
  </r>
  <r>
    <n v="58"/>
    <x v="1"/>
    <s v="Travel_Rarely"/>
    <n v="1272"/>
    <x v="1"/>
    <x v="12"/>
    <n v="3"/>
    <s v="Technical Degree"/>
    <n v="1"/>
    <n v="940"/>
    <n v="3"/>
    <x v="0"/>
    <n v="37"/>
    <n v="2"/>
    <n v="3"/>
    <x v="4"/>
    <x v="1"/>
    <s v="Divorced"/>
    <n v="10552"/>
    <n v="9255"/>
    <n v="2"/>
    <s v="Y"/>
    <s v="Yes"/>
    <n v="13"/>
    <n v="3"/>
    <n v="4"/>
    <n v="80"/>
    <n v="1"/>
    <n v="24"/>
    <n v="3"/>
    <n v="3"/>
    <x v="0"/>
    <n v="0"/>
    <n v="0"/>
    <n v="4"/>
    <x v="3"/>
    <x v="2"/>
  </r>
  <r>
    <n v="31"/>
    <x v="1"/>
    <s v="Travel_Rarely"/>
    <n v="154"/>
    <x v="0"/>
    <x v="15"/>
    <n v="4"/>
    <s v="Life Sciences"/>
    <n v="1"/>
    <n v="941"/>
    <n v="2"/>
    <x v="1"/>
    <n v="41"/>
    <n v="2"/>
    <n v="1"/>
    <x v="6"/>
    <x v="2"/>
    <s v="Married"/>
    <n v="2329"/>
    <n v="11737"/>
    <n v="3"/>
    <s v="Y"/>
    <s v="No"/>
    <n v="15"/>
    <n v="3"/>
    <n v="2"/>
    <n v="80"/>
    <n v="0"/>
    <n v="13"/>
    <n v="2"/>
    <n v="4"/>
    <x v="5"/>
    <n v="7"/>
    <n v="5"/>
    <n v="2"/>
    <x v="2"/>
    <x v="1"/>
  </r>
  <r>
    <n v="35"/>
    <x v="1"/>
    <s v="Travel_Rarely"/>
    <n v="1137"/>
    <x v="1"/>
    <x v="11"/>
    <n v="1"/>
    <s v="Life Sciences"/>
    <n v="1"/>
    <n v="942"/>
    <n v="4"/>
    <x v="0"/>
    <n v="51"/>
    <n v="3"/>
    <n v="2"/>
    <x v="4"/>
    <x v="0"/>
    <s v="Married"/>
    <n v="4014"/>
    <n v="19170"/>
    <n v="1"/>
    <s v="Y"/>
    <s v="Yes"/>
    <n v="25"/>
    <n v="4"/>
    <n v="4"/>
    <n v="80"/>
    <n v="1"/>
    <n v="10"/>
    <n v="2"/>
    <n v="1"/>
    <x v="1"/>
    <n v="6"/>
    <n v="0"/>
    <n v="7"/>
    <x v="0"/>
    <x v="0"/>
  </r>
  <r>
    <n v="49"/>
    <x v="1"/>
    <s v="Travel_Rarely"/>
    <n v="527"/>
    <x v="1"/>
    <x v="1"/>
    <n v="2"/>
    <s v="Other"/>
    <n v="1"/>
    <n v="944"/>
    <n v="1"/>
    <x v="0"/>
    <n v="51"/>
    <n v="3"/>
    <n v="3"/>
    <x v="2"/>
    <x v="1"/>
    <s v="Married"/>
    <n v="7403"/>
    <n v="22477"/>
    <n v="4"/>
    <s v="Y"/>
    <s v="No"/>
    <n v="11"/>
    <n v="3"/>
    <n v="3"/>
    <n v="80"/>
    <n v="1"/>
    <n v="29"/>
    <n v="3"/>
    <n v="2"/>
    <x v="34"/>
    <n v="9"/>
    <n v="1"/>
    <n v="7"/>
    <x v="1"/>
    <x v="4"/>
  </r>
  <r>
    <n v="48"/>
    <x v="1"/>
    <s v="Travel_Rarely"/>
    <n v="1469"/>
    <x v="1"/>
    <x v="25"/>
    <n v="4"/>
    <s v="Medical"/>
    <n v="1"/>
    <n v="945"/>
    <n v="4"/>
    <x v="1"/>
    <n v="51"/>
    <n v="3"/>
    <n v="1"/>
    <x v="1"/>
    <x v="2"/>
    <s v="Married"/>
    <n v="2259"/>
    <n v="5543"/>
    <n v="4"/>
    <s v="Y"/>
    <s v="No"/>
    <n v="17"/>
    <n v="3"/>
    <n v="1"/>
    <n v="80"/>
    <n v="2"/>
    <n v="13"/>
    <n v="2"/>
    <n v="2"/>
    <x v="2"/>
    <n v="0"/>
    <n v="0"/>
    <n v="0"/>
    <x v="1"/>
    <x v="1"/>
  </r>
  <r>
    <n v="31"/>
    <x v="1"/>
    <s v="Non-Travel"/>
    <n v="1188"/>
    <x v="0"/>
    <x v="25"/>
    <n v="2"/>
    <s v="Marketing"/>
    <n v="1"/>
    <n v="947"/>
    <n v="4"/>
    <x v="0"/>
    <n v="45"/>
    <n v="3"/>
    <n v="2"/>
    <x v="0"/>
    <x v="2"/>
    <s v="Married"/>
    <n v="6932"/>
    <n v="24406"/>
    <n v="1"/>
    <s v="Y"/>
    <s v="No"/>
    <n v="13"/>
    <n v="3"/>
    <n v="4"/>
    <n v="80"/>
    <n v="1"/>
    <n v="9"/>
    <n v="2"/>
    <n v="2"/>
    <x v="7"/>
    <n v="8"/>
    <n v="0"/>
    <n v="0"/>
    <x v="2"/>
    <x v="4"/>
  </r>
  <r>
    <n v="36"/>
    <x v="1"/>
    <s v="Travel_Rarely"/>
    <n v="188"/>
    <x v="1"/>
    <x v="15"/>
    <n v="4"/>
    <s v="Other"/>
    <n v="1"/>
    <n v="949"/>
    <n v="2"/>
    <x v="1"/>
    <n v="65"/>
    <n v="3"/>
    <n v="1"/>
    <x v="1"/>
    <x v="0"/>
    <s v="Single"/>
    <n v="4678"/>
    <n v="23293"/>
    <n v="2"/>
    <s v="Y"/>
    <s v="No"/>
    <n v="18"/>
    <n v="3"/>
    <n v="3"/>
    <n v="80"/>
    <n v="0"/>
    <n v="8"/>
    <n v="6"/>
    <n v="3"/>
    <x v="0"/>
    <n v="2"/>
    <n v="0"/>
    <n v="1"/>
    <x v="0"/>
    <x v="0"/>
  </r>
  <r>
    <n v="38"/>
    <x v="1"/>
    <s v="Travel_Rarely"/>
    <n v="1333"/>
    <x v="1"/>
    <x v="0"/>
    <n v="3"/>
    <s v="Technical Degree"/>
    <n v="1"/>
    <n v="950"/>
    <n v="4"/>
    <x v="0"/>
    <n v="80"/>
    <n v="3"/>
    <n v="3"/>
    <x v="7"/>
    <x v="3"/>
    <s v="Married"/>
    <n v="13582"/>
    <n v="16292"/>
    <n v="1"/>
    <s v="Y"/>
    <s v="No"/>
    <n v="13"/>
    <n v="3"/>
    <n v="2"/>
    <n v="80"/>
    <n v="1"/>
    <n v="15"/>
    <n v="3"/>
    <n v="3"/>
    <x v="15"/>
    <n v="12"/>
    <n v="5"/>
    <n v="11"/>
    <x v="0"/>
    <x v="3"/>
  </r>
  <r>
    <n v="32"/>
    <x v="1"/>
    <s v="Non-Travel"/>
    <n v="1184"/>
    <x v="1"/>
    <x v="0"/>
    <n v="3"/>
    <s v="Life Sciences"/>
    <n v="1"/>
    <n v="951"/>
    <n v="3"/>
    <x v="0"/>
    <n v="70"/>
    <n v="2"/>
    <n v="1"/>
    <x v="2"/>
    <x v="1"/>
    <s v="Married"/>
    <n v="2332"/>
    <n v="3974"/>
    <n v="6"/>
    <s v="Y"/>
    <s v="No"/>
    <n v="20"/>
    <n v="4"/>
    <n v="3"/>
    <n v="80"/>
    <n v="0"/>
    <n v="5"/>
    <n v="3"/>
    <n v="3"/>
    <x v="11"/>
    <n v="0"/>
    <n v="0"/>
    <n v="2"/>
    <x v="2"/>
    <x v="1"/>
  </r>
  <r>
    <n v="25"/>
    <x v="0"/>
    <s v="Travel_Rarely"/>
    <n v="867"/>
    <x v="0"/>
    <x v="10"/>
    <n v="2"/>
    <s v="Marketing"/>
    <n v="1"/>
    <n v="952"/>
    <n v="3"/>
    <x v="1"/>
    <n v="36"/>
    <n v="2"/>
    <n v="1"/>
    <x v="6"/>
    <x v="1"/>
    <s v="Married"/>
    <n v="2413"/>
    <n v="18798"/>
    <n v="1"/>
    <s v="Y"/>
    <s v="Yes"/>
    <n v="18"/>
    <n v="3"/>
    <n v="3"/>
    <n v="80"/>
    <n v="3"/>
    <n v="1"/>
    <n v="2"/>
    <n v="3"/>
    <x v="6"/>
    <n v="0"/>
    <n v="0"/>
    <n v="0"/>
    <x v="2"/>
    <x v="1"/>
  </r>
  <r>
    <n v="40"/>
    <x v="1"/>
    <s v="Travel_Rarely"/>
    <n v="658"/>
    <x v="0"/>
    <x v="17"/>
    <n v="4"/>
    <s v="Marketing"/>
    <n v="1"/>
    <n v="954"/>
    <n v="1"/>
    <x v="1"/>
    <n v="67"/>
    <n v="2"/>
    <n v="3"/>
    <x v="0"/>
    <x v="1"/>
    <s v="Divorced"/>
    <n v="9705"/>
    <n v="20652"/>
    <n v="2"/>
    <s v="Y"/>
    <s v="No"/>
    <n v="12"/>
    <n v="3"/>
    <n v="2"/>
    <n v="80"/>
    <n v="1"/>
    <n v="11"/>
    <n v="2"/>
    <n v="2"/>
    <x v="6"/>
    <n v="0"/>
    <n v="0"/>
    <n v="0"/>
    <x v="0"/>
    <x v="2"/>
  </r>
  <r>
    <n v="26"/>
    <x v="1"/>
    <s v="Travel_Frequently"/>
    <n v="1283"/>
    <x v="0"/>
    <x v="0"/>
    <n v="3"/>
    <s v="Medical"/>
    <n v="1"/>
    <n v="956"/>
    <n v="3"/>
    <x v="1"/>
    <n v="52"/>
    <n v="2"/>
    <n v="2"/>
    <x v="0"/>
    <x v="3"/>
    <s v="Single"/>
    <n v="4294"/>
    <n v="11148"/>
    <n v="1"/>
    <s v="Y"/>
    <s v="No"/>
    <n v="12"/>
    <n v="3"/>
    <n v="2"/>
    <n v="80"/>
    <n v="0"/>
    <n v="7"/>
    <n v="2"/>
    <n v="3"/>
    <x v="5"/>
    <n v="7"/>
    <n v="0"/>
    <n v="7"/>
    <x v="2"/>
    <x v="0"/>
  </r>
  <r>
    <n v="41"/>
    <x v="1"/>
    <s v="Travel_Rarely"/>
    <n v="263"/>
    <x v="1"/>
    <x v="16"/>
    <n v="3"/>
    <s v="Medical"/>
    <n v="1"/>
    <n v="957"/>
    <n v="4"/>
    <x v="1"/>
    <n v="59"/>
    <n v="3"/>
    <n v="1"/>
    <x v="2"/>
    <x v="3"/>
    <s v="Single"/>
    <n v="4721"/>
    <n v="3119"/>
    <n v="2"/>
    <s v="Y"/>
    <s v="Yes"/>
    <n v="13"/>
    <n v="3"/>
    <n v="3"/>
    <n v="80"/>
    <n v="0"/>
    <n v="20"/>
    <n v="3"/>
    <n v="3"/>
    <x v="29"/>
    <n v="13"/>
    <n v="2"/>
    <n v="17"/>
    <x v="0"/>
    <x v="0"/>
  </r>
  <r>
    <n v="36"/>
    <x v="1"/>
    <s v="Travel_Rarely"/>
    <n v="938"/>
    <x v="1"/>
    <x v="2"/>
    <n v="4"/>
    <s v="Medical"/>
    <n v="1"/>
    <n v="958"/>
    <n v="3"/>
    <x v="1"/>
    <n v="79"/>
    <n v="3"/>
    <n v="1"/>
    <x v="2"/>
    <x v="2"/>
    <s v="Single"/>
    <n v="2519"/>
    <n v="12287"/>
    <n v="4"/>
    <s v="Y"/>
    <s v="No"/>
    <n v="21"/>
    <n v="4"/>
    <n v="3"/>
    <n v="80"/>
    <n v="0"/>
    <n v="16"/>
    <n v="6"/>
    <n v="3"/>
    <x v="19"/>
    <n v="8"/>
    <n v="3"/>
    <n v="9"/>
    <x v="0"/>
    <x v="1"/>
  </r>
  <r>
    <n v="19"/>
    <x v="0"/>
    <s v="Travel_Rarely"/>
    <n v="419"/>
    <x v="0"/>
    <x v="11"/>
    <n v="3"/>
    <s v="Other"/>
    <n v="1"/>
    <n v="959"/>
    <n v="4"/>
    <x v="1"/>
    <n v="37"/>
    <n v="2"/>
    <n v="1"/>
    <x v="6"/>
    <x v="1"/>
    <s v="Single"/>
    <n v="2121"/>
    <n v="9947"/>
    <n v="1"/>
    <s v="Y"/>
    <s v="Yes"/>
    <n v="13"/>
    <n v="3"/>
    <n v="2"/>
    <n v="80"/>
    <n v="0"/>
    <n v="1"/>
    <n v="3"/>
    <n v="4"/>
    <x v="6"/>
    <n v="0"/>
    <n v="0"/>
    <n v="0"/>
    <x v="4"/>
    <x v="1"/>
  </r>
  <r>
    <n v="20"/>
    <x v="0"/>
    <s v="Travel_Rarely"/>
    <n v="129"/>
    <x v="1"/>
    <x v="18"/>
    <n v="3"/>
    <s v="Technical Degree"/>
    <n v="1"/>
    <n v="960"/>
    <n v="1"/>
    <x v="1"/>
    <n v="84"/>
    <n v="3"/>
    <n v="1"/>
    <x v="2"/>
    <x v="3"/>
    <s v="Single"/>
    <n v="2973"/>
    <n v="13008"/>
    <n v="1"/>
    <s v="Y"/>
    <s v="No"/>
    <n v="19"/>
    <n v="3"/>
    <n v="2"/>
    <n v="80"/>
    <n v="0"/>
    <n v="1"/>
    <n v="2"/>
    <n v="3"/>
    <x v="6"/>
    <n v="0"/>
    <n v="0"/>
    <n v="0"/>
    <x v="4"/>
    <x v="1"/>
  </r>
  <r>
    <n v="31"/>
    <x v="1"/>
    <s v="Travel_Rarely"/>
    <n v="616"/>
    <x v="1"/>
    <x v="20"/>
    <n v="3"/>
    <s v="Medical"/>
    <n v="1"/>
    <n v="961"/>
    <n v="4"/>
    <x v="0"/>
    <n v="41"/>
    <n v="3"/>
    <n v="2"/>
    <x v="4"/>
    <x v="0"/>
    <s v="Married"/>
    <n v="5855"/>
    <n v="17369"/>
    <n v="0"/>
    <s v="Y"/>
    <s v="Yes"/>
    <n v="11"/>
    <n v="3"/>
    <n v="3"/>
    <n v="80"/>
    <n v="2"/>
    <n v="10"/>
    <n v="2"/>
    <n v="1"/>
    <x v="7"/>
    <n v="7"/>
    <n v="8"/>
    <n v="5"/>
    <x v="2"/>
    <x v="0"/>
  </r>
  <r>
    <n v="40"/>
    <x v="1"/>
    <s v="Travel_Frequently"/>
    <n v="1469"/>
    <x v="1"/>
    <x v="14"/>
    <n v="4"/>
    <s v="Medical"/>
    <n v="1"/>
    <n v="964"/>
    <n v="4"/>
    <x v="1"/>
    <n v="35"/>
    <n v="3"/>
    <n v="1"/>
    <x v="1"/>
    <x v="1"/>
    <s v="Divorced"/>
    <n v="3617"/>
    <n v="25063"/>
    <n v="8"/>
    <s v="Y"/>
    <s v="Yes"/>
    <n v="14"/>
    <n v="3"/>
    <n v="4"/>
    <n v="80"/>
    <n v="1"/>
    <n v="3"/>
    <n v="2"/>
    <n v="3"/>
    <x v="6"/>
    <n v="1"/>
    <n v="0"/>
    <n v="0"/>
    <x v="0"/>
    <x v="0"/>
  </r>
  <r>
    <n v="32"/>
    <x v="1"/>
    <s v="Travel_Rarely"/>
    <n v="498"/>
    <x v="1"/>
    <x v="3"/>
    <n v="4"/>
    <s v="Medical"/>
    <n v="1"/>
    <n v="966"/>
    <n v="3"/>
    <x v="0"/>
    <n v="93"/>
    <n v="3"/>
    <n v="2"/>
    <x v="3"/>
    <x v="3"/>
    <s v="Married"/>
    <n v="6725"/>
    <n v="13554"/>
    <n v="1"/>
    <s v="Y"/>
    <s v="No"/>
    <n v="12"/>
    <n v="3"/>
    <n v="3"/>
    <n v="80"/>
    <n v="1"/>
    <n v="8"/>
    <n v="2"/>
    <n v="4"/>
    <x v="3"/>
    <n v="7"/>
    <n v="6"/>
    <n v="3"/>
    <x v="2"/>
    <x v="4"/>
  </r>
  <r>
    <n v="36"/>
    <x v="0"/>
    <s v="Travel_Rarely"/>
    <n v="530"/>
    <x v="0"/>
    <x v="3"/>
    <n v="1"/>
    <s v="Life Sciences"/>
    <n v="1"/>
    <n v="967"/>
    <n v="3"/>
    <x v="1"/>
    <n v="51"/>
    <n v="2"/>
    <n v="3"/>
    <x v="0"/>
    <x v="0"/>
    <s v="Married"/>
    <n v="10325"/>
    <n v="5518"/>
    <n v="1"/>
    <s v="Y"/>
    <s v="Yes"/>
    <n v="11"/>
    <n v="3"/>
    <n v="1"/>
    <n v="80"/>
    <n v="1"/>
    <n v="16"/>
    <n v="6"/>
    <n v="3"/>
    <x v="22"/>
    <n v="7"/>
    <n v="3"/>
    <n v="7"/>
    <x v="0"/>
    <x v="2"/>
  </r>
  <r>
    <n v="33"/>
    <x v="1"/>
    <s v="Travel_Rarely"/>
    <n v="1069"/>
    <x v="1"/>
    <x v="0"/>
    <n v="3"/>
    <s v="Life Sciences"/>
    <n v="1"/>
    <n v="969"/>
    <n v="2"/>
    <x v="0"/>
    <n v="42"/>
    <n v="2"/>
    <n v="2"/>
    <x v="4"/>
    <x v="0"/>
    <s v="Single"/>
    <n v="6949"/>
    <n v="12291"/>
    <n v="0"/>
    <s v="Y"/>
    <s v="No"/>
    <n v="14"/>
    <n v="3"/>
    <n v="1"/>
    <n v="80"/>
    <n v="0"/>
    <n v="6"/>
    <n v="3"/>
    <n v="3"/>
    <x v="8"/>
    <n v="0"/>
    <n v="1"/>
    <n v="4"/>
    <x v="2"/>
    <x v="4"/>
  </r>
  <r>
    <n v="37"/>
    <x v="0"/>
    <s v="Travel_Rarely"/>
    <n v="625"/>
    <x v="0"/>
    <x v="0"/>
    <n v="4"/>
    <s v="Life Sciences"/>
    <n v="1"/>
    <n v="970"/>
    <n v="1"/>
    <x v="1"/>
    <n v="46"/>
    <n v="2"/>
    <n v="3"/>
    <x v="0"/>
    <x v="2"/>
    <s v="Married"/>
    <n v="10609"/>
    <n v="14922"/>
    <n v="5"/>
    <s v="Y"/>
    <s v="No"/>
    <n v="11"/>
    <n v="3"/>
    <n v="3"/>
    <n v="80"/>
    <n v="0"/>
    <n v="17"/>
    <n v="2"/>
    <n v="1"/>
    <x v="13"/>
    <n v="1"/>
    <n v="11"/>
    <n v="7"/>
    <x v="0"/>
    <x v="2"/>
  </r>
  <r>
    <n v="45"/>
    <x v="1"/>
    <s v="Non-Travel"/>
    <n v="805"/>
    <x v="1"/>
    <x v="18"/>
    <n v="2"/>
    <s v="Life Sciences"/>
    <n v="1"/>
    <n v="972"/>
    <n v="3"/>
    <x v="1"/>
    <n v="57"/>
    <n v="3"/>
    <n v="2"/>
    <x v="2"/>
    <x v="1"/>
    <s v="Married"/>
    <n v="4447"/>
    <n v="23163"/>
    <n v="1"/>
    <s v="Y"/>
    <s v="No"/>
    <n v="12"/>
    <n v="3"/>
    <n v="2"/>
    <n v="80"/>
    <n v="0"/>
    <n v="9"/>
    <n v="5"/>
    <n v="2"/>
    <x v="7"/>
    <n v="7"/>
    <n v="0"/>
    <n v="8"/>
    <x v="1"/>
    <x v="0"/>
  </r>
  <r>
    <n v="29"/>
    <x v="1"/>
    <s v="Travel_Frequently"/>
    <n v="1404"/>
    <x v="0"/>
    <x v="25"/>
    <n v="3"/>
    <s v="Technical Degree"/>
    <n v="1"/>
    <n v="974"/>
    <n v="3"/>
    <x v="0"/>
    <n v="84"/>
    <n v="3"/>
    <n v="1"/>
    <x v="6"/>
    <x v="0"/>
    <s v="Married"/>
    <n v="2157"/>
    <n v="18203"/>
    <n v="1"/>
    <s v="Y"/>
    <s v="No"/>
    <n v="15"/>
    <n v="3"/>
    <n v="2"/>
    <n v="80"/>
    <n v="1"/>
    <n v="3"/>
    <n v="5"/>
    <n v="3"/>
    <x v="11"/>
    <n v="1"/>
    <n v="0"/>
    <n v="2"/>
    <x v="2"/>
    <x v="1"/>
  </r>
  <r>
    <n v="35"/>
    <x v="1"/>
    <s v="Travel_Rarely"/>
    <n v="1219"/>
    <x v="0"/>
    <x v="21"/>
    <n v="3"/>
    <s v="Medical"/>
    <n v="1"/>
    <n v="975"/>
    <n v="3"/>
    <x v="0"/>
    <n v="86"/>
    <n v="3"/>
    <n v="2"/>
    <x v="0"/>
    <x v="2"/>
    <s v="Married"/>
    <n v="4601"/>
    <n v="6179"/>
    <n v="1"/>
    <s v="Y"/>
    <s v="No"/>
    <n v="16"/>
    <n v="3"/>
    <n v="2"/>
    <n v="80"/>
    <n v="0"/>
    <n v="5"/>
    <n v="3"/>
    <n v="3"/>
    <x v="8"/>
    <n v="2"/>
    <n v="1"/>
    <n v="0"/>
    <x v="0"/>
    <x v="0"/>
  </r>
  <r>
    <n v="52"/>
    <x v="1"/>
    <s v="Travel_Rarely"/>
    <n v="1053"/>
    <x v="1"/>
    <x v="0"/>
    <n v="2"/>
    <s v="Life Sciences"/>
    <n v="1"/>
    <n v="976"/>
    <n v="4"/>
    <x v="1"/>
    <n v="70"/>
    <n v="3"/>
    <n v="4"/>
    <x v="5"/>
    <x v="0"/>
    <s v="Married"/>
    <n v="17099"/>
    <n v="13829"/>
    <n v="2"/>
    <s v="Y"/>
    <s v="No"/>
    <n v="15"/>
    <n v="3"/>
    <n v="2"/>
    <n v="80"/>
    <n v="1"/>
    <n v="26"/>
    <n v="2"/>
    <n v="2"/>
    <x v="7"/>
    <n v="8"/>
    <n v="7"/>
    <n v="8"/>
    <x v="1"/>
    <x v="3"/>
  </r>
  <r>
    <n v="58"/>
    <x v="0"/>
    <s v="Travel_Rarely"/>
    <n v="289"/>
    <x v="1"/>
    <x v="2"/>
    <n v="3"/>
    <s v="Technical Degree"/>
    <n v="1"/>
    <n v="977"/>
    <n v="4"/>
    <x v="1"/>
    <n v="51"/>
    <n v="3"/>
    <n v="1"/>
    <x v="1"/>
    <x v="2"/>
    <s v="Single"/>
    <n v="2479"/>
    <n v="26227"/>
    <n v="4"/>
    <s v="Y"/>
    <s v="No"/>
    <n v="24"/>
    <n v="4"/>
    <n v="1"/>
    <n v="80"/>
    <n v="0"/>
    <n v="7"/>
    <n v="4"/>
    <n v="3"/>
    <x v="6"/>
    <n v="0"/>
    <n v="0"/>
    <n v="0"/>
    <x v="3"/>
    <x v="1"/>
  </r>
  <r>
    <n v="53"/>
    <x v="1"/>
    <s v="Travel_Rarely"/>
    <n v="1376"/>
    <x v="0"/>
    <x v="2"/>
    <n v="2"/>
    <s v="Medical"/>
    <n v="1"/>
    <n v="981"/>
    <n v="3"/>
    <x v="1"/>
    <n v="45"/>
    <n v="3"/>
    <n v="4"/>
    <x v="5"/>
    <x v="2"/>
    <s v="Divorced"/>
    <n v="14852"/>
    <n v="13938"/>
    <n v="6"/>
    <s v="Y"/>
    <s v="No"/>
    <n v="13"/>
    <n v="3"/>
    <n v="3"/>
    <n v="80"/>
    <n v="1"/>
    <n v="22"/>
    <n v="3"/>
    <n v="4"/>
    <x v="18"/>
    <n v="13"/>
    <n v="15"/>
    <n v="2"/>
    <x v="1"/>
    <x v="3"/>
  </r>
  <r>
    <n v="30"/>
    <x v="1"/>
    <s v="Travel_Rarely"/>
    <n v="231"/>
    <x v="0"/>
    <x v="1"/>
    <n v="2"/>
    <s v="Other"/>
    <n v="1"/>
    <n v="982"/>
    <n v="3"/>
    <x v="1"/>
    <n v="62"/>
    <n v="3"/>
    <n v="3"/>
    <x v="0"/>
    <x v="2"/>
    <s v="Divorced"/>
    <n v="7264"/>
    <n v="9977"/>
    <n v="5"/>
    <s v="Y"/>
    <s v="No"/>
    <n v="11"/>
    <n v="3"/>
    <n v="1"/>
    <n v="80"/>
    <n v="1"/>
    <n v="10"/>
    <n v="2"/>
    <n v="4"/>
    <x v="3"/>
    <n v="4"/>
    <n v="7"/>
    <n v="7"/>
    <x v="2"/>
    <x v="4"/>
  </r>
  <r>
    <n v="38"/>
    <x v="1"/>
    <s v="Non-Travel"/>
    <n v="152"/>
    <x v="0"/>
    <x v="17"/>
    <n v="3"/>
    <s v="Technical Degree"/>
    <n v="1"/>
    <n v="983"/>
    <n v="3"/>
    <x v="0"/>
    <n v="85"/>
    <n v="3"/>
    <n v="2"/>
    <x v="0"/>
    <x v="0"/>
    <s v="Single"/>
    <n v="5666"/>
    <n v="19899"/>
    <n v="1"/>
    <s v="Y"/>
    <s v="Yes"/>
    <n v="13"/>
    <n v="3"/>
    <n v="2"/>
    <n v="80"/>
    <n v="0"/>
    <n v="6"/>
    <n v="1"/>
    <n v="3"/>
    <x v="8"/>
    <n v="3"/>
    <n v="1"/>
    <n v="3"/>
    <x v="0"/>
    <x v="0"/>
  </r>
  <r>
    <n v="35"/>
    <x v="1"/>
    <s v="Travel_Rarely"/>
    <n v="882"/>
    <x v="0"/>
    <x v="3"/>
    <n v="4"/>
    <s v="Life Sciences"/>
    <n v="1"/>
    <n v="984"/>
    <n v="4"/>
    <x v="1"/>
    <n v="92"/>
    <n v="3"/>
    <n v="3"/>
    <x v="0"/>
    <x v="0"/>
    <s v="Divorced"/>
    <n v="7823"/>
    <n v="6812"/>
    <n v="6"/>
    <s v="Y"/>
    <s v="No"/>
    <n v="13"/>
    <n v="3"/>
    <n v="2"/>
    <n v="80"/>
    <n v="1"/>
    <n v="12"/>
    <n v="2"/>
    <n v="3"/>
    <x v="1"/>
    <n v="9"/>
    <n v="0"/>
    <n v="8"/>
    <x v="0"/>
    <x v="4"/>
  </r>
  <r>
    <n v="39"/>
    <x v="1"/>
    <s v="Travel_Rarely"/>
    <n v="903"/>
    <x v="0"/>
    <x v="2"/>
    <n v="5"/>
    <s v="Life Sciences"/>
    <n v="1"/>
    <n v="985"/>
    <n v="1"/>
    <x v="1"/>
    <n v="41"/>
    <n v="4"/>
    <n v="3"/>
    <x v="0"/>
    <x v="2"/>
    <s v="Single"/>
    <n v="7880"/>
    <n v="2560"/>
    <n v="0"/>
    <s v="Y"/>
    <s v="No"/>
    <n v="18"/>
    <n v="3"/>
    <n v="4"/>
    <n v="80"/>
    <n v="0"/>
    <n v="9"/>
    <n v="3"/>
    <n v="3"/>
    <x v="3"/>
    <n v="7"/>
    <n v="0"/>
    <n v="7"/>
    <x v="0"/>
    <x v="4"/>
  </r>
  <r>
    <n v="40"/>
    <x v="0"/>
    <s v="Non-Travel"/>
    <n v="1479"/>
    <x v="0"/>
    <x v="4"/>
    <n v="3"/>
    <s v="Life Sciences"/>
    <n v="1"/>
    <n v="986"/>
    <n v="2"/>
    <x v="0"/>
    <n v="100"/>
    <n v="4"/>
    <n v="4"/>
    <x v="0"/>
    <x v="1"/>
    <s v="Single"/>
    <n v="13194"/>
    <n v="17071"/>
    <n v="4"/>
    <s v="Y"/>
    <s v="Yes"/>
    <n v="16"/>
    <n v="3"/>
    <n v="4"/>
    <n v="80"/>
    <n v="0"/>
    <n v="22"/>
    <n v="2"/>
    <n v="2"/>
    <x v="6"/>
    <n v="0"/>
    <n v="0"/>
    <n v="0"/>
    <x v="0"/>
    <x v="3"/>
  </r>
  <r>
    <n v="47"/>
    <x v="1"/>
    <s v="Travel_Frequently"/>
    <n v="1379"/>
    <x v="1"/>
    <x v="7"/>
    <n v="4"/>
    <s v="Medical"/>
    <n v="1"/>
    <n v="987"/>
    <n v="3"/>
    <x v="1"/>
    <n v="64"/>
    <n v="4"/>
    <n v="2"/>
    <x v="3"/>
    <x v="2"/>
    <s v="Divorced"/>
    <n v="5067"/>
    <n v="6759"/>
    <n v="1"/>
    <s v="Y"/>
    <s v="Yes"/>
    <n v="19"/>
    <n v="3"/>
    <n v="3"/>
    <n v="80"/>
    <n v="0"/>
    <n v="20"/>
    <n v="3"/>
    <n v="4"/>
    <x v="27"/>
    <n v="10"/>
    <n v="2"/>
    <n v="7"/>
    <x v="1"/>
    <x v="0"/>
  </r>
  <r>
    <n v="36"/>
    <x v="1"/>
    <s v="Non-Travel"/>
    <n v="1229"/>
    <x v="0"/>
    <x v="1"/>
    <n v="4"/>
    <s v="Technical Degree"/>
    <n v="1"/>
    <n v="990"/>
    <n v="1"/>
    <x v="1"/>
    <n v="84"/>
    <n v="3"/>
    <n v="2"/>
    <x v="0"/>
    <x v="0"/>
    <s v="Divorced"/>
    <n v="5079"/>
    <n v="25952"/>
    <n v="4"/>
    <s v="Y"/>
    <s v="No"/>
    <n v="13"/>
    <n v="3"/>
    <n v="4"/>
    <n v="80"/>
    <n v="2"/>
    <n v="12"/>
    <n v="3"/>
    <n v="3"/>
    <x v="5"/>
    <n v="7"/>
    <n v="0"/>
    <n v="7"/>
    <x v="0"/>
    <x v="0"/>
  </r>
  <r>
    <n v="31"/>
    <x v="0"/>
    <s v="Non-Travel"/>
    <n v="335"/>
    <x v="1"/>
    <x v="14"/>
    <n v="2"/>
    <s v="Medical"/>
    <n v="1"/>
    <n v="991"/>
    <n v="3"/>
    <x v="1"/>
    <n v="46"/>
    <n v="2"/>
    <n v="1"/>
    <x v="1"/>
    <x v="3"/>
    <s v="Single"/>
    <n v="2321"/>
    <n v="10322"/>
    <n v="0"/>
    <s v="Y"/>
    <s v="Yes"/>
    <n v="22"/>
    <n v="4"/>
    <n v="1"/>
    <n v="80"/>
    <n v="0"/>
    <n v="4"/>
    <n v="0"/>
    <n v="3"/>
    <x v="11"/>
    <n v="2"/>
    <n v="1"/>
    <n v="2"/>
    <x v="2"/>
    <x v="1"/>
  </r>
  <r>
    <n v="33"/>
    <x v="1"/>
    <s v="Non-Travel"/>
    <n v="722"/>
    <x v="0"/>
    <x v="27"/>
    <n v="3"/>
    <s v="Life Sciences"/>
    <n v="1"/>
    <n v="992"/>
    <n v="4"/>
    <x v="1"/>
    <n v="38"/>
    <n v="3"/>
    <n v="4"/>
    <x v="5"/>
    <x v="2"/>
    <s v="Single"/>
    <n v="17444"/>
    <n v="20489"/>
    <n v="1"/>
    <s v="Y"/>
    <s v="No"/>
    <n v="11"/>
    <n v="3"/>
    <n v="4"/>
    <n v="80"/>
    <n v="0"/>
    <n v="10"/>
    <n v="2"/>
    <n v="3"/>
    <x v="1"/>
    <n v="8"/>
    <n v="6"/>
    <n v="0"/>
    <x v="2"/>
    <x v="3"/>
  </r>
  <r>
    <n v="29"/>
    <x v="0"/>
    <s v="Travel_Rarely"/>
    <n v="906"/>
    <x v="1"/>
    <x v="17"/>
    <n v="3"/>
    <s v="Life Sciences"/>
    <n v="1"/>
    <n v="994"/>
    <n v="4"/>
    <x v="0"/>
    <n v="92"/>
    <n v="2"/>
    <n v="1"/>
    <x v="1"/>
    <x v="3"/>
    <s v="Single"/>
    <n v="2404"/>
    <n v="11479"/>
    <n v="6"/>
    <s v="Y"/>
    <s v="Yes"/>
    <n v="20"/>
    <n v="4"/>
    <n v="3"/>
    <n v="80"/>
    <n v="0"/>
    <n v="3"/>
    <n v="5"/>
    <n v="3"/>
    <x v="2"/>
    <n v="0"/>
    <n v="0"/>
    <n v="0"/>
    <x v="2"/>
    <x v="1"/>
  </r>
  <r>
    <n v="33"/>
    <x v="1"/>
    <s v="Travel_Rarely"/>
    <n v="461"/>
    <x v="1"/>
    <x v="28"/>
    <n v="1"/>
    <s v="Life Sciences"/>
    <n v="1"/>
    <n v="995"/>
    <n v="2"/>
    <x v="0"/>
    <n v="53"/>
    <n v="3"/>
    <n v="1"/>
    <x v="1"/>
    <x v="0"/>
    <s v="Single"/>
    <n v="3452"/>
    <n v="17241"/>
    <n v="3"/>
    <s v="Y"/>
    <s v="No"/>
    <n v="18"/>
    <n v="3"/>
    <n v="1"/>
    <n v="80"/>
    <n v="0"/>
    <n v="5"/>
    <n v="4"/>
    <n v="3"/>
    <x v="11"/>
    <n v="2"/>
    <n v="0"/>
    <n v="2"/>
    <x v="2"/>
    <x v="0"/>
  </r>
  <r>
    <n v="45"/>
    <x v="1"/>
    <s v="Travel_Rarely"/>
    <n v="974"/>
    <x v="1"/>
    <x v="0"/>
    <n v="4"/>
    <s v="Medical"/>
    <n v="1"/>
    <n v="996"/>
    <n v="4"/>
    <x v="0"/>
    <n v="91"/>
    <n v="3"/>
    <n v="1"/>
    <x v="2"/>
    <x v="0"/>
    <s v="Divorced"/>
    <n v="2270"/>
    <n v="11005"/>
    <n v="3"/>
    <s v="Y"/>
    <s v="No"/>
    <n v="14"/>
    <n v="3"/>
    <n v="4"/>
    <n v="80"/>
    <n v="2"/>
    <n v="8"/>
    <n v="2"/>
    <n v="3"/>
    <x v="8"/>
    <n v="3"/>
    <n v="0"/>
    <n v="2"/>
    <x v="1"/>
    <x v="1"/>
  </r>
  <r>
    <n v="50"/>
    <x v="1"/>
    <s v="Travel_Rarely"/>
    <n v="1126"/>
    <x v="1"/>
    <x v="0"/>
    <n v="2"/>
    <s v="Medical"/>
    <n v="1"/>
    <n v="997"/>
    <n v="4"/>
    <x v="1"/>
    <n v="66"/>
    <n v="3"/>
    <n v="4"/>
    <x v="7"/>
    <x v="0"/>
    <s v="Divorced"/>
    <n v="17399"/>
    <n v="6615"/>
    <n v="9"/>
    <s v="Y"/>
    <s v="No"/>
    <n v="22"/>
    <n v="4"/>
    <n v="3"/>
    <n v="80"/>
    <n v="1"/>
    <n v="32"/>
    <n v="1"/>
    <n v="2"/>
    <x v="8"/>
    <n v="4"/>
    <n v="1"/>
    <n v="3"/>
    <x v="1"/>
    <x v="3"/>
  </r>
  <r>
    <n v="33"/>
    <x v="1"/>
    <s v="Travel_Frequently"/>
    <n v="827"/>
    <x v="1"/>
    <x v="0"/>
    <n v="4"/>
    <s v="Other"/>
    <n v="1"/>
    <n v="998"/>
    <n v="3"/>
    <x v="0"/>
    <n v="84"/>
    <n v="4"/>
    <n v="2"/>
    <x v="4"/>
    <x v="1"/>
    <s v="Married"/>
    <n v="5488"/>
    <n v="20161"/>
    <n v="1"/>
    <s v="Y"/>
    <s v="Yes"/>
    <n v="13"/>
    <n v="3"/>
    <n v="1"/>
    <n v="80"/>
    <n v="1"/>
    <n v="6"/>
    <n v="2"/>
    <n v="3"/>
    <x v="0"/>
    <n v="5"/>
    <n v="1"/>
    <n v="2"/>
    <x v="2"/>
    <x v="0"/>
  </r>
  <r>
    <n v="41"/>
    <x v="1"/>
    <s v="Travel_Frequently"/>
    <n v="840"/>
    <x v="1"/>
    <x v="14"/>
    <n v="3"/>
    <s v="Medical"/>
    <n v="1"/>
    <n v="999"/>
    <n v="1"/>
    <x v="1"/>
    <n v="64"/>
    <n v="3"/>
    <n v="5"/>
    <x v="7"/>
    <x v="2"/>
    <s v="Divorced"/>
    <n v="19419"/>
    <n v="3735"/>
    <n v="2"/>
    <s v="Y"/>
    <s v="No"/>
    <n v="17"/>
    <n v="3"/>
    <n v="2"/>
    <n v="80"/>
    <n v="1"/>
    <n v="21"/>
    <n v="2"/>
    <n v="4"/>
    <x v="29"/>
    <n v="16"/>
    <n v="0"/>
    <n v="11"/>
    <x v="0"/>
    <x v="3"/>
  </r>
  <r>
    <n v="27"/>
    <x v="1"/>
    <s v="Travel_Rarely"/>
    <n v="1134"/>
    <x v="1"/>
    <x v="7"/>
    <n v="4"/>
    <s v="Technical Degree"/>
    <n v="1"/>
    <n v="1001"/>
    <n v="3"/>
    <x v="0"/>
    <n v="37"/>
    <n v="3"/>
    <n v="1"/>
    <x v="2"/>
    <x v="1"/>
    <s v="Married"/>
    <n v="2811"/>
    <n v="12086"/>
    <n v="9"/>
    <s v="Y"/>
    <s v="No"/>
    <n v="14"/>
    <n v="3"/>
    <n v="2"/>
    <n v="80"/>
    <n v="1"/>
    <n v="4"/>
    <n v="2"/>
    <n v="3"/>
    <x v="4"/>
    <n v="2"/>
    <n v="2"/>
    <n v="2"/>
    <x v="2"/>
    <x v="1"/>
  </r>
  <r>
    <n v="45"/>
    <x v="1"/>
    <s v="Non-Travel"/>
    <n v="248"/>
    <x v="1"/>
    <x v="5"/>
    <n v="2"/>
    <s v="Life Sciences"/>
    <n v="1"/>
    <n v="1002"/>
    <n v="4"/>
    <x v="1"/>
    <n v="42"/>
    <n v="3"/>
    <n v="2"/>
    <x v="2"/>
    <x v="3"/>
    <s v="Married"/>
    <n v="3633"/>
    <n v="14039"/>
    <n v="1"/>
    <s v="Y"/>
    <s v="Yes"/>
    <n v="15"/>
    <n v="3"/>
    <n v="3"/>
    <n v="80"/>
    <n v="1"/>
    <n v="9"/>
    <n v="2"/>
    <n v="3"/>
    <x v="7"/>
    <n v="8"/>
    <n v="0"/>
    <n v="8"/>
    <x v="1"/>
    <x v="0"/>
  </r>
  <r>
    <n v="47"/>
    <x v="1"/>
    <s v="Travel_Rarely"/>
    <n v="955"/>
    <x v="0"/>
    <x v="18"/>
    <n v="2"/>
    <s v="Life Sciences"/>
    <n v="1"/>
    <n v="1003"/>
    <n v="4"/>
    <x v="0"/>
    <n v="83"/>
    <n v="3"/>
    <n v="2"/>
    <x v="0"/>
    <x v="0"/>
    <s v="Single"/>
    <n v="4163"/>
    <n v="8571"/>
    <n v="1"/>
    <s v="Y"/>
    <s v="Yes"/>
    <n v="17"/>
    <n v="3"/>
    <n v="3"/>
    <n v="80"/>
    <n v="0"/>
    <n v="9"/>
    <n v="0"/>
    <n v="3"/>
    <x v="7"/>
    <n v="0"/>
    <n v="0"/>
    <n v="7"/>
    <x v="1"/>
    <x v="0"/>
  </r>
  <r>
    <n v="30"/>
    <x v="0"/>
    <s v="Travel_Rarely"/>
    <n v="138"/>
    <x v="1"/>
    <x v="23"/>
    <n v="3"/>
    <s v="Life Sciences"/>
    <n v="1"/>
    <n v="1004"/>
    <n v="1"/>
    <x v="0"/>
    <n v="48"/>
    <n v="3"/>
    <n v="1"/>
    <x v="1"/>
    <x v="2"/>
    <s v="Married"/>
    <n v="2132"/>
    <n v="11539"/>
    <n v="4"/>
    <s v="Y"/>
    <s v="Yes"/>
    <n v="11"/>
    <n v="3"/>
    <n v="2"/>
    <n v="80"/>
    <n v="0"/>
    <n v="7"/>
    <n v="2"/>
    <n v="3"/>
    <x v="8"/>
    <n v="2"/>
    <n v="0"/>
    <n v="1"/>
    <x v="2"/>
    <x v="1"/>
  </r>
  <r>
    <n v="50"/>
    <x v="1"/>
    <s v="Travel_Rarely"/>
    <n v="939"/>
    <x v="1"/>
    <x v="4"/>
    <n v="3"/>
    <s v="Life Sciences"/>
    <n v="1"/>
    <n v="1005"/>
    <n v="4"/>
    <x v="1"/>
    <n v="95"/>
    <n v="3"/>
    <n v="4"/>
    <x v="3"/>
    <x v="2"/>
    <s v="Married"/>
    <n v="13973"/>
    <n v="4161"/>
    <n v="3"/>
    <s v="Y"/>
    <s v="Yes"/>
    <n v="18"/>
    <n v="3"/>
    <n v="4"/>
    <n v="80"/>
    <n v="1"/>
    <n v="22"/>
    <n v="2"/>
    <n v="3"/>
    <x v="12"/>
    <n v="11"/>
    <n v="1"/>
    <n v="5"/>
    <x v="1"/>
    <x v="3"/>
  </r>
  <r>
    <n v="38"/>
    <x v="1"/>
    <s v="Travel_Frequently"/>
    <n v="1391"/>
    <x v="1"/>
    <x v="17"/>
    <n v="1"/>
    <s v="Medical"/>
    <n v="1"/>
    <n v="1006"/>
    <n v="3"/>
    <x v="1"/>
    <n v="66"/>
    <n v="3"/>
    <n v="1"/>
    <x v="1"/>
    <x v="2"/>
    <s v="Married"/>
    <n v="2684"/>
    <n v="12127"/>
    <n v="0"/>
    <s v="Y"/>
    <s v="No"/>
    <n v="17"/>
    <n v="3"/>
    <n v="2"/>
    <n v="80"/>
    <n v="1"/>
    <n v="3"/>
    <n v="0"/>
    <n v="2"/>
    <x v="4"/>
    <n v="1"/>
    <n v="0"/>
    <n v="2"/>
    <x v="0"/>
    <x v="1"/>
  </r>
  <r>
    <n v="46"/>
    <x v="1"/>
    <s v="Travel_Rarely"/>
    <n v="566"/>
    <x v="1"/>
    <x v="15"/>
    <n v="2"/>
    <s v="Medical"/>
    <n v="1"/>
    <n v="1007"/>
    <n v="4"/>
    <x v="1"/>
    <n v="75"/>
    <n v="3"/>
    <n v="3"/>
    <x v="3"/>
    <x v="2"/>
    <s v="Divorced"/>
    <n v="10845"/>
    <n v="24208"/>
    <n v="6"/>
    <s v="Y"/>
    <s v="No"/>
    <n v="13"/>
    <n v="3"/>
    <n v="2"/>
    <n v="80"/>
    <n v="1"/>
    <n v="13"/>
    <n v="3"/>
    <n v="3"/>
    <x v="3"/>
    <n v="7"/>
    <n v="0"/>
    <n v="7"/>
    <x v="1"/>
    <x v="2"/>
  </r>
  <r>
    <n v="24"/>
    <x v="1"/>
    <s v="Travel_Rarely"/>
    <n v="1206"/>
    <x v="1"/>
    <x v="27"/>
    <n v="1"/>
    <s v="Medical"/>
    <n v="1"/>
    <n v="1009"/>
    <n v="4"/>
    <x v="0"/>
    <n v="41"/>
    <n v="2"/>
    <n v="2"/>
    <x v="3"/>
    <x v="2"/>
    <s v="Divorced"/>
    <n v="4377"/>
    <n v="24117"/>
    <n v="1"/>
    <s v="Y"/>
    <s v="No"/>
    <n v="15"/>
    <n v="3"/>
    <n v="2"/>
    <n v="80"/>
    <n v="2"/>
    <n v="5"/>
    <n v="6"/>
    <n v="3"/>
    <x v="9"/>
    <n v="2"/>
    <n v="3"/>
    <n v="2"/>
    <x v="4"/>
    <x v="0"/>
  </r>
  <r>
    <n v="35"/>
    <x v="0"/>
    <s v="Travel_Rarely"/>
    <n v="622"/>
    <x v="1"/>
    <x v="24"/>
    <n v="4"/>
    <s v="Other"/>
    <n v="1"/>
    <n v="1010"/>
    <n v="3"/>
    <x v="1"/>
    <n v="39"/>
    <n v="2"/>
    <n v="1"/>
    <x v="2"/>
    <x v="1"/>
    <s v="Divorced"/>
    <n v="3743"/>
    <n v="10074"/>
    <n v="1"/>
    <s v="Y"/>
    <s v="Yes"/>
    <n v="24"/>
    <n v="4"/>
    <n v="4"/>
    <n v="80"/>
    <n v="1"/>
    <n v="5"/>
    <n v="2"/>
    <n v="1"/>
    <x v="9"/>
    <n v="2"/>
    <n v="0"/>
    <n v="2"/>
    <x v="0"/>
    <x v="0"/>
  </r>
  <r>
    <n v="31"/>
    <x v="1"/>
    <s v="Travel_Frequently"/>
    <n v="853"/>
    <x v="1"/>
    <x v="0"/>
    <n v="1"/>
    <s v="Life Sciences"/>
    <n v="1"/>
    <n v="1011"/>
    <n v="3"/>
    <x v="0"/>
    <n v="96"/>
    <n v="3"/>
    <n v="2"/>
    <x v="3"/>
    <x v="3"/>
    <s v="Married"/>
    <n v="4148"/>
    <n v="11275"/>
    <n v="1"/>
    <s v="Y"/>
    <s v="No"/>
    <n v="12"/>
    <n v="3"/>
    <n v="3"/>
    <n v="80"/>
    <n v="1"/>
    <n v="4"/>
    <n v="1"/>
    <n v="3"/>
    <x v="9"/>
    <n v="3"/>
    <n v="0"/>
    <n v="3"/>
    <x v="2"/>
    <x v="0"/>
  </r>
  <r>
    <n v="18"/>
    <x v="1"/>
    <s v="Non-Travel"/>
    <n v="287"/>
    <x v="1"/>
    <x v="12"/>
    <n v="2"/>
    <s v="Life Sciences"/>
    <n v="1"/>
    <n v="1012"/>
    <n v="2"/>
    <x v="1"/>
    <n v="73"/>
    <n v="3"/>
    <n v="1"/>
    <x v="1"/>
    <x v="0"/>
    <s v="Single"/>
    <n v="1051"/>
    <n v="13493"/>
    <n v="1"/>
    <s v="Y"/>
    <s v="No"/>
    <n v="15"/>
    <n v="3"/>
    <n v="4"/>
    <n v="80"/>
    <n v="0"/>
    <n v="0"/>
    <n v="2"/>
    <n v="3"/>
    <x v="2"/>
    <n v="0"/>
    <n v="0"/>
    <n v="0"/>
    <x v="4"/>
    <x v="1"/>
  </r>
  <r>
    <n v="54"/>
    <x v="1"/>
    <s v="Travel_Rarely"/>
    <n v="1441"/>
    <x v="1"/>
    <x v="27"/>
    <n v="3"/>
    <s v="Technical Degree"/>
    <n v="1"/>
    <n v="1013"/>
    <n v="3"/>
    <x v="0"/>
    <n v="56"/>
    <n v="3"/>
    <n v="3"/>
    <x v="3"/>
    <x v="2"/>
    <s v="Married"/>
    <n v="10739"/>
    <n v="13943"/>
    <n v="8"/>
    <s v="Y"/>
    <s v="No"/>
    <n v="11"/>
    <n v="3"/>
    <n v="3"/>
    <n v="80"/>
    <n v="1"/>
    <n v="22"/>
    <n v="2"/>
    <n v="3"/>
    <x v="1"/>
    <n v="7"/>
    <n v="0"/>
    <n v="8"/>
    <x v="1"/>
    <x v="2"/>
  </r>
  <r>
    <n v="35"/>
    <x v="1"/>
    <s v="Travel_Rarely"/>
    <n v="583"/>
    <x v="1"/>
    <x v="19"/>
    <n v="4"/>
    <s v="Medical"/>
    <n v="1"/>
    <n v="1014"/>
    <n v="3"/>
    <x v="0"/>
    <n v="57"/>
    <n v="3"/>
    <n v="3"/>
    <x v="4"/>
    <x v="2"/>
    <s v="Divorced"/>
    <n v="10388"/>
    <n v="6975"/>
    <n v="1"/>
    <s v="Y"/>
    <s v="Yes"/>
    <n v="11"/>
    <n v="3"/>
    <n v="3"/>
    <n v="80"/>
    <n v="1"/>
    <n v="16"/>
    <n v="3"/>
    <n v="2"/>
    <x v="22"/>
    <n v="10"/>
    <n v="10"/>
    <n v="1"/>
    <x v="0"/>
    <x v="2"/>
  </r>
  <r>
    <n v="30"/>
    <x v="1"/>
    <s v="Travel_Rarely"/>
    <n v="153"/>
    <x v="1"/>
    <x v="1"/>
    <n v="2"/>
    <s v="Life Sciences"/>
    <n v="1"/>
    <n v="1015"/>
    <n v="2"/>
    <x v="0"/>
    <n v="73"/>
    <n v="4"/>
    <n v="3"/>
    <x v="7"/>
    <x v="3"/>
    <s v="Married"/>
    <n v="11416"/>
    <n v="17802"/>
    <n v="0"/>
    <s v="Y"/>
    <s v="Yes"/>
    <n v="12"/>
    <n v="3"/>
    <n v="3"/>
    <n v="80"/>
    <n v="3"/>
    <n v="9"/>
    <n v="4"/>
    <n v="2"/>
    <x v="3"/>
    <n v="7"/>
    <n v="1"/>
    <n v="7"/>
    <x v="2"/>
    <x v="2"/>
  </r>
  <r>
    <n v="20"/>
    <x v="0"/>
    <s v="Travel_Rarely"/>
    <n v="1097"/>
    <x v="1"/>
    <x v="13"/>
    <n v="3"/>
    <s v="Medical"/>
    <n v="1"/>
    <n v="1016"/>
    <n v="4"/>
    <x v="0"/>
    <n v="98"/>
    <n v="2"/>
    <n v="1"/>
    <x v="1"/>
    <x v="3"/>
    <s v="Single"/>
    <n v="2600"/>
    <n v="18275"/>
    <n v="1"/>
    <s v="Y"/>
    <s v="Yes"/>
    <n v="15"/>
    <n v="3"/>
    <n v="1"/>
    <n v="80"/>
    <n v="0"/>
    <n v="1"/>
    <n v="2"/>
    <n v="3"/>
    <x v="6"/>
    <n v="0"/>
    <n v="0"/>
    <n v="0"/>
    <x v="4"/>
    <x v="1"/>
  </r>
  <r>
    <n v="30"/>
    <x v="0"/>
    <s v="Travel_Frequently"/>
    <n v="109"/>
    <x v="1"/>
    <x v="12"/>
    <n v="3"/>
    <s v="Medical"/>
    <n v="1"/>
    <n v="1017"/>
    <n v="2"/>
    <x v="0"/>
    <n v="60"/>
    <n v="3"/>
    <n v="1"/>
    <x v="2"/>
    <x v="1"/>
    <s v="Single"/>
    <n v="2422"/>
    <n v="25725"/>
    <n v="0"/>
    <s v="Y"/>
    <s v="No"/>
    <n v="17"/>
    <n v="3"/>
    <n v="1"/>
    <n v="80"/>
    <n v="0"/>
    <n v="4"/>
    <n v="3"/>
    <n v="3"/>
    <x v="11"/>
    <n v="2"/>
    <n v="1"/>
    <n v="2"/>
    <x v="2"/>
    <x v="1"/>
  </r>
  <r>
    <n v="26"/>
    <x v="1"/>
    <s v="Travel_Rarely"/>
    <n v="1066"/>
    <x v="1"/>
    <x v="2"/>
    <n v="2"/>
    <s v="Medical"/>
    <n v="1"/>
    <n v="1018"/>
    <n v="4"/>
    <x v="1"/>
    <n v="32"/>
    <n v="4"/>
    <n v="2"/>
    <x v="3"/>
    <x v="0"/>
    <s v="Married"/>
    <n v="5472"/>
    <n v="3334"/>
    <n v="1"/>
    <s v="Y"/>
    <s v="No"/>
    <n v="12"/>
    <n v="3"/>
    <n v="2"/>
    <n v="80"/>
    <n v="0"/>
    <n v="8"/>
    <n v="2"/>
    <n v="3"/>
    <x v="3"/>
    <n v="7"/>
    <n v="1"/>
    <n v="3"/>
    <x v="2"/>
    <x v="0"/>
  </r>
  <r>
    <n v="22"/>
    <x v="1"/>
    <s v="Travel_Rarely"/>
    <n v="217"/>
    <x v="1"/>
    <x v="1"/>
    <n v="1"/>
    <s v="Life Sciences"/>
    <n v="1"/>
    <n v="1019"/>
    <n v="2"/>
    <x v="1"/>
    <n v="94"/>
    <n v="1"/>
    <n v="1"/>
    <x v="2"/>
    <x v="3"/>
    <s v="Married"/>
    <n v="2451"/>
    <n v="6881"/>
    <n v="1"/>
    <s v="Y"/>
    <s v="No"/>
    <n v="15"/>
    <n v="3"/>
    <n v="1"/>
    <n v="80"/>
    <n v="1"/>
    <n v="4"/>
    <n v="3"/>
    <n v="2"/>
    <x v="9"/>
    <n v="3"/>
    <n v="1"/>
    <n v="1"/>
    <x v="4"/>
    <x v="1"/>
  </r>
  <r>
    <n v="48"/>
    <x v="1"/>
    <s v="Travel_Rarely"/>
    <n v="277"/>
    <x v="1"/>
    <x v="16"/>
    <n v="3"/>
    <s v="Life Sciences"/>
    <n v="1"/>
    <n v="1022"/>
    <n v="1"/>
    <x v="1"/>
    <n v="97"/>
    <n v="2"/>
    <n v="2"/>
    <x v="4"/>
    <x v="2"/>
    <s v="Single"/>
    <n v="4240"/>
    <n v="13119"/>
    <n v="2"/>
    <s v="Y"/>
    <s v="No"/>
    <n v="13"/>
    <n v="3"/>
    <n v="4"/>
    <n v="80"/>
    <n v="0"/>
    <n v="19"/>
    <n v="0"/>
    <n v="3"/>
    <x v="4"/>
    <n v="2"/>
    <n v="2"/>
    <n v="2"/>
    <x v="1"/>
    <x v="0"/>
  </r>
  <r>
    <n v="48"/>
    <x v="1"/>
    <s v="Travel_Rarely"/>
    <n v="1355"/>
    <x v="1"/>
    <x v="18"/>
    <n v="4"/>
    <s v="Life Sciences"/>
    <n v="1"/>
    <n v="1024"/>
    <n v="3"/>
    <x v="1"/>
    <n v="78"/>
    <n v="2"/>
    <n v="3"/>
    <x v="4"/>
    <x v="2"/>
    <s v="Single"/>
    <n v="10999"/>
    <n v="22245"/>
    <n v="7"/>
    <s v="Y"/>
    <s v="No"/>
    <n v="14"/>
    <n v="3"/>
    <n v="2"/>
    <n v="80"/>
    <n v="0"/>
    <n v="27"/>
    <n v="3"/>
    <n v="3"/>
    <x v="15"/>
    <n v="11"/>
    <n v="4"/>
    <n v="8"/>
    <x v="1"/>
    <x v="2"/>
  </r>
  <r>
    <n v="41"/>
    <x v="1"/>
    <s v="Travel_Rarely"/>
    <n v="549"/>
    <x v="1"/>
    <x v="15"/>
    <n v="2"/>
    <s v="Medical"/>
    <n v="1"/>
    <n v="1025"/>
    <n v="4"/>
    <x v="0"/>
    <n v="42"/>
    <n v="3"/>
    <n v="2"/>
    <x v="3"/>
    <x v="2"/>
    <s v="Single"/>
    <n v="5003"/>
    <n v="23371"/>
    <n v="6"/>
    <s v="Y"/>
    <s v="No"/>
    <n v="14"/>
    <n v="3"/>
    <n v="2"/>
    <n v="80"/>
    <n v="0"/>
    <n v="8"/>
    <n v="6"/>
    <n v="3"/>
    <x v="4"/>
    <n v="2"/>
    <n v="2"/>
    <n v="1"/>
    <x v="0"/>
    <x v="0"/>
  </r>
  <r>
    <n v="39"/>
    <x v="1"/>
    <s v="Travel_Rarely"/>
    <n v="466"/>
    <x v="1"/>
    <x v="0"/>
    <n v="1"/>
    <s v="Life Sciences"/>
    <n v="1"/>
    <n v="1026"/>
    <n v="4"/>
    <x v="0"/>
    <n v="65"/>
    <n v="2"/>
    <n v="4"/>
    <x v="3"/>
    <x v="0"/>
    <s v="Married"/>
    <n v="12742"/>
    <n v="7060"/>
    <n v="1"/>
    <s v="Y"/>
    <s v="No"/>
    <n v="16"/>
    <n v="3"/>
    <n v="3"/>
    <n v="80"/>
    <n v="1"/>
    <n v="21"/>
    <n v="3"/>
    <n v="3"/>
    <x v="17"/>
    <n v="6"/>
    <n v="11"/>
    <n v="8"/>
    <x v="0"/>
    <x v="3"/>
  </r>
  <r>
    <n v="27"/>
    <x v="1"/>
    <s v="Travel_Rarely"/>
    <n v="1055"/>
    <x v="1"/>
    <x v="2"/>
    <n v="4"/>
    <s v="Life Sciences"/>
    <n v="1"/>
    <n v="1027"/>
    <n v="1"/>
    <x v="0"/>
    <n v="47"/>
    <n v="3"/>
    <n v="2"/>
    <x v="3"/>
    <x v="0"/>
    <s v="Married"/>
    <n v="4227"/>
    <n v="4658"/>
    <n v="0"/>
    <s v="Y"/>
    <s v="No"/>
    <n v="18"/>
    <n v="3"/>
    <n v="2"/>
    <n v="80"/>
    <n v="1"/>
    <n v="4"/>
    <n v="2"/>
    <n v="3"/>
    <x v="11"/>
    <n v="2"/>
    <n v="2"/>
    <n v="2"/>
    <x v="2"/>
    <x v="0"/>
  </r>
  <r>
    <n v="35"/>
    <x v="1"/>
    <s v="Travel_Rarely"/>
    <n v="802"/>
    <x v="1"/>
    <x v="17"/>
    <n v="3"/>
    <s v="Other"/>
    <n v="1"/>
    <n v="1028"/>
    <n v="2"/>
    <x v="1"/>
    <n v="45"/>
    <n v="3"/>
    <n v="1"/>
    <x v="2"/>
    <x v="0"/>
    <s v="Divorced"/>
    <n v="3917"/>
    <n v="9541"/>
    <n v="1"/>
    <s v="Y"/>
    <s v="No"/>
    <n v="20"/>
    <n v="4"/>
    <n v="1"/>
    <n v="80"/>
    <n v="1"/>
    <n v="3"/>
    <n v="4"/>
    <n v="2"/>
    <x v="11"/>
    <n v="2"/>
    <n v="1"/>
    <n v="2"/>
    <x v="0"/>
    <x v="0"/>
  </r>
  <r>
    <n v="42"/>
    <x v="1"/>
    <s v="Travel_Rarely"/>
    <n v="265"/>
    <x v="0"/>
    <x v="12"/>
    <n v="2"/>
    <s v="Marketing"/>
    <n v="1"/>
    <n v="1029"/>
    <n v="4"/>
    <x v="1"/>
    <n v="90"/>
    <n v="3"/>
    <n v="5"/>
    <x v="5"/>
    <x v="2"/>
    <s v="Married"/>
    <n v="18303"/>
    <n v="7770"/>
    <n v="6"/>
    <s v="Y"/>
    <s v="No"/>
    <n v="13"/>
    <n v="3"/>
    <n v="2"/>
    <n v="80"/>
    <n v="0"/>
    <n v="21"/>
    <n v="3"/>
    <n v="4"/>
    <x v="6"/>
    <n v="0"/>
    <n v="0"/>
    <n v="0"/>
    <x v="0"/>
    <x v="3"/>
  </r>
  <r>
    <n v="50"/>
    <x v="1"/>
    <s v="Travel_Rarely"/>
    <n v="804"/>
    <x v="1"/>
    <x v="14"/>
    <n v="3"/>
    <s v="Life Sciences"/>
    <n v="1"/>
    <n v="1030"/>
    <n v="1"/>
    <x v="1"/>
    <n v="64"/>
    <n v="3"/>
    <n v="1"/>
    <x v="2"/>
    <x v="0"/>
    <s v="Married"/>
    <n v="2380"/>
    <n v="20165"/>
    <n v="4"/>
    <s v="Y"/>
    <s v="No"/>
    <n v="18"/>
    <n v="3"/>
    <n v="2"/>
    <n v="80"/>
    <n v="0"/>
    <n v="8"/>
    <n v="5"/>
    <n v="3"/>
    <x v="6"/>
    <n v="0"/>
    <n v="0"/>
    <n v="0"/>
    <x v="1"/>
    <x v="1"/>
  </r>
  <r>
    <n v="59"/>
    <x v="1"/>
    <s v="Travel_Rarely"/>
    <n v="715"/>
    <x v="1"/>
    <x v="2"/>
    <n v="3"/>
    <s v="Life Sciences"/>
    <n v="1"/>
    <n v="1032"/>
    <n v="3"/>
    <x v="0"/>
    <n v="69"/>
    <n v="2"/>
    <n v="4"/>
    <x v="3"/>
    <x v="0"/>
    <s v="Single"/>
    <n v="13726"/>
    <n v="21829"/>
    <n v="3"/>
    <s v="Y"/>
    <s v="Yes"/>
    <n v="13"/>
    <n v="3"/>
    <n v="1"/>
    <n v="80"/>
    <n v="0"/>
    <n v="30"/>
    <n v="4"/>
    <n v="3"/>
    <x v="8"/>
    <n v="3"/>
    <n v="4"/>
    <n v="3"/>
    <x v="3"/>
    <x v="3"/>
  </r>
  <r>
    <n v="37"/>
    <x v="0"/>
    <s v="Travel_Rarely"/>
    <n v="1141"/>
    <x v="1"/>
    <x v="13"/>
    <n v="2"/>
    <s v="Medical"/>
    <n v="1"/>
    <n v="1033"/>
    <n v="1"/>
    <x v="0"/>
    <n v="61"/>
    <n v="1"/>
    <n v="2"/>
    <x v="4"/>
    <x v="1"/>
    <s v="Married"/>
    <n v="4777"/>
    <n v="14382"/>
    <n v="5"/>
    <s v="Y"/>
    <s v="No"/>
    <n v="15"/>
    <n v="3"/>
    <n v="1"/>
    <n v="80"/>
    <n v="0"/>
    <n v="15"/>
    <n v="2"/>
    <n v="1"/>
    <x v="6"/>
    <n v="0"/>
    <n v="0"/>
    <n v="0"/>
    <x v="0"/>
    <x v="0"/>
  </r>
  <r>
    <n v="55"/>
    <x v="1"/>
    <s v="Travel_Frequently"/>
    <n v="135"/>
    <x v="1"/>
    <x v="21"/>
    <n v="4"/>
    <s v="Medical"/>
    <n v="1"/>
    <n v="1034"/>
    <n v="3"/>
    <x v="1"/>
    <n v="62"/>
    <n v="3"/>
    <n v="2"/>
    <x v="4"/>
    <x v="1"/>
    <s v="Married"/>
    <n v="6385"/>
    <n v="12992"/>
    <n v="3"/>
    <s v="Y"/>
    <s v="Yes"/>
    <n v="14"/>
    <n v="3"/>
    <n v="4"/>
    <n v="80"/>
    <n v="2"/>
    <n v="17"/>
    <n v="3"/>
    <n v="3"/>
    <x v="3"/>
    <n v="7"/>
    <n v="6"/>
    <n v="7"/>
    <x v="3"/>
    <x v="4"/>
  </r>
  <r>
    <n v="41"/>
    <x v="1"/>
    <s v="Non-Travel"/>
    <n v="247"/>
    <x v="1"/>
    <x v="15"/>
    <n v="1"/>
    <s v="Life Sciences"/>
    <n v="1"/>
    <n v="1035"/>
    <n v="2"/>
    <x v="0"/>
    <n v="55"/>
    <n v="1"/>
    <n v="5"/>
    <x v="7"/>
    <x v="2"/>
    <s v="Divorced"/>
    <n v="19973"/>
    <n v="20284"/>
    <n v="1"/>
    <s v="Y"/>
    <s v="No"/>
    <n v="22"/>
    <n v="4"/>
    <n v="2"/>
    <n v="80"/>
    <n v="2"/>
    <n v="21"/>
    <n v="3"/>
    <n v="3"/>
    <x v="17"/>
    <n v="16"/>
    <n v="5"/>
    <n v="10"/>
    <x v="0"/>
    <x v="3"/>
  </r>
  <r>
    <n v="38"/>
    <x v="1"/>
    <s v="Travel_Rarely"/>
    <n v="1035"/>
    <x v="0"/>
    <x v="3"/>
    <n v="4"/>
    <s v="Life Sciences"/>
    <n v="1"/>
    <n v="1036"/>
    <n v="2"/>
    <x v="1"/>
    <n v="42"/>
    <n v="3"/>
    <n v="2"/>
    <x v="0"/>
    <x v="0"/>
    <s v="Single"/>
    <n v="6861"/>
    <n v="4981"/>
    <n v="8"/>
    <s v="Y"/>
    <s v="Yes"/>
    <n v="12"/>
    <n v="3"/>
    <n v="3"/>
    <n v="80"/>
    <n v="0"/>
    <n v="19"/>
    <n v="1"/>
    <n v="3"/>
    <x v="6"/>
    <n v="0"/>
    <n v="0"/>
    <n v="0"/>
    <x v="0"/>
    <x v="4"/>
  </r>
  <r>
    <n v="26"/>
    <x v="0"/>
    <s v="Non-Travel"/>
    <n v="265"/>
    <x v="0"/>
    <x v="22"/>
    <n v="2"/>
    <s v="Medical"/>
    <n v="1"/>
    <n v="1037"/>
    <n v="2"/>
    <x v="1"/>
    <n v="79"/>
    <n v="1"/>
    <n v="2"/>
    <x v="0"/>
    <x v="3"/>
    <s v="Single"/>
    <n v="4969"/>
    <n v="21813"/>
    <n v="8"/>
    <s v="Y"/>
    <s v="No"/>
    <n v="18"/>
    <n v="3"/>
    <n v="4"/>
    <n v="80"/>
    <n v="0"/>
    <n v="7"/>
    <n v="6"/>
    <n v="3"/>
    <x v="4"/>
    <n v="2"/>
    <n v="2"/>
    <n v="2"/>
    <x v="2"/>
    <x v="0"/>
  </r>
  <r>
    <n v="52"/>
    <x v="0"/>
    <s v="Travel_Rarely"/>
    <n v="266"/>
    <x v="0"/>
    <x v="2"/>
    <n v="1"/>
    <s v="Marketing"/>
    <n v="1"/>
    <n v="1038"/>
    <n v="1"/>
    <x v="0"/>
    <n v="57"/>
    <n v="1"/>
    <n v="5"/>
    <x v="5"/>
    <x v="0"/>
    <s v="Married"/>
    <n v="19845"/>
    <n v="25846"/>
    <n v="1"/>
    <s v="Y"/>
    <s v="No"/>
    <n v="15"/>
    <n v="3"/>
    <n v="4"/>
    <n v="80"/>
    <n v="1"/>
    <n v="33"/>
    <n v="3"/>
    <n v="3"/>
    <x v="32"/>
    <n v="14"/>
    <n v="6"/>
    <n v="9"/>
    <x v="1"/>
    <x v="3"/>
  </r>
  <r>
    <n v="44"/>
    <x v="1"/>
    <s v="Travel_Rarely"/>
    <n v="1448"/>
    <x v="0"/>
    <x v="26"/>
    <n v="3"/>
    <s v="Medical"/>
    <n v="1"/>
    <n v="1039"/>
    <n v="4"/>
    <x v="0"/>
    <n v="53"/>
    <n v="4"/>
    <n v="4"/>
    <x v="0"/>
    <x v="0"/>
    <s v="Married"/>
    <n v="13320"/>
    <n v="11737"/>
    <n v="3"/>
    <s v="Y"/>
    <s v="Yes"/>
    <n v="18"/>
    <n v="3"/>
    <n v="3"/>
    <n v="80"/>
    <n v="1"/>
    <n v="23"/>
    <n v="2"/>
    <n v="3"/>
    <x v="12"/>
    <n v="11"/>
    <n v="11"/>
    <n v="11"/>
    <x v="0"/>
    <x v="3"/>
  </r>
  <r>
    <n v="50"/>
    <x v="1"/>
    <s v="Non-Travel"/>
    <n v="145"/>
    <x v="0"/>
    <x v="0"/>
    <n v="3"/>
    <s v="Life Sciences"/>
    <n v="1"/>
    <n v="1040"/>
    <n v="4"/>
    <x v="0"/>
    <n v="95"/>
    <n v="3"/>
    <n v="2"/>
    <x v="0"/>
    <x v="2"/>
    <s v="Married"/>
    <n v="6347"/>
    <n v="24920"/>
    <n v="0"/>
    <s v="Y"/>
    <s v="No"/>
    <n v="12"/>
    <n v="3"/>
    <n v="1"/>
    <n v="80"/>
    <n v="1"/>
    <n v="19"/>
    <n v="3"/>
    <n v="3"/>
    <x v="29"/>
    <n v="7"/>
    <n v="0"/>
    <n v="13"/>
    <x v="1"/>
    <x v="4"/>
  </r>
  <r>
    <n v="36"/>
    <x v="0"/>
    <s v="Travel_Rarely"/>
    <n v="885"/>
    <x v="1"/>
    <x v="7"/>
    <n v="4"/>
    <s v="Life Sciences"/>
    <n v="1"/>
    <n v="1042"/>
    <n v="3"/>
    <x v="0"/>
    <n v="43"/>
    <n v="4"/>
    <n v="1"/>
    <x v="2"/>
    <x v="3"/>
    <s v="Single"/>
    <n v="2743"/>
    <n v="8269"/>
    <n v="1"/>
    <s v="Y"/>
    <s v="No"/>
    <n v="16"/>
    <n v="3"/>
    <n v="3"/>
    <n v="80"/>
    <n v="0"/>
    <n v="18"/>
    <n v="1"/>
    <n v="3"/>
    <x v="18"/>
    <n v="13"/>
    <n v="15"/>
    <n v="14"/>
    <x v="0"/>
    <x v="1"/>
  </r>
  <r>
    <n v="39"/>
    <x v="1"/>
    <s v="Travel_Frequently"/>
    <n v="945"/>
    <x v="1"/>
    <x v="23"/>
    <n v="3"/>
    <s v="Medical"/>
    <n v="1"/>
    <n v="1043"/>
    <n v="4"/>
    <x v="0"/>
    <n v="82"/>
    <n v="3"/>
    <n v="3"/>
    <x v="3"/>
    <x v="3"/>
    <s v="Single"/>
    <n v="10880"/>
    <n v="5083"/>
    <n v="1"/>
    <s v="Y"/>
    <s v="Yes"/>
    <n v="13"/>
    <n v="3"/>
    <n v="3"/>
    <n v="80"/>
    <n v="0"/>
    <n v="21"/>
    <n v="2"/>
    <n v="3"/>
    <x v="17"/>
    <n v="6"/>
    <n v="2"/>
    <n v="8"/>
    <x v="0"/>
    <x v="2"/>
  </r>
  <r>
    <n v="33"/>
    <x v="1"/>
    <s v="Non-Travel"/>
    <n v="1038"/>
    <x v="0"/>
    <x v="1"/>
    <n v="1"/>
    <s v="Life Sciences"/>
    <n v="1"/>
    <n v="1044"/>
    <n v="2"/>
    <x v="0"/>
    <n v="88"/>
    <n v="2"/>
    <n v="1"/>
    <x v="6"/>
    <x v="0"/>
    <s v="Single"/>
    <n v="2342"/>
    <n v="21437"/>
    <n v="0"/>
    <s v="Y"/>
    <s v="No"/>
    <n v="19"/>
    <n v="3"/>
    <n v="4"/>
    <n v="80"/>
    <n v="0"/>
    <n v="3"/>
    <n v="2"/>
    <n v="2"/>
    <x v="4"/>
    <n v="2"/>
    <n v="2"/>
    <n v="2"/>
    <x v="2"/>
    <x v="1"/>
  </r>
  <r>
    <n v="45"/>
    <x v="1"/>
    <s v="Travel_Rarely"/>
    <n v="1234"/>
    <x v="0"/>
    <x v="13"/>
    <n v="2"/>
    <s v="Life Sciences"/>
    <n v="1"/>
    <n v="1045"/>
    <n v="4"/>
    <x v="0"/>
    <n v="90"/>
    <n v="3"/>
    <n v="4"/>
    <x v="5"/>
    <x v="0"/>
    <s v="Married"/>
    <n v="17650"/>
    <n v="5404"/>
    <n v="3"/>
    <s v="Y"/>
    <s v="No"/>
    <n v="13"/>
    <n v="3"/>
    <n v="2"/>
    <n v="80"/>
    <n v="1"/>
    <n v="26"/>
    <n v="4"/>
    <n v="4"/>
    <x v="7"/>
    <n v="3"/>
    <n v="1"/>
    <n v="1"/>
    <x v="1"/>
    <x v="3"/>
  </r>
  <r>
    <n v="32"/>
    <x v="1"/>
    <s v="Non-Travel"/>
    <n v="1109"/>
    <x v="1"/>
    <x v="22"/>
    <n v="4"/>
    <s v="Medical"/>
    <n v="1"/>
    <n v="1046"/>
    <n v="4"/>
    <x v="0"/>
    <n v="69"/>
    <n v="3"/>
    <n v="1"/>
    <x v="2"/>
    <x v="2"/>
    <s v="Single"/>
    <n v="4025"/>
    <n v="11135"/>
    <n v="9"/>
    <s v="Y"/>
    <s v="No"/>
    <n v="12"/>
    <n v="3"/>
    <n v="2"/>
    <n v="80"/>
    <n v="0"/>
    <n v="10"/>
    <n v="2"/>
    <n v="3"/>
    <x v="3"/>
    <n v="7"/>
    <n v="7"/>
    <n v="7"/>
    <x v="2"/>
    <x v="0"/>
  </r>
  <r>
    <n v="34"/>
    <x v="1"/>
    <s v="Travel_Rarely"/>
    <n v="216"/>
    <x v="0"/>
    <x v="0"/>
    <n v="4"/>
    <s v="Marketing"/>
    <n v="1"/>
    <n v="1047"/>
    <n v="2"/>
    <x v="1"/>
    <n v="75"/>
    <n v="4"/>
    <n v="2"/>
    <x v="0"/>
    <x v="0"/>
    <s v="Divorced"/>
    <n v="9725"/>
    <n v="12278"/>
    <n v="0"/>
    <s v="Y"/>
    <s v="No"/>
    <n v="11"/>
    <n v="3"/>
    <n v="4"/>
    <n v="80"/>
    <n v="1"/>
    <n v="16"/>
    <n v="2"/>
    <n v="2"/>
    <x v="15"/>
    <n v="1"/>
    <n v="0"/>
    <n v="9"/>
    <x v="2"/>
    <x v="2"/>
  </r>
  <r>
    <n v="59"/>
    <x v="1"/>
    <s v="Travel_Rarely"/>
    <n v="1089"/>
    <x v="0"/>
    <x v="0"/>
    <n v="2"/>
    <s v="Technical Degree"/>
    <n v="1"/>
    <n v="1048"/>
    <n v="2"/>
    <x v="1"/>
    <n v="66"/>
    <n v="3"/>
    <n v="3"/>
    <x v="5"/>
    <x v="0"/>
    <s v="Married"/>
    <n v="11904"/>
    <n v="11038"/>
    <n v="3"/>
    <s v="Y"/>
    <s v="Yes"/>
    <n v="14"/>
    <n v="3"/>
    <n v="3"/>
    <n v="80"/>
    <n v="1"/>
    <n v="14"/>
    <n v="1"/>
    <n v="1"/>
    <x v="0"/>
    <n v="4"/>
    <n v="0"/>
    <n v="4"/>
    <x v="3"/>
    <x v="2"/>
  </r>
  <r>
    <n v="45"/>
    <x v="1"/>
    <s v="Travel_Rarely"/>
    <n v="788"/>
    <x v="2"/>
    <x v="4"/>
    <n v="4"/>
    <s v="Medical"/>
    <n v="1"/>
    <n v="1049"/>
    <n v="2"/>
    <x v="1"/>
    <n v="36"/>
    <n v="3"/>
    <n v="1"/>
    <x v="8"/>
    <x v="1"/>
    <s v="Single"/>
    <n v="2177"/>
    <n v="8318"/>
    <n v="1"/>
    <s v="Y"/>
    <s v="No"/>
    <n v="16"/>
    <n v="3"/>
    <n v="1"/>
    <n v="80"/>
    <n v="0"/>
    <n v="6"/>
    <n v="3"/>
    <n v="3"/>
    <x v="0"/>
    <n v="3"/>
    <n v="0"/>
    <n v="4"/>
    <x v="1"/>
    <x v="1"/>
  </r>
  <r>
    <n v="53"/>
    <x v="1"/>
    <s v="Travel_Frequently"/>
    <n v="124"/>
    <x v="0"/>
    <x v="2"/>
    <n v="3"/>
    <s v="Marketing"/>
    <n v="1"/>
    <n v="1050"/>
    <n v="3"/>
    <x v="0"/>
    <n v="38"/>
    <n v="2"/>
    <n v="3"/>
    <x v="0"/>
    <x v="1"/>
    <s v="Married"/>
    <n v="7525"/>
    <n v="23537"/>
    <n v="2"/>
    <s v="Y"/>
    <s v="No"/>
    <n v="12"/>
    <n v="3"/>
    <n v="1"/>
    <n v="80"/>
    <n v="1"/>
    <n v="30"/>
    <n v="2"/>
    <n v="3"/>
    <x v="15"/>
    <n v="7"/>
    <n v="6"/>
    <n v="12"/>
    <x v="1"/>
    <x v="4"/>
  </r>
  <r>
    <n v="36"/>
    <x v="0"/>
    <s v="Travel_Rarely"/>
    <n v="660"/>
    <x v="1"/>
    <x v="8"/>
    <n v="3"/>
    <s v="Other"/>
    <n v="1"/>
    <n v="1052"/>
    <n v="1"/>
    <x v="1"/>
    <n v="81"/>
    <n v="3"/>
    <n v="2"/>
    <x v="2"/>
    <x v="2"/>
    <s v="Divorced"/>
    <n v="4834"/>
    <n v="7858"/>
    <n v="7"/>
    <s v="Y"/>
    <s v="No"/>
    <n v="14"/>
    <n v="3"/>
    <n v="2"/>
    <n v="80"/>
    <n v="1"/>
    <n v="9"/>
    <n v="3"/>
    <n v="2"/>
    <x v="6"/>
    <n v="0"/>
    <n v="0"/>
    <n v="0"/>
    <x v="0"/>
    <x v="0"/>
  </r>
  <r>
    <n v="26"/>
    <x v="0"/>
    <s v="Travel_Frequently"/>
    <n v="342"/>
    <x v="1"/>
    <x v="2"/>
    <n v="3"/>
    <s v="Life Sciences"/>
    <n v="1"/>
    <n v="1053"/>
    <n v="1"/>
    <x v="1"/>
    <n v="57"/>
    <n v="3"/>
    <n v="1"/>
    <x v="1"/>
    <x v="3"/>
    <s v="Married"/>
    <n v="2042"/>
    <n v="15346"/>
    <n v="6"/>
    <s v="Y"/>
    <s v="Yes"/>
    <n v="14"/>
    <n v="3"/>
    <n v="2"/>
    <n v="80"/>
    <n v="1"/>
    <n v="6"/>
    <n v="2"/>
    <n v="3"/>
    <x v="11"/>
    <n v="2"/>
    <n v="1"/>
    <n v="2"/>
    <x v="2"/>
    <x v="1"/>
  </r>
  <r>
    <n v="34"/>
    <x v="1"/>
    <s v="Travel_Rarely"/>
    <n v="1333"/>
    <x v="0"/>
    <x v="17"/>
    <n v="4"/>
    <s v="Life Sciences"/>
    <n v="1"/>
    <n v="1055"/>
    <n v="3"/>
    <x v="0"/>
    <n v="87"/>
    <n v="3"/>
    <n v="1"/>
    <x v="6"/>
    <x v="2"/>
    <s v="Married"/>
    <n v="2220"/>
    <n v="18410"/>
    <n v="1"/>
    <s v="Y"/>
    <s v="Yes"/>
    <n v="19"/>
    <n v="3"/>
    <n v="4"/>
    <n v="80"/>
    <n v="1"/>
    <n v="1"/>
    <n v="2"/>
    <n v="3"/>
    <x v="6"/>
    <n v="1"/>
    <n v="0"/>
    <n v="0"/>
    <x v="2"/>
    <x v="1"/>
  </r>
  <r>
    <n v="28"/>
    <x v="1"/>
    <s v="Travel_Rarely"/>
    <n v="1144"/>
    <x v="0"/>
    <x v="17"/>
    <n v="1"/>
    <s v="Medical"/>
    <n v="1"/>
    <n v="1056"/>
    <n v="4"/>
    <x v="1"/>
    <n v="74"/>
    <n v="3"/>
    <n v="1"/>
    <x v="6"/>
    <x v="1"/>
    <s v="Married"/>
    <n v="1052"/>
    <n v="23384"/>
    <n v="1"/>
    <s v="Y"/>
    <s v="No"/>
    <n v="22"/>
    <n v="4"/>
    <n v="2"/>
    <n v="80"/>
    <n v="0"/>
    <n v="1"/>
    <n v="5"/>
    <n v="3"/>
    <x v="6"/>
    <n v="0"/>
    <n v="0"/>
    <n v="0"/>
    <x v="2"/>
    <x v="1"/>
  </r>
  <r>
    <n v="38"/>
    <x v="1"/>
    <s v="Travel_Frequently"/>
    <n v="1186"/>
    <x v="1"/>
    <x v="3"/>
    <n v="4"/>
    <s v="Other"/>
    <n v="1"/>
    <n v="1060"/>
    <n v="3"/>
    <x v="1"/>
    <n v="44"/>
    <n v="3"/>
    <n v="1"/>
    <x v="1"/>
    <x v="2"/>
    <s v="Married"/>
    <n v="2821"/>
    <n v="2997"/>
    <n v="3"/>
    <s v="Y"/>
    <s v="No"/>
    <n v="16"/>
    <n v="3"/>
    <n v="1"/>
    <n v="80"/>
    <n v="1"/>
    <n v="8"/>
    <n v="2"/>
    <n v="3"/>
    <x v="4"/>
    <n v="2"/>
    <n v="2"/>
    <n v="2"/>
    <x v="0"/>
    <x v="1"/>
  </r>
  <r>
    <n v="50"/>
    <x v="1"/>
    <s v="Travel_Rarely"/>
    <n v="1464"/>
    <x v="1"/>
    <x v="2"/>
    <n v="4"/>
    <s v="Medical"/>
    <n v="1"/>
    <n v="1061"/>
    <n v="2"/>
    <x v="1"/>
    <n v="62"/>
    <n v="3"/>
    <n v="5"/>
    <x v="7"/>
    <x v="2"/>
    <s v="Married"/>
    <n v="19237"/>
    <n v="12853"/>
    <n v="2"/>
    <s v="Y"/>
    <s v="Yes"/>
    <n v="11"/>
    <n v="3"/>
    <n v="4"/>
    <n v="80"/>
    <n v="1"/>
    <n v="29"/>
    <n v="2"/>
    <n v="2"/>
    <x v="3"/>
    <n v="1"/>
    <n v="7"/>
    <n v="7"/>
    <x v="1"/>
    <x v="3"/>
  </r>
  <r>
    <n v="37"/>
    <x v="1"/>
    <s v="Travel_Rarely"/>
    <n v="124"/>
    <x v="1"/>
    <x v="3"/>
    <n v="3"/>
    <s v="Other"/>
    <n v="1"/>
    <n v="1062"/>
    <n v="4"/>
    <x v="0"/>
    <n v="35"/>
    <n v="3"/>
    <n v="2"/>
    <x v="4"/>
    <x v="1"/>
    <s v="Single"/>
    <n v="4107"/>
    <n v="13848"/>
    <n v="3"/>
    <s v="Y"/>
    <s v="No"/>
    <n v="15"/>
    <n v="3"/>
    <n v="1"/>
    <n v="80"/>
    <n v="0"/>
    <n v="8"/>
    <n v="3"/>
    <n v="2"/>
    <x v="9"/>
    <n v="3"/>
    <n v="0"/>
    <n v="1"/>
    <x v="0"/>
    <x v="0"/>
  </r>
  <r>
    <n v="40"/>
    <x v="1"/>
    <s v="Travel_Rarely"/>
    <n v="300"/>
    <x v="0"/>
    <x v="9"/>
    <n v="3"/>
    <s v="Marketing"/>
    <n v="1"/>
    <n v="1066"/>
    <n v="3"/>
    <x v="1"/>
    <n v="74"/>
    <n v="3"/>
    <n v="2"/>
    <x v="0"/>
    <x v="3"/>
    <s v="Married"/>
    <n v="8396"/>
    <n v="22217"/>
    <n v="1"/>
    <s v="Y"/>
    <s v="No"/>
    <n v="14"/>
    <n v="3"/>
    <n v="2"/>
    <n v="80"/>
    <n v="1"/>
    <n v="8"/>
    <n v="3"/>
    <n v="2"/>
    <x v="5"/>
    <n v="7"/>
    <n v="7"/>
    <n v="5"/>
    <x v="0"/>
    <x v="4"/>
  </r>
  <r>
    <n v="26"/>
    <x v="1"/>
    <s v="Travel_Frequently"/>
    <n v="921"/>
    <x v="1"/>
    <x v="0"/>
    <n v="1"/>
    <s v="Medical"/>
    <n v="1"/>
    <n v="1068"/>
    <n v="1"/>
    <x v="0"/>
    <n v="66"/>
    <n v="2"/>
    <n v="1"/>
    <x v="1"/>
    <x v="2"/>
    <s v="Divorced"/>
    <n v="2007"/>
    <n v="25265"/>
    <n v="1"/>
    <s v="Y"/>
    <s v="No"/>
    <n v="13"/>
    <n v="3"/>
    <n v="3"/>
    <n v="80"/>
    <n v="2"/>
    <n v="5"/>
    <n v="5"/>
    <n v="3"/>
    <x v="8"/>
    <n v="3"/>
    <n v="1"/>
    <n v="3"/>
    <x v="2"/>
    <x v="1"/>
  </r>
  <r>
    <n v="46"/>
    <x v="1"/>
    <s v="Travel_Rarely"/>
    <n v="430"/>
    <x v="1"/>
    <x v="0"/>
    <n v="4"/>
    <s v="Medical"/>
    <n v="1"/>
    <n v="1069"/>
    <n v="4"/>
    <x v="1"/>
    <n v="40"/>
    <n v="3"/>
    <n v="5"/>
    <x v="7"/>
    <x v="0"/>
    <s v="Divorced"/>
    <n v="19627"/>
    <n v="21445"/>
    <n v="9"/>
    <s v="Y"/>
    <s v="No"/>
    <n v="17"/>
    <n v="3"/>
    <n v="4"/>
    <n v="80"/>
    <n v="2"/>
    <n v="23"/>
    <n v="0"/>
    <n v="3"/>
    <x v="4"/>
    <n v="2"/>
    <n v="2"/>
    <n v="2"/>
    <x v="1"/>
    <x v="3"/>
  </r>
  <r>
    <n v="54"/>
    <x v="1"/>
    <s v="Travel_Rarely"/>
    <n v="1082"/>
    <x v="0"/>
    <x v="2"/>
    <n v="4"/>
    <s v="Life Sciences"/>
    <n v="1"/>
    <n v="1070"/>
    <n v="3"/>
    <x v="0"/>
    <n v="41"/>
    <n v="2"/>
    <n v="3"/>
    <x v="0"/>
    <x v="2"/>
    <s v="Married"/>
    <n v="10686"/>
    <n v="8392"/>
    <n v="6"/>
    <s v="Y"/>
    <s v="No"/>
    <n v="11"/>
    <n v="3"/>
    <n v="2"/>
    <n v="80"/>
    <n v="1"/>
    <n v="13"/>
    <n v="4"/>
    <n v="3"/>
    <x v="7"/>
    <n v="4"/>
    <n v="7"/>
    <n v="0"/>
    <x v="1"/>
    <x v="2"/>
  </r>
  <r>
    <n v="56"/>
    <x v="1"/>
    <s v="Travel_Frequently"/>
    <n v="1240"/>
    <x v="1"/>
    <x v="14"/>
    <n v="3"/>
    <s v="Medical"/>
    <n v="1"/>
    <n v="1071"/>
    <n v="1"/>
    <x v="0"/>
    <n v="63"/>
    <n v="3"/>
    <n v="1"/>
    <x v="1"/>
    <x v="2"/>
    <s v="Married"/>
    <n v="2942"/>
    <n v="12154"/>
    <n v="2"/>
    <s v="Y"/>
    <s v="No"/>
    <n v="19"/>
    <n v="3"/>
    <n v="2"/>
    <n v="80"/>
    <n v="1"/>
    <n v="18"/>
    <n v="4"/>
    <n v="3"/>
    <x v="8"/>
    <n v="4"/>
    <n v="0"/>
    <n v="3"/>
    <x v="3"/>
    <x v="1"/>
  </r>
  <r>
    <n v="36"/>
    <x v="1"/>
    <s v="Travel_Rarely"/>
    <n v="796"/>
    <x v="1"/>
    <x v="20"/>
    <n v="5"/>
    <s v="Medical"/>
    <n v="1"/>
    <n v="1073"/>
    <n v="4"/>
    <x v="0"/>
    <n v="51"/>
    <n v="2"/>
    <n v="3"/>
    <x v="3"/>
    <x v="0"/>
    <s v="Single"/>
    <n v="8858"/>
    <n v="15669"/>
    <n v="0"/>
    <s v="Y"/>
    <s v="No"/>
    <n v="11"/>
    <n v="3"/>
    <n v="2"/>
    <n v="80"/>
    <n v="0"/>
    <n v="15"/>
    <n v="2"/>
    <n v="2"/>
    <x v="13"/>
    <n v="8"/>
    <n v="7"/>
    <n v="8"/>
    <x v="0"/>
    <x v="4"/>
  </r>
  <r>
    <n v="55"/>
    <x v="1"/>
    <s v="Non-Travel"/>
    <n v="444"/>
    <x v="1"/>
    <x v="2"/>
    <n v="1"/>
    <s v="Medical"/>
    <n v="1"/>
    <n v="1074"/>
    <n v="3"/>
    <x v="1"/>
    <n v="40"/>
    <n v="2"/>
    <n v="4"/>
    <x v="5"/>
    <x v="3"/>
    <s v="Single"/>
    <n v="16756"/>
    <n v="17323"/>
    <n v="7"/>
    <s v="Y"/>
    <s v="No"/>
    <n v="15"/>
    <n v="3"/>
    <n v="2"/>
    <n v="80"/>
    <n v="0"/>
    <n v="31"/>
    <n v="3"/>
    <n v="4"/>
    <x v="7"/>
    <n v="7"/>
    <n v="6"/>
    <n v="2"/>
    <x v="3"/>
    <x v="3"/>
  </r>
  <r>
    <n v="43"/>
    <x v="1"/>
    <s v="Travel_Rarely"/>
    <n v="415"/>
    <x v="0"/>
    <x v="19"/>
    <n v="3"/>
    <s v="Medical"/>
    <n v="1"/>
    <n v="1076"/>
    <n v="3"/>
    <x v="1"/>
    <n v="79"/>
    <n v="2"/>
    <n v="3"/>
    <x v="0"/>
    <x v="0"/>
    <s v="Divorced"/>
    <n v="10798"/>
    <n v="5268"/>
    <n v="5"/>
    <s v="Y"/>
    <s v="No"/>
    <n v="13"/>
    <n v="3"/>
    <n v="3"/>
    <n v="80"/>
    <n v="1"/>
    <n v="18"/>
    <n v="5"/>
    <n v="3"/>
    <x v="6"/>
    <n v="0"/>
    <n v="0"/>
    <n v="0"/>
    <x v="0"/>
    <x v="2"/>
  </r>
  <r>
    <n v="20"/>
    <x v="0"/>
    <s v="Travel_Frequently"/>
    <n v="769"/>
    <x v="0"/>
    <x v="14"/>
    <n v="3"/>
    <s v="Marketing"/>
    <n v="1"/>
    <n v="1077"/>
    <n v="4"/>
    <x v="0"/>
    <n v="54"/>
    <n v="3"/>
    <n v="1"/>
    <x v="6"/>
    <x v="0"/>
    <s v="Single"/>
    <n v="2323"/>
    <n v="17205"/>
    <n v="1"/>
    <s v="Y"/>
    <s v="Yes"/>
    <n v="14"/>
    <n v="3"/>
    <n v="2"/>
    <n v="80"/>
    <n v="0"/>
    <n v="2"/>
    <n v="3"/>
    <n v="3"/>
    <x v="4"/>
    <n v="2"/>
    <n v="0"/>
    <n v="2"/>
    <x v="4"/>
    <x v="1"/>
  </r>
  <r>
    <n v="21"/>
    <x v="0"/>
    <s v="Travel_Rarely"/>
    <n v="1334"/>
    <x v="1"/>
    <x v="17"/>
    <n v="3"/>
    <s v="Life Sciences"/>
    <n v="1"/>
    <n v="1079"/>
    <n v="3"/>
    <x v="0"/>
    <n v="36"/>
    <n v="2"/>
    <n v="1"/>
    <x v="2"/>
    <x v="3"/>
    <s v="Single"/>
    <n v="1416"/>
    <n v="17258"/>
    <n v="1"/>
    <s v="Y"/>
    <s v="No"/>
    <n v="13"/>
    <n v="3"/>
    <n v="1"/>
    <n v="80"/>
    <n v="0"/>
    <n v="1"/>
    <n v="6"/>
    <n v="2"/>
    <x v="6"/>
    <n v="0"/>
    <n v="1"/>
    <n v="0"/>
    <x v="4"/>
    <x v="1"/>
  </r>
  <r>
    <n v="46"/>
    <x v="1"/>
    <s v="Travel_Rarely"/>
    <n v="1003"/>
    <x v="1"/>
    <x v="1"/>
    <n v="4"/>
    <s v="Life Sciences"/>
    <n v="1"/>
    <n v="1080"/>
    <n v="4"/>
    <x v="0"/>
    <n v="74"/>
    <n v="2"/>
    <n v="2"/>
    <x v="1"/>
    <x v="3"/>
    <s v="Divorced"/>
    <n v="4615"/>
    <n v="21029"/>
    <n v="8"/>
    <s v="Y"/>
    <s v="Yes"/>
    <n v="23"/>
    <n v="4"/>
    <n v="1"/>
    <n v="80"/>
    <n v="3"/>
    <n v="19"/>
    <n v="2"/>
    <n v="3"/>
    <x v="22"/>
    <n v="13"/>
    <n v="1"/>
    <n v="7"/>
    <x v="1"/>
    <x v="0"/>
  </r>
  <r>
    <n v="51"/>
    <x v="0"/>
    <s v="Travel_Rarely"/>
    <n v="1323"/>
    <x v="1"/>
    <x v="18"/>
    <n v="4"/>
    <s v="Life Sciences"/>
    <n v="1"/>
    <n v="1081"/>
    <n v="1"/>
    <x v="1"/>
    <n v="34"/>
    <n v="3"/>
    <n v="1"/>
    <x v="1"/>
    <x v="2"/>
    <s v="Married"/>
    <n v="2461"/>
    <n v="10332"/>
    <n v="9"/>
    <s v="Y"/>
    <s v="Yes"/>
    <n v="12"/>
    <n v="3"/>
    <n v="3"/>
    <n v="80"/>
    <n v="3"/>
    <n v="18"/>
    <n v="2"/>
    <n v="4"/>
    <x v="1"/>
    <n v="0"/>
    <n v="2"/>
    <n v="7"/>
    <x v="1"/>
    <x v="1"/>
  </r>
  <r>
    <n v="28"/>
    <x v="0"/>
    <s v="Non-Travel"/>
    <n v="1366"/>
    <x v="1"/>
    <x v="4"/>
    <n v="2"/>
    <s v="Technical Degree"/>
    <n v="1"/>
    <n v="1082"/>
    <n v="2"/>
    <x v="1"/>
    <n v="72"/>
    <n v="2"/>
    <n v="3"/>
    <x v="4"/>
    <x v="3"/>
    <s v="Single"/>
    <n v="8722"/>
    <n v="12355"/>
    <n v="1"/>
    <s v="Y"/>
    <s v="No"/>
    <n v="12"/>
    <n v="3"/>
    <n v="1"/>
    <n v="80"/>
    <n v="0"/>
    <n v="10"/>
    <n v="2"/>
    <n v="2"/>
    <x v="1"/>
    <n v="7"/>
    <n v="1"/>
    <n v="9"/>
    <x v="2"/>
    <x v="4"/>
  </r>
  <r>
    <n v="26"/>
    <x v="1"/>
    <s v="Travel_Rarely"/>
    <n v="192"/>
    <x v="1"/>
    <x v="0"/>
    <n v="2"/>
    <s v="Medical"/>
    <n v="1"/>
    <n v="1083"/>
    <n v="1"/>
    <x v="1"/>
    <n v="59"/>
    <n v="2"/>
    <n v="1"/>
    <x v="2"/>
    <x v="3"/>
    <s v="Married"/>
    <n v="3955"/>
    <n v="11141"/>
    <n v="1"/>
    <s v="Y"/>
    <s v="No"/>
    <n v="16"/>
    <n v="3"/>
    <n v="1"/>
    <n v="80"/>
    <n v="2"/>
    <n v="6"/>
    <n v="2"/>
    <n v="3"/>
    <x v="8"/>
    <n v="3"/>
    <n v="1"/>
    <n v="3"/>
    <x v="2"/>
    <x v="0"/>
  </r>
  <r>
    <n v="30"/>
    <x v="1"/>
    <s v="Travel_Rarely"/>
    <n v="1176"/>
    <x v="1"/>
    <x v="25"/>
    <n v="3"/>
    <s v="Other"/>
    <n v="1"/>
    <n v="1084"/>
    <n v="3"/>
    <x v="1"/>
    <n v="85"/>
    <n v="3"/>
    <n v="2"/>
    <x v="3"/>
    <x v="3"/>
    <s v="Married"/>
    <n v="9957"/>
    <n v="9096"/>
    <n v="0"/>
    <s v="Y"/>
    <s v="No"/>
    <n v="15"/>
    <n v="3"/>
    <n v="3"/>
    <n v="80"/>
    <n v="1"/>
    <n v="7"/>
    <n v="1"/>
    <n v="2"/>
    <x v="0"/>
    <n v="2"/>
    <n v="0"/>
    <n v="2"/>
    <x v="2"/>
    <x v="2"/>
  </r>
  <r>
    <n v="41"/>
    <x v="1"/>
    <s v="Travel_Rarely"/>
    <n v="509"/>
    <x v="1"/>
    <x v="15"/>
    <n v="2"/>
    <s v="Technical Degree"/>
    <n v="1"/>
    <n v="1085"/>
    <n v="2"/>
    <x v="0"/>
    <n v="43"/>
    <n v="4"/>
    <n v="1"/>
    <x v="1"/>
    <x v="2"/>
    <s v="Married"/>
    <n v="3376"/>
    <n v="18863"/>
    <n v="1"/>
    <s v="Y"/>
    <s v="No"/>
    <n v="13"/>
    <n v="3"/>
    <n v="3"/>
    <n v="80"/>
    <n v="0"/>
    <n v="10"/>
    <n v="3"/>
    <n v="3"/>
    <x v="1"/>
    <n v="6"/>
    <n v="0"/>
    <n v="8"/>
    <x v="0"/>
    <x v="0"/>
  </r>
  <r>
    <n v="38"/>
    <x v="1"/>
    <s v="Travel_Rarely"/>
    <n v="330"/>
    <x v="1"/>
    <x v="27"/>
    <n v="1"/>
    <s v="Life Sciences"/>
    <n v="1"/>
    <n v="1088"/>
    <n v="3"/>
    <x v="0"/>
    <n v="65"/>
    <n v="2"/>
    <n v="3"/>
    <x v="4"/>
    <x v="2"/>
    <s v="Married"/>
    <n v="8823"/>
    <n v="24608"/>
    <n v="0"/>
    <s v="Y"/>
    <s v="No"/>
    <n v="18"/>
    <n v="3"/>
    <n v="1"/>
    <n v="80"/>
    <n v="1"/>
    <n v="20"/>
    <n v="4"/>
    <n v="2"/>
    <x v="27"/>
    <n v="9"/>
    <n v="1"/>
    <n v="9"/>
    <x v="0"/>
    <x v="4"/>
  </r>
  <r>
    <n v="40"/>
    <x v="1"/>
    <s v="Travel_Rarely"/>
    <n v="1492"/>
    <x v="1"/>
    <x v="25"/>
    <n v="4"/>
    <s v="Technical Degree"/>
    <n v="1"/>
    <n v="1092"/>
    <n v="1"/>
    <x v="1"/>
    <n v="61"/>
    <n v="3"/>
    <n v="3"/>
    <x v="4"/>
    <x v="0"/>
    <s v="Married"/>
    <n v="10322"/>
    <n v="26542"/>
    <n v="4"/>
    <s v="Y"/>
    <s v="No"/>
    <n v="20"/>
    <n v="4"/>
    <n v="4"/>
    <n v="80"/>
    <n v="1"/>
    <n v="14"/>
    <n v="6"/>
    <n v="3"/>
    <x v="19"/>
    <n v="10"/>
    <n v="11"/>
    <n v="1"/>
    <x v="0"/>
    <x v="2"/>
  </r>
  <r>
    <n v="27"/>
    <x v="1"/>
    <s v="Non-Travel"/>
    <n v="1277"/>
    <x v="1"/>
    <x v="1"/>
    <n v="5"/>
    <s v="Life Sciences"/>
    <n v="1"/>
    <n v="1094"/>
    <n v="1"/>
    <x v="1"/>
    <n v="87"/>
    <n v="1"/>
    <n v="1"/>
    <x v="2"/>
    <x v="2"/>
    <s v="Married"/>
    <n v="4621"/>
    <n v="5869"/>
    <n v="1"/>
    <s v="Y"/>
    <s v="No"/>
    <n v="19"/>
    <n v="3"/>
    <n v="4"/>
    <n v="80"/>
    <n v="3"/>
    <n v="3"/>
    <n v="4"/>
    <n v="3"/>
    <x v="11"/>
    <n v="2"/>
    <n v="1"/>
    <n v="2"/>
    <x v="2"/>
    <x v="0"/>
  </r>
  <r>
    <n v="55"/>
    <x v="1"/>
    <s v="Travel_Frequently"/>
    <n v="1091"/>
    <x v="1"/>
    <x v="2"/>
    <n v="1"/>
    <s v="Life Sciences"/>
    <n v="1"/>
    <n v="1096"/>
    <n v="4"/>
    <x v="1"/>
    <n v="65"/>
    <n v="3"/>
    <n v="3"/>
    <x v="3"/>
    <x v="1"/>
    <s v="Married"/>
    <n v="10976"/>
    <n v="15813"/>
    <n v="3"/>
    <s v="Y"/>
    <s v="No"/>
    <n v="18"/>
    <n v="3"/>
    <n v="2"/>
    <n v="80"/>
    <n v="1"/>
    <n v="23"/>
    <n v="4"/>
    <n v="3"/>
    <x v="11"/>
    <n v="2"/>
    <n v="1"/>
    <n v="2"/>
    <x v="3"/>
    <x v="2"/>
  </r>
  <r>
    <n v="28"/>
    <x v="1"/>
    <s v="Travel_Rarely"/>
    <n v="857"/>
    <x v="1"/>
    <x v="17"/>
    <n v="3"/>
    <s v="Other"/>
    <n v="1"/>
    <n v="1097"/>
    <n v="3"/>
    <x v="0"/>
    <n v="59"/>
    <n v="3"/>
    <n v="2"/>
    <x v="1"/>
    <x v="2"/>
    <s v="Single"/>
    <n v="3660"/>
    <n v="7909"/>
    <n v="3"/>
    <s v="Y"/>
    <s v="No"/>
    <n v="13"/>
    <n v="3"/>
    <n v="4"/>
    <n v="80"/>
    <n v="0"/>
    <n v="10"/>
    <n v="4"/>
    <n v="4"/>
    <x v="3"/>
    <n v="7"/>
    <n v="1"/>
    <n v="7"/>
    <x v="2"/>
    <x v="0"/>
  </r>
  <r>
    <n v="44"/>
    <x v="0"/>
    <s v="Travel_Rarely"/>
    <n v="1376"/>
    <x v="2"/>
    <x v="0"/>
    <n v="2"/>
    <s v="Medical"/>
    <n v="1"/>
    <n v="1098"/>
    <n v="2"/>
    <x v="1"/>
    <n v="91"/>
    <n v="2"/>
    <n v="3"/>
    <x v="8"/>
    <x v="3"/>
    <s v="Married"/>
    <n v="10482"/>
    <n v="2326"/>
    <n v="9"/>
    <s v="Y"/>
    <s v="No"/>
    <n v="14"/>
    <n v="3"/>
    <n v="4"/>
    <n v="80"/>
    <n v="1"/>
    <n v="24"/>
    <n v="1"/>
    <n v="3"/>
    <x v="23"/>
    <n v="6"/>
    <n v="3"/>
    <n v="6"/>
    <x v="0"/>
    <x v="2"/>
  </r>
  <r>
    <n v="33"/>
    <x v="1"/>
    <s v="Travel_Rarely"/>
    <n v="654"/>
    <x v="1"/>
    <x v="12"/>
    <n v="3"/>
    <s v="Life Sciences"/>
    <n v="1"/>
    <n v="1099"/>
    <n v="4"/>
    <x v="1"/>
    <n v="34"/>
    <n v="2"/>
    <n v="3"/>
    <x v="4"/>
    <x v="0"/>
    <s v="Divorced"/>
    <n v="7119"/>
    <n v="21214"/>
    <n v="4"/>
    <s v="Y"/>
    <s v="No"/>
    <n v="15"/>
    <n v="3"/>
    <n v="3"/>
    <n v="80"/>
    <n v="1"/>
    <n v="9"/>
    <n v="2"/>
    <n v="3"/>
    <x v="11"/>
    <n v="2"/>
    <n v="1"/>
    <n v="2"/>
    <x v="2"/>
    <x v="4"/>
  </r>
  <r>
    <n v="35"/>
    <x v="0"/>
    <s v="Travel_Rarely"/>
    <n v="1204"/>
    <x v="0"/>
    <x v="18"/>
    <n v="3"/>
    <s v="Technical Degree"/>
    <n v="1"/>
    <n v="1100"/>
    <n v="4"/>
    <x v="1"/>
    <n v="86"/>
    <n v="3"/>
    <n v="3"/>
    <x v="0"/>
    <x v="3"/>
    <s v="Single"/>
    <n v="9582"/>
    <n v="10333"/>
    <n v="0"/>
    <s v="Y"/>
    <s v="Yes"/>
    <n v="22"/>
    <n v="4"/>
    <n v="1"/>
    <n v="80"/>
    <n v="0"/>
    <n v="9"/>
    <n v="2"/>
    <n v="3"/>
    <x v="3"/>
    <n v="7"/>
    <n v="4"/>
    <n v="7"/>
    <x v="0"/>
    <x v="2"/>
  </r>
  <r>
    <n v="33"/>
    <x v="0"/>
    <s v="Travel_Frequently"/>
    <n v="827"/>
    <x v="1"/>
    <x v="22"/>
    <n v="4"/>
    <s v="Medical"/>
    <n v="1"/>
    <n v="1101"/>
    <n v="1"/>
    <x v="0"/>
    <n v="54"/>
    <n v="2"/>
    <n v="2"/>
    <x v="1"/>
    <x v="2"/>
    <s v="Single"/>
    <n v="4508"/>
    <n v="3129"/>
    <n v="1"/>
    <s v="Y"/>
    <s v="No"/>
    <n v="22"/>
    <n v="4"/>
    <n v="2"/>
    <n v="80"/>
    <n v="0"/>
    <n v="14"/>
    <n v="4"/>
    <n v="3"/>
    <x v="20"/>
    <n v="7"/>
    <n v="3"/>
    <n v="8"/>
    <x v="2"/>
    <x v="0"/>
  </r>
  <r>
    <n v="28"/>
    <x v="1"/>
    <s v="Travel_Rarely"/>
    <n v="895"/>
    <x v="1"/>
    <x v="8"/>
    <n v="2"/>
    <s v="Life Sciences"/>
    <n v="1"/>
    <n v="1102"/>
    <n v="1"/>
    <x v="1"/>
    <n v="50"/>
    <n v="3"/>
    <n v="1"/>
    <x v="2"/>
    <x v="2"/>
    <s v="Divorced"/>
    <n v="2207"/>
    <n v="22482"/>
    <n v="1"/>
    <s v="Y"/>
    <s v="No"/>
    <n v="16"/>
    <n v="3"/>
    <n v="4"/>
    <n v="80"/>
    <n v="1"/>
    <n v="4"/>
    <n v="5"/>
    <n v="2"/>
    <x v="9"/>
    <n v="2"/>
    <n v="2"/>
    <n v="2"/>
    <x v="2"/>
    <x v="1"/>
  </r>
  <r>
    <n v="34"/>
    <x v="1"/>
    <s v="Travel_Frequently"/>
    <n v="618"/>
    <x v="1"/>
    <x v="3"/>
    <n v="1"/>
    <s v="Life Sciences"/>
    <n v="1"/>
    <n v="1103"/>
    <n v="1"/>
    <x v="1"/>
    <n v="45"/>
    <n v="3"/>
    <n v="2"/>
    <x v="4"/>
    <x v="0"/>
    <s v="Single"/>
    <n v="7756"/>
    <n v="22266"/>
    <n v="0"/>
    <s v="Y"/>
    <s v="No"/>
    <n v="17"/>
    <n v="3"/>
    <n v="3"/>
    <n v="80"/>
    <n v="0"/>
    <n v="7"/>
    <n v="1"/>
    <n v="2"/>
    <x v="0"/>
    <n v="2"/>
    <n v="0"/>
    <n v="4"/>
    <x v="2"/>
    <x v="4"/>
  </r>
  <r>
    <n v="37"/>
    <x v="1"/>
    <s v="Travel_Rarely"/>
    <n v="309"/>
    <x v="0"/>
    <x v="17"/>
    <n v="4"/>
    <s v="Life Sciences"/>
    <n v="1"/>
    <n v="1105"/>
    <n v="4"/>
    <x v="0"/>
    <n v="88"/>
    <n v="2"/>
    <n v="2"/>
    <x v="0"/>
    <x v="0"/>
    <s v="Divorced"/>
    <n v="6694"/>
    <n v="24223"/>
    <n v="2"/>
    <s v="Y"/>
    <s v="Yes"/>
    <n v="14"/>
    <n v="3"/>
    <n v="3"/>
    <n v="80"/>
    <n v="3"/>
    <n v="8"/>
    <n v="5"/>
    <n v="3"/>
    <x v="6"/>
    <n v="0"/>
    <n v="0"/>
    <n v="0"/>
    <x v="0"/>
    <x v="4"/>
  </r>
  <r>
    <n v="25"/>
    <x v="0"/>
    <s v="Travel_Rarely"/>
    <n v="1219"/>
    <x v="1"/>
    <x v="18"/>
    <n v="1"/>
    <s v="Technical Degree"/>
    <n v="1"/>
    <n v="1106"/>
    <n v="4"/>
    <x v="1"/>
    <n v="32"/>
    <n v="3"/>
    <n v="1"/>
    <x v="2"/>
    <x v="0"/>
    <s v="Married"/>
    <n v="3691"/>
    <n v="4605"/>
    <n v="1"/>
    <s v="Y"/>
    <s v="Yes"/>
    <n v="15"/>
    <n v="3"/>
    <n v="2"/>
    <n v="80"/>
    <n v="1"/>
    <n v="7"/>
    <n v="3"/>
    <n v="4"/>
    <x v="5"/>
    <n v="7"/>
    <n v="5"/>
    <n v="6"/>
    <x v="2"/>
    <x v="0"/>
  </r>
  <r>
    <n v="26"/>
    <x v="0"/>
    <s v="Travel_Rarely"/>
    <n v="1330"/>
    <x v="1"/>
    <x v="11"/>
    <n v="3"/>
    <s v="Medical"/>
    <n v="1"/>
    <n v="1107"/>
    <n v="1"/>
    <x v="1"/>
    <n v="37"/>
    <n v="3"/>
    <n v="1"/>
    <x v="2"/>
    <x v="2"/>
    <s v="Divorced"/>
    <n v="2377"/>
    <n v="19373"/>
    <n v="1"/>
    <s v="Y"/>
    <s v="No"/>
    <n v="20"/>
    <n v="4"/>
    <n v="3"/>
    <n v="80"/>
    <n v="1"/>
    <n v="1"/>
    <n v="0"/>
    <n v="2"/>
    <x v="6"/>
    <n v="1"/>
    <n v="0"/>
    <n v="0"/>
    <x v="2"/>
    <x v="1"/>
  </r>
  <r>
    <n v="33"/>
    <x v="0"/>
    <s v="Travel_Rarely"/>
    <n v="1017"/>
    <x v="1"/>
    <x v="19"/>
    <n v="3"/>
    <s v="Medical"/>
    <n v="1"/>
    <n v="1108"/>
    <n v="1"/>
    <x v="1"/>
    <n v="55"/>
    <n v="2"/>
    <n v="1"/>
    <x v="1"/>
    <x v="1"/>
    <s v="Single"/>
    <n v="2313"/>
    <n v="2993"/>
    <n v="4"/>
    <s v="Y"/>
    <s v="Yes"/>
    <n v="20"/>
    <n v="4"/>
    <n v="2"/>
    <n v="80"/>
    <n v="0"/>
    <n v="5"/>
    <n v="0"/>
    <n v="3"/>
    <x v="4"/>
    <n v="2"/>
    <n v="2"/>
    <n v="2"/>
    <x v="2"/>
    <x v="1"/>
  </r>
  <r>
    <n v="42"/>
    <x v="1"/>
    <s v="Travel_Rarely"/>
    <n v="469"/>
    <x v="1"/>
    <x v="2"/>
    <n v="2"/>
    <s v="Medical"/>
    <n v="1"/>
    <n v="1109"/>
    <n v="4"/>
    <x v="1"/>
    <n v="35"/>
    <n v="3"/>
    <n v="4"/>
    <x v="5"/>
    <x v="3"/>
    <s v="Married"/>
    <n v="17665"/>
    <n v="14399"/>
    <n v="0"/>
    <s v="Y"/>
    <s v="No"/>
    <n v="17"/>
    <n v="3"/>
    <n v="4"/>
    <n v="80"/>
    <n v="1"/>
    <n v="23"/>
    <n v="3"/>
    <n v="3"/>
    <x v="14"/>
    <n v="6"/>
    <n v="13"/>
    <n v="7"/>
    <x v="0"/>
    <x v="3"/>
  </r>
  <r>
    <n v="28"/>
    <x v="0"/>
    <s v="Travel_Frequently"/>
    <n v="1009"/>
    <x v="1"/>
    <x v="0"/>
    <n v="3"/>
    <s v="Medical"/>
    <n v="1"/>
    <n v="1111"/>
    <n v="1"/>
    <x v="1"/>
    <n v="45"/>
    <n v="2"/>
    <n v="1"/>
    <x v="2"/>
    <x v="1"/>
    <s v="Divorced"/>
    <n v="2596"/>
    <n v="7160"/>
    <n v="1"/>
    <s v="Y"/>
    <s v="No"/>
    <n v="15"/>
    <n v="3"/>
    <n v="1"/>
    <n v="80"/>
    <n v="2"/>
    <n v="1"/>
    <n v="2"/>
    <n v="3"/>
    <x v="6"/>
    <n v="0"/>
    <n v="0"/>
    <n v="0"/>
    <x v="2"/>
    <x v="1"/>
  </r>
  <r>
    <n v="50"/>
    <x v="0"/>
    <s v="Travel_Frequently"/>
    <n v="959"/>
    <x v="0"/>
    <x v="0"/>
    <n v="4"/>
    <s v="Other"/>
    <n v="1"/>
    <n v="1113"/>
    <n v="4"/>
    <x v="1"/>
    <n v="81"/>
    <n v="3"/>
    <n v="2"/>
    <x v="0"/>
    <x v="2"/>
    <s v="Single"/>
    <n v="4728"/>
    <n v="17251"/>
    <n v="3"/>
    <s v="Y"/>
    <s v="Yes"/>
    <n v="14"/>
    <n v="3"/>
    <n v="4"/>
    <n v="80"/>
    <n v="0"/>
    <n v="5"/>
    <n v="4"/>
    <n v="3"/>
    <x v="2"/>
    <n v="0"/>
    <n v="0"/>
    <n v="0"/>
    <x v="1"/>
    <x v="0"/>
  </r>
  <r>
    <n v="33"/>
    <x v="1"/>
    <s v="Travel_Frequently"/>
    <n v="970"/>
    <x v="0"/>
    <x v="15"/>
    <n v="3"/>
    <s v="Life Sciences"/>
    <n v="1"/>
    <n v="1114"/>
    <n v="4"/>
    <x v="0"/>
    <n v="30"/>
    <n v="3"/>
    <n v="2"/>
    <x v="0"/>
    <x v="1"/>
    <s v="Married"/>
    <n v="4302"/>
    <n v="13401"/>
    <n v="0"/>
    <s v="Y"/>
    <s v="No"/>
    <n v="17"/>
    <n v="3"/>
    <n v="3"/>
    <n v="80"/>
    <n v="1"/>
    <n v="4"/>
    <n v="3"/>
    <n v="3"/>
    <x v="11"/>
    <n v="2"/>
    <n v="0"/>
    <n v="2"/>
    <x v="2"/>
    <x v="0"/>
  </r>
  <r>
    <n v="34"/>
    <x v="1"/>
    <s v="Non-Travel"/>
    <n v="697"/>
    <x v="1"/>
    <x v="3"/>
    <n v="4"/>
    <s v="Life Sciences"/>
    <n v="1"/>
    <n v="1115"/>
    <n v="3"/>
    <x v="1"/>
    <n v="40"/>
    <n v="2"/>
    <n v="1"/>
    <x v="1"/>
    <x v="0"/>
    <s v="Married"/>
    <n v="2979"/>
    <n v="22478"/>
    <n v="3"/>
    <s v="Y"/>
    <s v="No"/>
    <n v="17"/>
    <n v="3"/>
    <n v="4"/>
    <n v="80"/>
    <n v="3"/>
    <n v="6"/>
    <n v="2"/>
    <n v="3"/>
    <x v="2"/>
    <n v="0"/>
    <n v="0"/>
    <n v="0"/>
    <x v="2"/>
    <x v="1"/>
  </r>
  <r>
    <n v="48"/>
    <x v="1"/>
    <s v="Non-Travel"/>
    <n v="1262"/>
    <x v="1"/>
    <x v="0"/>
    <n v="4"/>
    <s v="Medical"/>
    <n v="1"/>
    <n v="1116"/>
    <n v="1"/>
    <x v="1"/>
    <n v="35"/>
    <n v="4"/>
    <n v="4"/>
    <x v="5"/>
    <x v="0"/>
    <s v="Single"/>
    <n v="16885"/>
    <n v="16154"/>
    <n v="2"/>
    <s v="Y"/>
    <s v="No"/>
    <n v="22"/>
    <n v="4"/>
    <n v="3"/>
    <n v="80"/>
    <n v="0"/>
    <n v="27"/>
    <n v="3"/>
    <n v="2"/>
    <x v="8"/>
    <n v="4"/>
    <n v="2"/>
    <n v="1"/>
    <x v="1"/>
    <x v="3"/>
  </r>
  <r>
    <n v="45"/>
    <x v="1"/>
    <s v="Non-Travel"/>
    <n v="1050"/>
    <x v="0"/>
    <x v="14"/>
    <n v="4"/>
    <s v="Life Sciences"/>
    <n v="1"/>
    <n v="1117"/>
    <n v="2"/>
    <x v="0"/>
    <n v="65"/>
    <n v="2"/>
    <n v="2"/>
    <x v="0"/>
    <x v="2"/>
    <s v="Married"/>
    <n v="5593"/>
    <n v="17970"/>
    <n v="1"/>
    <s v="Y"/>
    <s v="No"/>
    <n v="13"/>
    <n v="3"/>
    <n v="4"/>
    <n v="80"/>
    <n v="1"/>
    <n v="15"/>
    <n v="2"/>
    <n v="3"/>
    <x v="15"/>
    <n v="10"/>
    <n v="4"/>
    <n v="12"/>
    <x v="1"/>
    <x v="0"/>
  </r>
  <r>
    <n v="52"/>
    <x v="1"/>
    <s v="Travel_Rarely"/>
    <n v="994"/>
    <x v="1"/>
    <x v="15"/>
    <n v="4"/>
    <s v="Life Sciences"/>
    <n v="1"/>
    <n v="1118"/>
    <n v="2"/>
    <x v="1"/>
    <n v="87"/>
    <n v="3"/>
    <n v="3"/>
    <x v="4"/>
    <x v="1"/>
    <s v="Single"/>
    <n v="10445"/>
    <n v="15322"/>
    <n v="7"/>
    <s v="Y"/>
    <s v="No"/>
    <n v="19"/>
    <n v="3"/>
    <n v="4"/>
    <n v="80"/>
    <n v="0"/>
    <n v="18"/>
    <n v="4"/>
    <n v="3"/>
    <x v="3"/>
    <n v="6"/>
    <n v="4"/>
    <n v="0"/>
    <x v="1"/>
    <x v="2"/>
  </r>
  <r>
    <n v="38"/>
    <x v="1"/>
    <s v="Travel_Rarely"/>
    <n v="770"/>
    <x v="0"/>
    <x v="17"/>
    <n v="4"/>
    <s v="Marketing"/>
    <n v="1"/>
    <n v="1119"/>
    <n v="3"/>
    <x v="1"/>
    <n v="73"/>
    <n v="2"/>
    <n v="3"/>
    <x v="0"/>
    <x v="2"/>
    <s v="Divorced"/>
    <n v="8740"/>
    <n v="5569"/>
    <n v="0"/>
    <s v="Y"/>
    <s v="Yes"/>
    <n v="14"/>
    <n v="3"/>
    <n v="2"/>
    <n v="80"/>
    <n v="2"/>
    <n v="9"/>
    <n v="2"/>
    <n v="3"/>
    <x v="3"/>
    <n v="7"/>
    <n v="2"/>
    <n v="7"/>
    <x v="0"/>
    <x v="4"/>
  </r>
  <r>
    <n v="29"/>
    <x v="1"/>
    <s v="Travel_Rarely"/>
    <n v="1107"/>
    <x v="1"/>
    <x v="26"/>
    <n v="4"/>
    <s v="Life Sciences"/>
    <n v="1"/>
    <n v="1120"/>
    <n v="3"/>
    <x v="0"/>
    <n v="93"/>
    <n v="3"/>
    <n v="1"/>
    <x v="1"/>
    <x v="0"/>
    <s v="Divorced"/>
    <n v="2514"/>
    <n v="26968"/>
    <n v="4"/>
    <s v="Y"/>
    <s v="No"/>
    <n v="22"/>
    <n v="4"/>
    <n v="1"/>
    <n v="80"/>
    <n v="1"/>
    <n v="11"/>
    <n v="1"/>
    <n v="3"/>
    <x v="5"/>
    <n v="5"/>
    <n v="1"/>
    <n v="7"/>
    <x v="2"/>
    <x v="1"/>
  </r>
  <r>
    <n v="28"/>
    <x v="1"/>
    <s v="Travel_Rarely"/>
    <n v="950"/>
    <x v="1"/>
    <x v="3"/>
    <n v="3"/>
    <s v="Medical"/>
    <n v="1"/>
    <n v="1121"/>
    <n v="4"/>
    <x v="0"/>
    <n v="93"/>
    <n v="3"/>
    <n v="3"/>
    <x v="3"/>
    <x v="1"/>
    <s v="Divorced"/>
    <n v="7655"/>
    <n v="8039"/>
    <n v="0"/>
    <s v="Y"/>
    <s v="No"/>
    <n v="17"/>
    <n v="3"/>
    <n v="2"/>
    <n v="80"/>
    <n v="3"/>
    <n v="10"/>
    <n v="3"/>
    <n v="2"/>
    <x v="7"/>
    <n v="7"/>
    <n v="1"/>
    <n v="7"/>
    <x v="2"/>
    <x v="4"/>
  </r>
  <r>
    <n v="46"/>
    <x v="1"/>
    <s v="Travel_Rarely"/>
    <n v="406"/>
    <x v="0"/>
    <x v="3"/>
    <n v="1"/>
    <s v="Marketing"/>
    <n v="1"/>
    <n v="1124"/>
    <n v="1"/>
    <x v="1"/>
    <n v="52"/>
    <n v="3"/>
    <n v="4"/>
    <x v="5"/>
    <x v="2"/>
    <s v="Married"/>
    <n v="17465"/>
    <n v="15596"/>
    <n v="3"/>
    <s v="Y"/>
    <s v="No"/>
    <n v="12"/>
    <n v="3"/>
    <n v="4"/>
    <n v="80"/>
    <n v="1"/>
    <n v="23"/>
    <n v="3"/>
    <n v="3"/>
    <x v="12"/>
    <n v="9"/>
    <n v="4"/>
    <n v="9"/>
    <x v="1"/>
    <x v="3"/>
  </r>
  <r>
    <n v="38"/>
    <x v="1"/>
    <s v="Travel_Rarely"/>
    <n v="130"/>
    <x v="0"/>
    <x v="2"/>
    <n v="2"/>
    <s v="Marketing"/>
    <n v="1"/>
    <n v="1125"/>
    <n v="4"/>
    <x v="1"/>
    <n v="32"/>
    <n v="3"/>
    <n v="3"/>
    <x v="0"/>
    <x v="1"/>
    <s v="Single"/>
    <n v="7351"/>
    <n v="20619"/>
    <n v="7"/>
    <s v="Y"/>
    <s v="No"/>
    <n v="16"/>
    <n v="3"/>
    <n v="3"/>
    <n v="80"/>
    <n v="0"/>
    <n v="10"/>
    <n v="2"/>
    <n v="3"/>
    <x v="6"/>
    <n v="0"/>
    <n v="0"/>
    <n v="0"/>
    <x v="0"/>
    <x v="4"/>
  </r>
  <r>
    <n v="43"/>
    <x v="1"/>
    <s v="Travel_Frequently"/>
    <n v="1082"/>
    <x v="1"/>
    <x v="6"/>
    <n v="3"/>
    <s v="Life Sciences"/>
    <n v="1"/>
    <n v="1126"/>
    <n v="3"/>
    <x v="0"/>
    <n v="83"/>
    <n v="3"/>
    <n v="3"/>
    <x v="3"/>
    <x v="3"/>
    <s v="Married"/>
    <n v="10820"/>
    <n v="11535"/>
    <n v="8"/>
    <s v="Y"/>
    <s v="No"/>
    <n v="11"/>
    <n v="3"/>
    <n v="3"/>
    <n v="80"/>
    <n v="1"/>
    <n v="18"/>
    <n v="1"/>
    <n v="3"/>
    <x v="3"/>
    <n v="7"/>
    <n v="0"/>
    <n v="1"/>
    <x v="0"/>
    <x v="2"/>
  </r>
  <r>
    <n v="39"/>
    <x v="0"/>
    <s v="Travel_Frequently"/>
    <n v="203"/>
    <x v="1"/>
    <x v="2"/>
    <n v="3"/>
    <s v="Life Sciences"/>
    <n v="1"/>
    <n v="1127"/>
    <n v="1"/>
    <x v="1"/>
    <n v="84"/>
    <n v="3"/>
    <n v="4"/>
    <x v="4"/>
    <x v="0"/>
    <s v="Divorced"/>
    <n v="12169"/>
    <n v="13547"/>
    <n v="7"/>
    <s v="Y"/>
    <s v="No"/>
    <n v="11"/>
    <n v="3"/>
    <n v="4"/>
    <n v="80"/>
    <n v="3"/>
    <n v="21"/>
    <n v="4"/>
    <n v="3"/>
    <x v="29"/>
    <n v="7"/>
    <n v="11"/>
    <n v="5"/>
    <x v="0"/>
    <x v="3"/>
  </r>
  <r>
    <n v="40"/>
    <x v="1"/>
    <s v="Travel_Rarely"/>
    <n v="1308"/>
    <x v="1"/>
    <x v="24"/>
    <n v="3"/>
    <s v="Medical"/>
    <n v="1"/>
    <n v="1128"/>
    <n v="3"/>
    <x v="1"/>
    <n v="44"/>
    <n v="2"/>
    <n v="5"/>
    <x v="7"/>
    <x v="2"/>
    <s v="Single"/>
    <n v="19626"/>
    <n v="17544"/>
    <n v="1"/>
    <s v="Y"/>
    <s v="No"/>
    <n v="14"/>
    <n v="3"/>
    <n v="1"/>
    <n v="80"/>
    <n v="0"/>
    <n v="21"/>
    <n v="2"/>
    <n v="4"/>
    <x v="23"/>
    <n v="7"/>
    <n v="4"/>
    <n v="9"/>
    <x v="0"/>
    <x v="3"/>
  </r>
  <r>
    <n v="21"/>
    <x v="1"/>
    <s v="Travel_Rarely"/>
    <n v="984"/>
    <x v="1"/>
    <x v="0"/>
    <n v="1"/>
    <s v="Technical Degree"/>
    <n v="1"/>
    <n v="1131"/>
    <n v="4"/>
    <x v="0"/>
    <n v="70"/>
    <n v="2"/>
    <n v="1"/>
    <x v="1"/>
    <x v="1"/>
    <s v="Single"/>
    <n v="2070"/>
    <n v="25326"/>
    <n v="1"/>
    <s v="Y"/>
    <s v="Yes"/>
    <n v="11"/>
    <n v="3"/>
    <n v="3"/>
    <n v="80"/>
    <n v="0"/>
    <n v="2"/>
    <n v="6"/>
    <n v="4"/>
    <x v="4"/>
    <n v="2"/>
    <n v="2"/>
    <n v="2"/>
    <x v="4"/>
    <x v="1"/>
  </r>
  <r>
    <n v="39"/>
    <x v="1"/>
    <s v="Non-Travel"/>
    <n v="439"/>
    <x v="1"/>
    <x v="14"/>
    <n v="3"/>
    <s v="Life Sciences"/>
    <n v="1"/>
    <n v="1132"/>
    <n v="3"/>
    <x v="1"/>
    <n v="70"/>
    <n v="3"/>
    <n v="2"/>
    <x v="2"/>
    <x v="1"/>
    <s v="Single"/>
    <n v="6782"/>
    <n v="8770"/>
    <n v="9"/>
    <s v="Y"/>
    <s v="No"/>
    <n v="15"/>
    <n v="3"/>
    <n v="3"/>
    <n v="80"/>
    <n v="0"/>
    <n v="9"/>
    <n v="2"/>
    <n v="2"/>
    <x v="8"/>
    <n v="4"/>
    <n v="0"/>
    <n v="3"/>
    <x v="0"/>
    <x v="4"/>
  </r>
  <r>
    <n v="36"/>
    <x v="1"/>
    <s v="Non-Travel"/>
    <n v="217"/>
    <x v="1"/>
    <x v="21"/>
    <n v="4"/>
    <s v="Life Sciences"/>
    <n v="1"/>
    <n v="1133"/>
    <n v="1"/>
    <x v="1"/>
    <n v="78"/>
    <n v="3"/>
    <n v="2"/>
    <x v="3"/>
    <x v="0"/>
    <s v="Single"/>
    <n v="7779"/>
    <n v="23238"/>
    <n v="2"/>
    <s v="Y"/>
    <s v="No"/>
    <n v="20"/>
    <n v="4"/>
    <n v="1"/>
    <n v="80"/>
    <n v="0"/>
    <n v="18"/>
    <n v="0"/>
    <n v="3"/>
    <x v="19"/>
    <n v="9"/>
    <n v="0"/>
    <n v="9"/>
    <x v="0"/>
    <x v="4"/>
  </r>
  <r>
    <n v="31"/>
    <x v="1"/>
    <s v="Travel_Frequently"/>
    <n v="793"/>
    <x v="0"/>
    <x v="25"/>
    <n v="3"/>
    <s v="Life Sciences"/>
    <n v="1"/>
    <n v="1135"/>
    <n v="3"/>
    <x v="1"/>
    <n v="67"/>
    <n v="4"/>
    <n v="1"/>
    <x v="6"/>
    <x v="0"/>
    <s v="Married"/>
    <n v="2791"/>
    <n v="21981"/>
    <n v="0"/>
    <s v="Y"/>
    <s v="No"/>
    <n v="12"/>
    <n v="3"/>
    <n v="1"/>
    <n v="80"/>
    <n v="1"/>
    <n v="3"/>
    <n v="4"/>
    <n v="3"/>
    <x v="4"/>
    <n v="2"/>
    <n v="2"/>
    <n v="2"/>
    <x v="2"/>
    <x v="1"/>
  </r>
  <r>
    <n v="28"/>
    <x v="1"/>
    <s v="Travel_Rarely"/>
    <n v="1451"/>
    <x v="1"/>
    <x v="2"/>
    <n v="1"/>
    <s v="Life Sciences"/>
    <n v="1"/>
    <n v="1136"/>
    <n v="1"/>
    <x v="1"/>
    <n v="67"/>
    <n v="2"/>
    <n v="1"/>
    <x v="1"/>
    <x v="1"/>
    <s v="Married"/>
    <n v="3201"/>
    <n v="19911"/>
    <n v="0"/>
    <s v="Y"/>
    <s v="No"/>
    <n v="17"/>
    <n v="3"/>
    <n v="1"/>
    <n v="80"/>
    <n v="0"/>
    <n v="6"/>
    <n v="2"/>
    <n v="1"/>
    <x v="8"/>
    <n v="3"/>
    <n v="0"/>
    <n v="4"/>
    <x v="2"/>
    <x v="0"/>
  </r>
  <r>
    <n v="35"/>
    <x v="1"/>
    <s v="Travel_Frequently"/>
    <n v="1182"/>
    <x v="0"/>
    <x v="13"/>
    <n v="2"/>
    <s v="Marketing"/>
    <n v="1"/>
    <n v="1137"/>
    <n v="4"/>
    <x v="1"/>
    <n v="54"/>
    <n v="3"/>
    <n v="2"/>
    <x v="0"/>
    <x v="0"/>
    <s v="Divorced"/>
    <n v="4968"/>
    <n v="18500"/>
    <n v="1"/>
    <s v="Y"/>
    <s v="No"/>
    <n v="11"/>
    <n v="3"/>
    <n v="4"/>
    <n v="80"/>
    <n v="1"/>
    <n v="5"/>
    <n v="3"/>
    <n v="3"/>
    <x v="8"/>
    <n v="2"/>
    <n v="0"/>
    <n v="2"/>
    <x v="0"/>
    <x v="0"/>
  </r>
  <r>
    <n v="49"/>
    <x v="1"/>
    <s v="Travel_Rarely"/>
    <n v="174"/>
    <x v="0"/>
    <x v="1"/>
    <n v="4"/>
    <s v="Technical Degree"/>
    <n v="1"/>
    <n v="1138"/>
    <n v="4"/>
    <x v="1"/>
    <n v="56"/>
    <n v="2"/>
    <n v="4"/>
    <x v="0"/>
    <x v="1"/>
    <s v="Married"/>
    <n v="13120"/>
    <n v="11879"/>
    <n v="6"/>
    <s v="Y"/>
    <s v="No"/>
    <n v="17"/>
    <n v="3"/>
    <n v="2"/>
    <n v="80"/>
    <n v="1"/>
    <n v="22"/>
    <n v="3"/>
    <n v="3"/>
    <x v="7"/>
    <n v="8"/>
    <n v="2"/>
    <n v="3"/>
    <x v="1"/>
    <x v="3"/>
  </r>
  <r>
    <n v="34"/>
    <x v="1"/>
    <s v="Travel_Frequently"/>
    <n v="1003"/>
    <x v="1"/>
    <x v="2"/>
    <n v="2"/>
    <s v="Life Sciences"/>
    <n v="1"/>
    <n v="1140"/>
    <n v="4"/>
    <x v="1"/>
    <n v="95"/>
    <n v="3"/>
    <n v="2"/>
    <x v="3"/>
    <x v="2"/>
    <s v="Single"/>
    <n v="4033"/>
    <n v="15834"/>
    <n v="2"/>
    <s v="Y"/>
    <s v="No"/>
    <n v="11"/>
    <n v="3"/>
    <n v="4"/>
    <n v="80"/>
    <n v="0"/>
    <n v="5"/>
    <n v="3"/>
    <n v="2"/>
    <x v="11"/>
    <n v="2"/>
    <n v="0"/>
    <n v="2"/>
    <x v="2"/>
    <x v="0"/>
  </r>
  <r>
    <n v="29"/>
    <x v="1"/>
    <s v="Travel_Frequently"/>
    <n v="490"/>
    <x v="1"/>
    <x v="17"/>
    <n v="3"/>
    <s v="Life Sciences"/>
    <n v="1"/>
    <n v="1143"/>
    <n v="4"/>
    <x v="0"/>
    <n v="61"/>
    <n v="3"/>
    <n v="1"/>
    <x v="1"/>
    <x v="1"/>
    <s v="Divorced"/>
    <n v="3291"/>
    <n v="17940"/>
    <n v="0"/>
    <s v="Y"/>
    <s v="No"/>
    <n v="14"/>
    <n v="3"/>
    <n v="4"/>
    <n v="80"/>
    <n v="2"/>
    <n v="8"/>
    <n v="2"/>
    <n v="2"/>
    <x v="5"/>
    <n v="5"/>
    <n v="1"/>
    <n v="1"/>
    <x v="2"/>
    <x v="0"/>
  </r>
  <r>
    <n v="42"/>
    <x v="1"/>
    <s v="Travel_Rarely"/>
    <n v="188"/>
    <x v="1"/>
    <x v="22"/>
    <n v="3"/>
    <s v="Medical"/>
    <n v="1"/>
    <n v="1148"/>
    <n v="2"/>
    <x v="1"/>
    <n v="56"/>
    <n v="1"/>
    <n v="2"/>
    <x v="2"/>
    <x v="0"/>
    <s v="Single"/>
    <n v="4272"/>
    <n v="9558"/>
    <n v="4"/>
    <s v="Y"/>
    <s v="No"/>
    <n v="19"/>
    <n v="3"/>
    <n v="1"/>
    <n v="80"/>
    <n v="0"/>
    <n v="16"/>
    <n v="3"/>
    <n v="3"/>
    <x v="6"/>
    <n v="0"/>
    <n v="0"/>
    <n v="0"/>
    <x v="0"/>
    <x v="0"/>
  </r>
  <r>
    <n v="29"/>
    <x v="1"/>
    <s v="Travel_Rarely"/>
    <n v="718"/>
    <x v="1"/>
    <x v="1"/>
    <n v="1"/>
    <s v="Medical"/>
    <n v="1"/>
    <n v="1150"/>
    <n v="2"/>
    <x v="1"/>
    <n v="79"/>
    <n v="2"/>
    <n v="2"/>
    <x v="3"/>
    <x v="0"/>
    <s v="Married"/>
    <n v="5056"/>
    <n v="17689"/>
    <n v="1"/>
    <s v="Y"/>
    <s v="Yes"/>
    <n v="15"/>
    <n v="3"/>
    <n v="3"/>
    <n v="80"/>
    <n v="1"/>
    <n v="10"/>
    <n v="2"/>
    <n v="2"/>
    <x v="1"/>
    <n v="7"/>
    <n v="1"/>
    <n v="2"/>
    <x v="2"/>
    <x v="0"/>
  </r>
  <r>
    <n v="38"/>
    <x v="1"/>
    <s v="Travel_Rarely"/>
    <n v="433"/>
    <x v="2"/>
    <x v="0"/>
    <n v="3"/>
    <s v="Human Resources"/>
    <n v="1"/>
    <n v="1152"/>
    <n v="3"/>
    <x v="1"/>
    <n v="37"/>
    <n v="4"/>
    <n v="1"/>
    <x v="8"/>
    <x v="2"/>
    <s v="Married"/>
    <n v="2844"/>
    <n v="6004"/>
    <n v="1"/>
    <s v="Y"/>
    <s v="No"/>
    <n v="13"/>
    <n v="3"/>
    <n v="4"/>
    <n v="80"/>
    <n v="1"/>
    <n v="7"/>
    <n v="2"/>
    <n v="4"/>
    <x v="5"/>
    <n v="6"/>
    <n v="5"/>
    <n v="0"/>
    <x v="0"/>
    <x v="1"/>
  </r>
  <r>
    <n v="28"/>
    <x v="1"/>
    <s v="Travel_Frequently"/>
    <n v="773"/>
    <x v="1"/>
    <x v="16"/>
    <n v="3"/>
    <s v="Life Sciences"/>
    <n v="1"/>
    <n v="1154"/>
    <n v="3"/>
    <x v="1"/>
    <n v="39"/>
    <n v="2"/>
    <n v="1"/>
    <x v="1"/>
    <x v="2"/>
    <s v="Divorced"/>
    <n v="2703"/>
    <n v="22088"/>
    <n v="1"/>
    <s v="Y"/>
    <s v="Yes"/>
    <n v="14"/>
    <n v="3"/>
    <n v="4"/>
    <n v="80"/>
    <n v="1"/>
    <n v="3"/>
    <n v="2"/>
    <n v="3"/>
    <x v="11"/>
    <n v="1"/>
    <n v="0"/>
    <n v="2"/>
    <x v="2"/>
    <x v="1"/>
  </r>
  <r>
    <n v="18"/>
    <x v="0"/>
    <s v="Non-Travel"/>
    <n v="247"/>
    <x v="1"/>
    <x v="1"/>
    <n v="1"/>
    <s v="Medical"/>
    <n v="1"/>
    <n v="1156"/>
    <n v="3"/>
    <x v="1"/>
    <n v="80"/>
    <n v="3"/>
    <n v="1"/>
    <x v="2"/>
    <x v="2"/>
    <s v="Single"/>
    <n v="1904"/>
    <n v="13556"/>
    <n v="1"/>
    <s v="Y"/>
    <s v="No"/>
    <n v="12"/>
    <n v="3"/>
    <n v="4"/>
    <n v="80"/>
    <n v="0"/>
    <n v="0"/>
    <n v="0"/>
    <n v="3"/>
    <x v="2"/>
    <n v="0"/>
    <n v="0"/>
    <n v="0"/>
    <x v="4"/>
    <x v="1"/>
  </r>
  <r>
    <n v="33"/>
    <x v="0"/>
    <s v="Travel_Rarely"/>
    <n v="603"/>
    <x v="0"/>
    <x v="14"/>
    <n v="4"/>
    <s v="Marketing"/>
    <n v="1"/>
    <n v="1157"/>
    <n v="1"/>
    <x v="0"/>
    <n v="77"/>
    <n v="3"/>
    <n v="2"/>
    <x v="0"/>
    <x v="3"/>
    <s v="Single"/>
    <n v="8224"/>
    <n v="18385"/>
    <n v="0"/>
    <s v="Y"/>
    <s v="Yes"/>
    <n v="17"/>
    <n v="3"/>
    <n v="1"/>
    <n v="80"/>
    <n v="0"/>
    <n v="6"/>
    <n v="3"/>
    <n v="3"/>
    <x v="8"/>
    <n v="2"/>
    <n v="0"/>
    <n v="3"/>
    <x v="2"/>
    <x v="4"/>
  </r>
  <r>
    <n v="41"/>
    <x v="1"/>
    <s v="Travel_Rarely"/>
    <n v="167"/>
    <x v="1"/>
    <x v="20"/>
    <n v="4"/>
    <s v="Life Sciences"/>
    <n v="1"/>
    <n v="1158"/>
    <n v="2"/>
    <x v="1"/>
    <n v="46"/>
    <n v="3"/>
    <n v="1"/>
    <x v="2"/>
    <x v="0"/>
    <s v="Married"/>
    <n v="4766"/>
    <n v="9051"/>
    <n v="3"/>
    <s v="Y"/>
    <s v="Yes"/>
    <n v="11"/>
    <n v="3"/>
    <n v="1"/>
    <n v="80"/>
    <n v="1"/>
    <n v="6"/>
    <n v="4"/>
    <n v="3"/>
    <x v="6"/>
    <n v="0"/>
    <n v="0"/>
    <n v="0"/>
    <x v="0"/>
    <x v="0"/>
  </r>
  <r>
    <n v="31"/>
    <x v="0"/>
    <s v="Travel_Frequently"/>
    <n v="874"/>
    <x v="1"/>
    <x v="8"/>
    <n v="3"/>
    <s v="Medical"/>
    <n v="1"/>
    <n v="1160"/>
    <n v="3"/>
    <x v="1"/>
    <n v="72"/>
    <n v="3"/>
    <n v="1"/>
    <x v="2"/>
    <x v="2"/>
    <s v="Married"/>
    <n v="2610"/>
    <n v="6233"/>
    <n v="1"/>
    <s v="Y"/>
    <s v="No"/>
    <n v="12"/>
    <n v="3"/>
    <n v="3"/>
    <n v="80"/>
    <n v="1"/>
    <n v="2"/>
    <n v="5"/>
    <n v="2"/>
    <x v="4"/>
    <n v="2"/>
    <n v="2"/>
    <n v="2"/>
    <x v="2"/>
    <x v="1"/>
  </r>
  <r>
    <n v="37"/>
    <x v="1"/>
    <s v="Travel_Rarely"/>
    <n v="367"/>
    <x v="1"/>
    <x v="19"/>
    <n v="2"/>
    <s v="Medical"/>
    <n v="1"/>
    <n v="1161"/>
    <n v="3"/>
    <x v="0"/>
    <n v="52"/>
    <n v="2"/>
    <n v="2"/>
    <x v="4"/>
    <x v="0"/>
    <s v="Divorced"/>
    <n v="5731"/>
    <n v="17171"/>
    <n v="7"/>
    <s v="Y"/>
    <s v="No"/>
    <n v="13"/>
    <n v="3"/>
    <n v="3"/>
    <n v="80"/>
    <n v="2"/>
    <n v="9"/>
    <n v="2"/>
    <n v="3"/>
    <x v="0"/>
    <n v="2"/>
    <n v="1"/>
    <n v="3"/>
    <x v="0"/>
    <x v="0"/>
  </r>
  <r>
    <n v="27"/>
    <x v="1"/>
    <s v="Travel_Rarely"/>
    <n v="199"/>
    <x v="1"/>
    <x v="16"/>
    <n v="3"/>
    <s v="Life Sciences"/>
    <n v="1"/>
    <n v="1162"/>
    <n v="4"/>
    <x v="1"/>
    <n v="55"/>
    <n v="2"/>
    <n v="1"/>
    <x v="1"/>
    <x v="2"/>
    <s v="Married"/>
    <n v="2539"/>
    <n v="7950"/>
    <n v="1"/>
    <s v="Y"/>
    <s v="No"/>
    <n v="13"/>
    <n v="3"/>
    <n v="3"/>
    <n v="80"/>
    <n v="1"/>
    <n v="4"/>
    <n v="0"/>
    <n v="3"/>
    <x v="9"/>
    <n v="2"/>
    <n v="2"/>
    <n v="2"/>
    <x v="2"/>
    <x v="1"/>
  </r>
  <r>
    <n v="34"/>
    <x v="1"/>
    <s v="Travel_Rarely"/>
    <n v="1400"/>
    <x v="0"/>
    <x v="14"/>
    <n v="1"/>
    <s v="Life Sciences"/>
    <n v="1"/>
    <n v="1163"/>
    <n v="2"/>
    <x v="0"/>
    <n v="70"/>
    <n v="3"/>
    <n v="2"/>
    <x v="0"/>
    <x v="2"/>
    <s v="Married"/>
    <n v="5714"/>
    <n v="5829"/>
    <n v="1"/>
    <s v="Y"/>
    <s v="No"/>
    <n v="20"/>
    <n v="4"/>
    <n v="1"/>
    <n v="80"/>
    <n v="0"/>
    <n v="6"/>
    <n v="3"/>
    <n v="2"/>
    <x v="0"/>
    <n v="5"/>
    <n v="1"/>
    <n v="3"/>
    <x v="2"/>
    <x v="0"/>
  </r>
  <r>
    <n v="35"/>
    <x v="1"/>
    <s v="Travel_Rarely"/>
    <n v="528"/>
    <x v="2"/>
    <x v="1"/>
    <n v="4"/>
    <s v="Technical Degree"/>
    <n v="1"/>
    <n v="1164"/>
    <n v="3"/>
    <x v="1"/>
    <n v="100"/>
    <n v="3"/>
    <n v="1"/>
    <x v="8"/>
    <x v="2"/>
    <s v="Single"/>
    <n v="4323"/>
    <n v="7108"/>
    <n v="1"/>
    <s v="Y"/>
    <s v="No"/>
    <n v="17"/>
    <n v="3"/>
    <n v="2"/>
    <n v="80"/>
    <n v="0"/>
    <n v="6"/>
    <n v="2"/>
    <n v="1"/>
    <x v="8"/>
    <n v="4"/>
    <n v="1"/>
    <n v="4"/>
    <x v="0"/>
    <x v="0"/>
  </r>
  <r>
    <n v="29"/>
    <x v="0"/>
    <s v="Travel_Rarely"/>
    <n v="408"/>
    <x v="0"/>
    <x v="5"/>
    <n v="1"/>
    <s v="Life Sciences"/>
    <n v="1"/>
    <n v="1165"/>
    <n v="4"/>
    <x v="0"/>
    <n v="45"/>
    <n v="2"/>
    <n v="3"/>
    <x v="0"/>
    <x v="3"/>
    <s v="Married"/>
    <n v="7336"/>
    <n v="11162"/>
    <n v="1"/>
    <s v="Y"/>
    <s v="No"/>
    <n v="13"/>
    <n v="3"/>
    <n v="1"/>
    <n v="80"/>
    <n v="1"/>
    <n v="11"/>
    <n v="3"/>
    <n v="1"/>
    <x v="19"/>
    <n v="8"/>
    <n v="3"/>
    <n v="10"/>
    <x v="2"/>
    <x v="4"/>
  </r>
  <r>
    <n v="40"/>
    <x v="1"/>
    <s v="Travel_Frequently"/>
    <n v="593"/>
    <x v="1"/>
    <x v="14"/>
    <n v="4"/>
    <s v="Medical"/>
    <n v="1"/>
    <n v="1166"/>
    <n v="2"/>
    <x v="0"/>
    <n v="88"/>
    <n v="3"/>
    <n v="3"/>
    <x v="7"/>
    <x v="2"/>
    <s v="Single"/>
    <n v="13499"/>
    <n v="13782"/>
    <n v="9"/>
    <s v="Y"/>
    <s v="No"/>
    <n v="17"/>
    <n v="3"/>
    <n v="3"/>
    <n v="80"/>
    <n v="0"/>
    <n v="20"/>
    <n v="3"/>
    <n v="2"/>
    <x v="29"/>
    <n v="7"/>
    <n v="2"/>
    <n v="13"/>
    <x v="0"/>
    <x v="3"/>
  </r>
  <r>
    <n v="42"/>
    <x v="0"/>
    <s v="Travel_Frequently"/>
    <n v="481"/>
    <x v="0"/>
    <x v="20"/>
    <n v="3"/>
    <s v="Life Sciences"/>
    <n v="1"/>
    <n v="1167"/>
    <n v="3"/>
    <x v="1"/>
    <n v="44"/>
    <n v="3"/>
    <n v="4"/>
    <x v="0"/>
    <x v="3"/>
    <s v="Single"/>
    <n v="13758"/>
    <n v="2447"/>
    <n v="0"/>
    <s v="Y"/>
    <s v="Yes"/>
    <n v="12"/>
    <n v="3"/>
    <n v="2"/>
    <n v="80"/>
    <n v="0"/>
    <n v="22"/>
    <n v="2"/>
    <n v="2"/>
    <x v="17"/>
    <n v="9"/>
    <n v="13"/>
    <n v="14"/>
    <x v="0"/>
    <x v="3"/>
  </r>
  <r>
    <n v="42"/>
    <x v="1"/>
    <s v="Travel_Rarely"/>
    <n v="647"/>
    <x v="0"/>
    <x v="18"/>
    <n v="4"/>
    <s v="Marketing"/>
    <n v="1"/>
    <n v="1171"/>
    <n v="2"/>
    <x v="1"/>
    <n v="45"/>
    <n v="3"/>
    <n v="2"/>
    <x v="0"/>
    <x v="3"/>
    <s v="Single"/>
    <n v="5155"/>
    <n v="2253"/>
    <n v="7"/>
    <s v="Y"/>
    <s v="No"/>
    <n v="13"/>
    <n v="3"/>
    <n v="4"/>
    <n v="80"/>
    <n v="0"/>
    <n v="9"/>
    <n v="3"/>
    <n v="4"/>
    <x v="0"/>
    <n v="4"/>
    <n v="1"/>
    <n v="5"/>
    <x v="0"/>
    <x v="0"/>
  </r>
  <r>
    <n v="35"/>
    <x v="1"/>
    <s v="Travel_Rarely"/>
    <n v="982"/>
    <x v="1"/>
    <x v="0"/>
    <n v="4"/>
    <s v="Medical"/>
    <n v="1"/>
    <n v="1172"/>
    <n v="4"/>
    <x v="1"/>
    <n v="58"/>
    <n v="2"/>
    <n v="1"/>
    <x v="2"/>
    <x v="2"/>
    <s v="Married"/>
    <n v="2258"/>
    <n v="16340"/>
    <n v="6"/>
    <s v="Y"/>
    <s v="No"/>
    <n v="12"/>
    <n v="3"/>
    <n v="2"/>
    <n v="80"/>
    <n v="1"/>
    <n v="10"/>
    <n v="2"/>
    <n v="3"/>
    <x v="3"/>
    <n v="0"/>
    <n v="1"/>
    <n v="7"/>
    <x v="0"/>
    <x v="1"/>
  </r>
  <r>
    <n v="24"/>
    <x v="1"/>
    <s v="Travel_Rarely"/>
    <n v="477"/>
    <x v="1"/>
    <x v="4"/>
    <n v="3"/>
    <s v="Medical"/>
    <n v="1"/>
    <n v="1173"/>
    <n v="4"/>
    <x v="1"/>
    <n v="49"/>
    <n v="3"/>
    <n v="1"/>
    <x v="2"/>
    <x v="1"/>
    <s v="Single"/>
    <n v="3597"/>
    <n v="6409"/>
    <n v="8"/>
    <s v="Y"/>
    <s v="No"/>
    <n v="22"/>
    <n v="4"/>
    <n v="4"/>
    <n v="80"/>
    <n v="0"/>
    <n v="6"/>
    <n v="2"/>
    <n v="3"/>
    <x v="9"/>
    <n v="3"/>
    <n v="1"/>
    <n v="2"/>
    <x v="4"/>
    <x v="0"/>
  </r>
  <r>
    <n v="28"/>
    <x v="0"/>
    <s v="Travel_Rarely"/>
    <n v="1485"/>
    <x v="1"/>
    <x v="20"/>
    <n v="1"/>
    <s v="Life Sciences"/>
    <n v="1"/>
    <n v="1175"/>
    <n v="3"/>
    <x v="0"/>
    <n v="79"/>
    <n v="3"/>
    <n v="1"/>
    <x v="2"/>
    <x v="0"/>
    <s v="Married"/>
    <n v="2515"/>
    <n v="22955"/>
    <n v="1"/>
    <s v="Y"/>
    <s v="Yes"/>
    <n v="11"/>
    <n v="3"/>
    <n v="4"/>
    <n v="80"/>
    <n v="0"/>
    <n v="1"/>
    <n v="4"/>
    <n v="2"/>
    <x v="6"/>
    <n v="1"/>
    <n v="0"/>
    <n v="0"/>
    <x v="2"/>
    <x v="1"/>
  </r>
  <r>
    <n v="26"/>
    <x v="1"/>
    <s v="Travel_Rarely"/>
    <n v="1384"/>
    <x v="1"/>
    <x v="3"/>
    <n v="4"/>
    <s v="Medical"/>
    <n v="1"/>
    <n v="1177"/>
    <n v="1"/>
    <x v="1"/>
    <n v="82"/>
    <n v="4"/>
    <n v="1"/>
    <x v="2"/>
    <x v="0"/>
    <s v="Married"/>
    <n v="4420"/>
    <n v="13421"/>
    <n v="1"/>
    <s v="Y"/>
    <s v="No"/>
    <n v="22"/>
    <n v="4"/>
    <n v="2"/>
    <n v="80"/>
    <n v="1"/>
    <n v="8"/>
    <n v="2"/>
    <n v="3"/>
    <x v="3"/>
    <n v="7"/>
    <n v="0"/>
    <n v="7"/>
    <x v="2"/>
    <x v="0"/>
  </r>
  <r>
    <n v="30"/>
    <x v="1"/>
    <s v="Travel_Rarely"/>
    <n v="852"/>
    <x v="0"/>
    <x v="17"/>
    <n v="3"/>
    <s v="Marketing"/>
    <n v="1"/>
    <n v="1179"/>
    <n v="3"/>
    <x v="1"/>
    <n v="72"/>
    <n v="2"/>
    <n v="2"/>
    <x v="0"/>
    <x v="2"/>
    <s v="Married"/>
    <n v="6578"/>
    <n v="2706"/>
    <n v="1"/>
    <s v="Y"/>
    <s v="No"/>
    <n v="18"/>
    <n v="3"/>
    <n v="1"/>
    <n v="80"/>
    <n v="1"/>
    <n v="10"/>
    <n v="3"/>
    <n v="3"/>
    <x v="1"/>
    <n v="3"/>
    <n v="1"/>
    <n v="4"/>
    <x v="2"/>
    <x v="4"/>
  </r>
  <r>
    <n v="40"/>
    <x v="1"/>
    <s v="Travel_Frequently"/>
    <n v="902"/>
    <x v="1"/>
    <x v="9"/>
    <n v="2"/>
    <s v="Medical"/>
    <n v="1"/>
    <n v="1180"/>
    <n v="3"/>
    <x v="0"/>
    <n v="92"/>
    <n v="2"/>
    <n v="2"/>
    <x v="1"/>
    <x v="0"/>
    <s v="Married"/>
    <n v="4422"/>
    <n v="21203"/>
    <n v="3"/>
    <s v="Y"/>
    <s v="Yes"/>
    <n v="13"/>
    <n v="3"/>
    <n v="4"/>
    <n v="80"/>
    <n v="1"/>
    <n v="16"/>
    <n v="3"/>
    <n v="1"/>
    <x v="6"/>
    <n v="1"/>
    <n v="0"/>
    <n v="0"/>
    <x v="0"/>
    <x v="0"/>
  </r>
  <r>
    <n v="35"/>
    <x v="1"/>
    <s v="Travel_Rarely"/>
    <n v="819"/>
    <x v="1"/>
    <x v="2"/>
    <n v="3"/>
    <s v="Life Sciences"/>
    <n v="1"/>
    <n v="1182"/>
    <n v="3"/>
    <x v="1"/>
    <n v="44"/>
    <n v="2"/>
    <n v="3"/>
    <x v="3"/>
    <x v="1"/>
    <s v="Divorced"/>
    <n v="10274"/>
    <n v="19588"/>
    <n v="2"/>
    <s v="Y"/>
    <s v="No"/>
    <n v="18"/>
    <n v="3"/>
    <n v="2"/>
    <n v="80"/>
    <n v="1"/>
    <n v="15"/>
    <n v="2"/>
    <n v="4"/>
    <x v="5"/>
    <n v="7"/>
    <n v="6"/>
    <n v="4"/>
    <x v="0"/>
    <x v="2"/>
  </r>
  <r>
    <n v="34"/>
    <x v="1"/>
    <s v="Travel_Frequently"/>
    <n v="669"/>
    <x v="1"/>
    <x v="0"/>
    <n v="3"/>
    <s v="Medical"/>
    <n v="1"/>
    <n v="1184"/>
    <n v="4"/>
    <x v="1"/>
    <n v="97"/>
    <n v="2"/>
    <n v="2"/>
    <x v="4"/>
    <x v="3"/>
    <s v="Single"/>
    <n v="5343"/>
    <n v="25755"/>
    <n v="0"/>
    <s v="Y"/>
    <s v="No"/>
    <n v="20"/>
    <n v="4"/>
    <n v="3"/>
    <n v="80"/>
    <n v="0"/>
    <n v="14"/>
    <n v="3"/>
    <n v="3"/>
    <x v="20"/>
    <n v="9"/>
    <n v="4"/>
    <n v="9"/>
    <x v="2"/>
    <x v="0"/>
  </r>
  <r>
    <n v="35"/>
    <x v="1"/>
    <s v="Travel_Frequently"/>
    <n v="636"/>
    <x v="1"/>
    <x v="18"/>
    <n v="4"/>
    <s v="Other"/>
    <n v="1"/>
    <n v="1185"/>
    <n v="4"/>
    <x v="1"/>
    <n v="47"/>
    <n v="2"/>
    <n v="1"/>
    <x v="2"/>
    <x v="0"/>
    <s v="Married"/>
    <n v="2376"/>
    <n v="26537"/>
    <n v="1"/>
    <s v="Y"/>
    <s v="No"/>
    <n v="13"/>
    <n v="3"/>
    <n v="2"/>
    <n v="80"/>
    <n v="1"/>
    <n v="2"/>
    <n v="2"/>
    <n v="4"/>
    <x v="4"/>
    <n v="2"/>
    <n v="2"/>
    <n v="2"/>
    <x v="0"/>
    <x v="1"/>
  </r>
  <r>
    <n v="43"/>
    <x v="0"/>
    <s v="Travel_Rarely"/>
    <n v="1372"/>
    <x v="0"/>
    <x v="14"/>
    <n v="3"/>
    <s v="Marketing"/>
    <n v="1"/>
    <n v="1188"/>
    <n v="1"/>
    <x v="0"/>
    <n v="85"/>
    <n v="1"/>
    <n v="2"/>
    <x v="0"/>
    <x v="2"/>
    <s v="Single"/>
    <n v="5346"/>
    <n v="9489"/>
    <n v="8"/>
    <s v="Y"/>
    <s v="No"/>
    <n v="13"/>
    <n v="3"/>
    <n v="2"/>
    <n v="80"/>
    <n v="0"/>
    <n v="7"/>
    <n v="2"/>
    <n v="2"/>
    <x v="9"/>
    <n v="3"/>
    <n v="1"/>
    <n v="3"/>
    <x v="0"/>
    <x v="0"/>
  </r>
  <r>
    <n v="32"/>
    <x v="1"/>
    <s v="Non-Travel"/>
    <n v="862"/>
    <x v="0"/>
    <x v="2"/>
    <n v="1"/>
    <s v="Life Sciences"/>
    <n v="1"/>
    <n v="1190"/>
    <n v="3"/>
    <x v="0"/>
    <n v="76"/>
    <n v="3"/>
    <n v="1"/>
    <x v="6"/>
    <x v="3"/>
    <s v="Divorced"/>
    <n v="2827"/>
    <n v="14947"/>
    <n v="1"/>
    <s v="Y"/>
    <s v="No"/>
    <n v="12"/>
    <n v="3"/>
    <n v="3"/>
    <n v="80"/>
    <n v="3"/>
    <n v="1"/>
    <n v="3"/>
    <n v="3"/>
    <x v="6"/>
    <n v="0"/>
    <n v="0"/>
    <n v="0"/>
    <x v="2"/>
    <x v="1"/>
  </r>
  <r>
    <n v="56"/>
    <x v="1"/>
    <s v="Travel_Rarely"/>
    <n v="718"/>
    <x v="1"/>
    <x v="18"/>
    <n v="4"/>
    <s v="Technical Degree"/>
    <n v="1"/>
    <n v="1191"/>
    <n v="4"/>
    <x v="0"/>
    <n v="92"/>
    <n v="3"/>
    <n v="5"/>
    <x v="5"/>
    <x v="3"/>
    <s v="Divorced"/>
    <n v="19943"/>
    <n v="18575"/>
    <n v="4"/>
    <s v="Y"/>
    <s v="No"/>
    <n v="13"/>
    <n v="3"/>
    <n v="4"/>
    <n v="80"/>
    <n v="1"/>
    <n v="28"/>
    <n v="2"/>
    <n v="3"/>
    <x v="8"/>
    <n v="2"/>
    <n v="4"/>
    <n v="2"/>
    <x v="3"/>
    <x v="3"/>
  </r>
  <r>
    <n v="29"/>
    <x v="1"/>
    <s v="Travel_Rarely"/>
    <n v="1401"/>
    <x v="1"/>
    <x v="16"/>
    <n v="1"/>
    <s v="Medical"/>
    <n v="1"/>
    <n v="1192"/>
    <n v="2"/>
    <x v="0"/>
    <n v="54"/>
    <n v="3"/>
    <n v="1"/>
    <x v="2"/>
    <x v="0"/>
    <s v="Married"/>
    <n v="3131"/>
    <n v="26342"/>
    <n v="1"/>
    <s v="Y"/>
    <s v="No"/>
    <n v="13"/>
    <n v="3"/>
    <n v="1"/>
    <n v="80"/>
    <n v="1"/>
    <n v="10"/>
    <n v="5"/>
    <n v="3"/>
    <x v="1"/>
    <n v="8"/>
    <n v="0"/>
    <n v="8"/>
    <x v="2"/>
    <x v="0"/>
  </r>
  <r>
    <n v="19"/>
    <x v="1"/>
    <s v="Travel_Rarely"/>
    <n v="645"/>
    <x v="1"/>
    <x v="14"/>
    <n v="2"/>
    <s v="Life Sciences"/>
    <n v="1"/>
    <n v="1193"/>
    <n v="3"/>
    <x v="1"/>
    <n v="54"/>
    <n v="3"/>
    <n v="1"/>
    <x v="1"/>
    <x v="3"/>
    <s v="Single"/>
    <n v="2552"/>
    <n v="7172"/>
    <n v="1"/>
    <s v="Y"/>
    <s v="No"/>
    <n v="25"/>
    <n v="4"/>
    <n v="3"/>
    <n v="80"/>
    <n v="0"/>
    <n v="1"/>
    <n v="4"/>
    <n v="3"/>
    <x v="6"/>
    <n v="1"/>
    <n v="0"/>
    <n v="0"/>
    <x v="4"/>
    <x v="1"/>
  </r>
  <r>
    <n v="45"/>
    <x v="1"/>
    <s v="Travel_Rarely"/>
    <n v="1457"/>
    <x v="1"/>
    <x v="15"/>
    <n v="3"/>
    <s v="Medical"/>
    <n v="1"/>
    <n v="1195"/>
    <n v="1"/>
    <x v="0"/>
    <n v="83"/>
    <n v="3"/>
    <n v="1"/>
    <x v="1"/>
    <x v="2"/>
    <s v="Married"/>
    <n v="4477"/>
    <n v="20100"/>
    <n v="4"/>
    <s v="Y"/>
    <s v="Yes"/>
    <n v="19"/>
    <n v="3"/>
    <n v="3"/>
    <n v="80"/>
    <n v="1"/>
    <n v="7"/>
    <n v="2"/>
    <n v="2"/>
    <x v="11"/>
    <n v="2"/>
    <n v="0"/>
    <n v="2"/>
    <x v="1"/>
    <x v="0"/>
  </r>
  <r>
    <n v="37"/>
    <x v="1"/>
    <s v="Travel_Rarely"/>
    <n v="977"/>
    <x v="1"/>
    <x v="0"/>
    <n v="3"/>
    <s v="Life Sciences"/>
    <n v="1"/>
    <n v="1196"/>
    <n v="4"/>
    <x v="0"/>
    <n v="56"/>
    <n v="2"/>
    <n v="2"/>
    <x v="3"/>
    <x v="0"/>
    <s v="Married"/>
    <n v="6474"/>
    <n v="9961"/>
    <n v="1"/>
    <s v="Y"/>
    <s v="No"/>
    <n v="13"/>
    <n v="3"/>
    <n v="2"/>
    <n v="80"/>
    <n v="1"/>
    <n v="14"/>
    <n v="2"/>
    <n v="2"/>
    <x v="13"/>
    <n v="8"/>
    <n v="3"/>
    <n v="11"/>
    <x v="0"/>
    <x v="4"/>
  </r>
  <r>
    <n v="20"/>
    <x v="1"/>
    <s v="Travel_Rarely"/>
    <n v="805"/>
    <x v="1"/>
    <x v="3"/>
    <n v="3"/>
    <s v="Life Sciences"/>
    <n v="1"/>
    <n v="1198"/>
    <n v="1"/>
    <x v="1"/>
    <n v="87"/>
    <n v="2"/>
    <n v="1"/>
    <x v="2"/>
    <x v="2"/>
    <s v="Single"/>
    <n v="3033"/>
    <n v="12828"/>
    <n v="1"/>
    <s v="Y"/>
    <s v="No"/>
    <n v="12"/>
    <n v="3"/>
    <n v="1"/>
    <n v="80"/>
    <n v="0"/>
    <n v="2"/>
    <n v="2"/>
    <n v="2"/>
    <x v="4"/>
    <n v="2"/>
    <n v="1"/>
    <n v="2"/>
    <x v="4"/>
    <x v="0"/>
  </r>
  <r>
    <n v="44"/>
    <x v="0"/>
    <s v="Travel_Rarely"/>
    <n v="1097"/>
    <x v="1"/>
    <x v="17"/>
    <n v="4"/>
    <s v="Life Sciences"/>
    <n v="1"/>
    <n v="1200"/>
    <n v="3"/>
    <x v="1"/>
    <n v="96"/>
    <n v="3"/>
    <n v="1"/>
    <x v="1"/>
    <x v="2"/>
    <s v="Single"/>
    <n v="2936"/>
    <n v="10826"/>
    <n v="1"/>
    <s v="Y"/>
    <s v="Yes"/>
    <n v="11"/>
    <n v="3"/>
    <n v="3"/>
    <n v="80"/>
    <n v="0"/>
    <n v="6"/>
    <n v="4"/>
    <n v="3"/>
    <x v="0"/>
    <n v="4"/>
    <n v="0"/>
    <n v="2"/>
    <x v="0"/>
    <x v="1"/>
  </r>
  <r>
    <n v="53"/>
    <x v="1"/>
    <s v="Travel_Rarely"/>
    <n v="1223"/>
    <x v="1"/>
    <x v="15"/>
    <n v="2"/>
    <s v="Medical"/>
    <n v="1"/>
    <n v="1201"/>
    <n v="4"/>
    <x v="0"/>
    <n v="50"/>
    <n v="3"/>
    <n v="5"/>
    <x v="5"/>
    <x v="2"/>
    <s v="Divorced"/>
    <n v="18606"/>
    <n v="18640"/>
    <n v="3"/>
    <s v="Y"/>
    <s v="No"/>
    <n v="18"/>
    <n v="3"/>
    <n v="2"/>
    <n v="80"/>
    <n v="1"/>
    <n v="26"/>
    <n v="6"/>
    <n v="3"/>
    <x v="5"/>
    <n v="7"/>
    <n v="4"/>
    <n v="7"/>
    <x v="1"/>
    <x v="3"/>
  </r>
  <r>
    <n v="29"/>
    <x v="1"/>
    <s v="Travel_Rarely"/>
    <n v="942"/>
    <x v="1"/>
    <x v="8"/>
    <n v="1"/>
    <s v="Life Sciences"/>
    <n v="1"/>
    <n v="1202"/>
    <n v="2"/>
    <x v="0"/>
    <n v="69"/>
    <n v="1"/>
    <n v="1"/>
    <x v="1"/>
    <x v="0"/>
    <s v="Married"/>
    <n v="2168"/>
    <n v="26933"/>
    <n v="0"/>
    <s v="Y"/>
    <s v="Yes"/>
    <n v="18"/>
    <n v="3"/>
    <n v="1"/>
    <n v="80"/>
    <n v="1"/>
    <n v="6"/>
    <n v="2"/>
    <n v="2"/>
    <x v="8"/>
    <n v="4"/>
    <n v="1"/>
    <n v="3"/>
    <x v="2"/>
    <x v="1"/>
  </r>
  <r>
    <n v="22"/>
    <x v="0"/>
    <s v="Travel_Frequently"/>
    <n v="1256"/>
    <x v="1"/>
    <x v="3"/>
    <n v="4"/>
    <s v="Life Sciences"/>
    <n v="1"/>
    <n v="1203"/>
    <n v="3"/>
    <x v="1"/>
    <n v="48"/>
    <n v="2"/>
    <n v="1"/>
    <x v="1"/>
    <x v="0"/>
    <s v="Married"/>
    <n v="2853"/>
    <n v="4223"/>
    <n v="0"/>
    <s v="Y"/>
    <s v="Yes"/>
    <n v="11"/>
    <n v="3"/>
    <n v="2"/>
    <n v="80"/>
    <n v="1"/>
    <n v="1"/>
    <n v="5"/>
    <n v="3"/>
    <x v="2"/>
    <n v="0"/>
    <n v="0"/>
    <n v="0"/>
    <x v="4"/>
    <x v="1"/>
  </r>
  <r>
    <n v="46"/>
    <x v="1"/>
    <s v="Travel_Rarely"/>
    <n v="1402"/>
    <x v="0"/>
    <x v="2"/>
    <n v="3"/>
    <s v="Marketing"/>
    <n v="1"/>
    <n v="1204"/>
    <n v="3"/>
    <x v="0"/>
    <n v="69"/>
    <n v="3"/>
    <n v="4"/>
    <x v="5"/>
    <x v="3"/>
    <s v="Married"/>
    <n v="17048"/>
    <n v="24097"/>
    <n v="8"/>
    <s v="Y"/>
    <s v="No"/>
    <n v="23"/>
    <n v="4"/>
    <n v="1"/>
    <n v="80"/>
    <n v="0"/>
    <n v="28"/>
    <n v="2"/>
    <n v="3"/>
    <x v="34"/>
    <n v="15"/>
    <n v="15"/>
    <n v="9"/>
    <x v="1"/>
    <x v="3"/>
  </r>
  <r>
    <n v="44"/>
    <x v="1"/>
    <s v="Non-Travel"/>
    <n v="111"/>
    <x v="1"/>
    <x v="27"/>
    <n v="3"/>
    <s v="Life Sciences"/>
    <n v="1"/>
    <n v="1206"/>
    <n v="4"/>
    <x v="1"/>
    <n v="74"/>
    <n v="1"/>
    <n v="1"/>
    <x v="1"/>
    <x v="2"/>
    <s v="Single"/>
    <n v="2290"/>
    <n v="4279"/>
    <n v="2"/>
    <s v="Y"/>
    <s v="No"/>
    <n v="13"/>
    <n v="3"/>
    <n v="4"/>
    <n v="80"/>
    <n v="0"/>
    <n v="6"/>
    <n v="3"/>
    <n v="3"/>
    <x v="2"/>
    <n v="0"/>
    <n v="0"/>
    <n v="0"/>
    <x v="0"/>
    <x v="1"/>
  </r>
  <r>
    <n v="33"/>
    <x v="1"/>
    <s v="Travel_Rarely"/>
    <n v="147"/>
    <x v="2"/>
    <x v="2"/>
    <n v="3"/>
    <s v="Human Resources"/>
    <n v="1"/>
    <n v="1207"/>
    <n v="2"/>
    <x v="1"/>
    <n v="99"/>
    <n v="3"/>
    <n v="1"/>
    <x v="8"/>
    <x v="2"/>
    <s v="Married"/>
    <n v="3600"/>
    <n v="8429"/>
    <n v="1"/>
    <s v="Y"/>
    <s v="No"/>
    <n v="13"/>
    <n v="3"/>
    <n v="4"/>
    <n v="80"/>
    <n v="1"/>
    <n v="5"/>
    <n v="2"/>
    <n v="3"/>
    <x v="8"/>
    <n v="4"/>
    <n v="1"/>
    <n v="4"/>
    <x v="2"/>
    <x v="0"/>
  </r>
  <r>
    <n v="41"/>
    <x v="0"/>
    <s v="Non-Travel"/>
    <n v="906"/>
    <x v="1"/>
    <x v="12"/>
    <n v="2"/>
    <s v="Life Sciences"/>
    <n v="1"/>
    <n v="1210"/>
    <n v="1"/>
    <x v="1"/>
    <n v="95"/>
    <n v="2"/>
    <n v="1"/>
    <x v="1"/>
    <x v="3"/>
    <s v="Divorced"/>
    <n v="2107"/>
    <n v="20293"/>
    <n v="6"/>
    <s v="Y"/>
    <s v="No"/>
    <n v="17"/>
    <n v="3"/>
    <n v="1"/>
    <n v="80"/>
    <n v="1"/>
    <n v="5"/>
    <n v="2"/>
    <n v="1"/>
    <x v="6"/>
    <n v="0"/>
    <n v="0"/>
    <n v="0"/>
    <x v="0"/>
    <x v="1"/>
  </r>
  <r>
    <n v="30"/>
    <x v="1"/>
    <s v="Travel_Rarely"/>
    <n v="1329"/>
    <x v="0"/>
    <x v="22"/>
    <n v="4"/>
    <s v="Life Sciences"/>
    <n v="1"/>
    <n v="1211"/>
    <n v="3"/>
    <x v="1"/>
    <n v="61"/>
    <n v="3"/>
    <n v="2"/>
    <x v="0"/>
    <x v="3"/>
    <s v="Divorced"/>
    <n v="4115"/>
    <n v="13192"/>
    <n v="8"/>
    <s v="Y"/>
    <s v="No"/>
    <n v="19"/>
    <n v="3"/>
    <n v="3"/>
    <n v="80"/>
    <n v="3"/>
    <n v="8"/>
    <n v="3"/>
    <n v="3"/>
    <x v="9"/>
    <n v="3"/>
    <n v="0"/>
    <n v="3"/>
    <x v="2"/>
    <x v="0"/>
  </r>
  <r>
    <n v="40"/>
    <x v="1"/>
    <s v="Travel_Frequently"/>
    <n v="1184"/>
    <x v="0"/>
    <x v="2"/>
    <n v="4"/>
    <s v="Medical"/>
    <n v="1"/>
    <n v="1212"/>
    <n v="2"/>
    <x v="1"/>
    <n v="62"/>
    <n v="3"/>
    <n v="2"/>
    <x v="0"/>
    <x v="1"/>
    <s v="Married"/>
    <n v="4327"/>
    <n v="25440"/>
    <n v="5"/>
    <s v="Y"/>
    <s v="No"/>
    <n v="12"/>
    <n v="3"/>
    <n v="4"/>
    <n v="80"/>
    <n v="3"/>
    <n v="5"/>
    <n v="2"/>
    <n v="3"/>
    <x v="2"/>
    <n v="0"/>
    <n v="0"/>
    <n v="0"/>
    <x v="0"/>
    <x v="0"/>
  </r>
  <r>
    <n v="50"/>
    <x v="1"/>
    <s v="Travel_Frequently"/>
    <n v="1421"/>
    <x v="1"/>
    <x v="2"/>
    <n v="3"/>
    <s v="Medical"/>
    <n v="1"/>
    <n v="1215"/>
    <n v="4"/>
    <x v="0"/>
    <n v="30"/>
    <n v="3"/>
    <n v="4"/>
    <x v="5"/>
    <x v="3"/>
    <s v="Married"/>
    <n v="17856"/>
    <n v="9490"/>
    <n v="2"/>
    <s v="Y"/>
    <s v="No"/>
    <n v="22"/>
    <n v="4"/>
    <n v="3"/>
    <n v="80"/>
    <n v="1"/>
    <n v="32"/>
    <n v="3"/>
    <n v="3"/>
    <x v="4"/>
    <n v="2"/>
    <n v="2"/>
    <n v="2"/>
    <x v="1"/>
    <x v="3"/>
  </r>
  <r>
    <n v="28"/>
    <x v="1"/>
    <s v="Travel_Rarely"/>
    <n v="1179"/>
    <x v="1"/>
    <x v="10"/>
    <n v="4"/>
    <s v="Medical"/>
    <n v="1"/>
    <n v="1216"/>
    <n v="4"/>
    <x v="1"/>
    <n v="78"/>
    <n v="2"/>
    <n v="1"/>
    <x v="2"/>
    <x v="3"/>
    <s v="Married"/>
    <n v="3196"/>
    <n v="12449"/>
    <n v="1"/>
    <s v="Y"/>
    <s v="No"/>
    <n v="12"/>
    <n v="3"/>
    <n v="3"/>
    <n v="80"/>
    <n v="3"/>
    <n v="6"/>
    <n v="2"/>
    <n v="3"/>
    <x v="0"/>
    <n v="5"/>
    <n v="3"/>
    <n v="3"/>
    <x v="2"/>
    <x v="0"/>
  </r>
  <r>
    <n v="46"/>
    <x v="1"/>
    <s v="Travel_Rarely"/>
    <n v="1450"/>
    <x v="1"/>
    <x v="8"/>
    <n v="2"/>
    <s v="Life Sciences"/>
    <n v="1"/>
    <n v="1217"/>
    <n v="4"/>
    <x v="1"/>
    <n v="52"/>
    <n v="3"/>
    <n v="5"/>
    <x v="7"/>
    <x v="1"/>
    <s v="Married"/>
    <n v="19081"/>
    <n v="10849"/>
    <n v="5"/>
    <s v="Y"/>
    <s v="No"/>
    <n v="11"/>
    <n v="3"/>
    <n v="1"/>
    <n v="80"/>
    <n v="1"/>
    <n v="25"/>
    <n v="2"/>
    <n v="3"/>
    <x v="9"/>
    <n v="2"/>
    <n v="0"/>
    <n v="3"/>
    <x v="1"/>
    <x v="3"/>
  </r>
  <r>
    <n v="35"/>
    <x v="1"/>
    <s v="Travel_Rarely"/>
    <n v="1361"/>
    <x v="0"/>
    <x v="27"/>
    <n v="4"/>
    <s v="Life Sciences"/>
    <n v="1"/>
    <n v="1218"/>
    <n v="3"/>
    <x v="1"/>
    <n v="94"/>
    <n v="3"/>
    <n v="2"/>
    <x v="0"/>
    <x v="3"/>
    <s v="Married"/>
    <n v="8966"/>
    <n v="21026"/>
    <n v="3"/>
    <s v="Y"/>
    <s v="Yes"/>
    <n v="15"/>
    <n v="3"/>
    <n v="4"/>
    <n v="80"/>
    <n v="3"/>
    <n v="15"/>
    <n v="2"/>
    <n v="3"/>
    <x v="5"/>
    <n v="7"/>
    <n v="1"/>
    <n v="7"/>
    <x v="0"/>
    <x v="4"/>
  </r>
  <r>
    <n v="24"/>
    <x v="0"/>
    <s v="Travel_Rarely"/>
    <n v="984"/>
    <x v="1"/>
    <x v="27"/>
    <n v="2"/>
    <s v="Life Sciences"/>
    <n v="1"/>
    <n v="1219"/>
    <n v="4"/>
    <x v="0"/>
    <n v="97"/>
    <n v="3"/>
    <n v="1"/>
    <x v="2"/>
    <x v="1"/>
    <s v="Married"/>
    <n v="2210"/>
    <n v="3372"/>
    <n v="1"/>
    <s v="Y"/>
    <s v="No"/>
    <n v="13"/>
    <n v="3"/>
    <n v="1"/>
    <n v="80"/>
    <n v="1"/>
    <n v="1"/>
    <n v="3"/>
    <n v="1"/>
    <x v="6"/>
    <n v="0"/>
    <n v="0"/>
    <n v="0"/>
    <x v="4"/>
    <x v="1"/>
  </r>
  <r>
    <n v="33"/>
    <x v="1"/>
    <s v="Travel_Frequently"/>
    <n v="1146"/>
    <x v="0"/>
    <x v="19"/>
    <n v="3"/>
    <s v="Medical"/>
    <n v="1"/>
    <n v="1220"/>
    <n v="2"/>
    <x v="0"/>
    <n v="82"/>
    <n v="3"/>
    <n v="2"/>
    <x v="0"/>
    <x v="2"/>
    <s v="Married"/>
    <n v="4539"/>
    <n v="4905"/>
    <n v="1"/>
    <s v="Y"/>
    <s v="No"/>
    <n v="12"/>
    <n v="3"/>
    <n v="1"/>
    <n v="80"/>
    <n v="1"/>
    <n v="10"/>
    <n v="3"/>
    <n v="2"/>
    <x v="1"/>
    <n v="7"/>
    <n v="0"/>
    <n v="1"/>
    <x v="2"/>
    <x v="0"/>
  </r>
  <r>
    <n v="36"/>
    <x v="1"/>
    <s v="Travel_Rarely"/>
    <n v="917"/>
    <x v="1"/>
    <x v="16"/>
    <n v="4"/>
    <s v="Life Sciences"/>
    <n v="1"/>
    <n v="1221"/>
    <n v="3"/>
    <x v="1"/>
    <n v="60"/>
    <n v="1"/>
    <n v="1"/>
    <x v="2"/>
    <x v="2"/>
    <s v="Divorced"/>
    <n v="2741"/>
    <n v="6865"/>
    <n v="1"/>
    <s v="Y"/>
    <s v="No"/>
    <n v="14"/>
    <n v="3"/>
    <n v="3"/>
    <n v="80"/>
    <n v="1"/>
    <n v="7"/>
    <n v="4"/>
    <n v="3"/>
    <x v="5"/>
    <n v="7"/>
    <n v="1"/>
    <n v="7"/>
    <x v="0"/>
    <x v="1"/>
  </r>
  <r>
    <n v="30"/>
    <x v="1"/>
    <s v="Travel_Rarely"/>
    <n v="853"/>
    <x v="1"/>
    <x v="15"/>
    <n v="4"/>
    <s v="Life Sciences"/>
    <n v="1"/>
    <n v="1224"/>
    <n v="3"/>
    <x v="1"/>
    <n v="49"/>
    <n v="3"/>
    <n v="2"/>
    <x v="2"/>
    <x v="2"/>
    <s v="Divorced"/>
    <n v="3491"/>
    <n v="11309"/>
    <n v="1"/>
    <s v="Y"/>
    <s v="No"/>
    <n v="13"/>
    <n v="3"/>
    <n v="1"/>
    <n v="80"/>
    <n v="3"/>
    <n v="10"/>
    <n v="4"/>
    <n v="2"/>
    <x v="1"/>
    <n v="7"/>
    <n v="8"/>
    <n v="9"/>
    <x v="2"/>
    <x v="0"/>
  </r>
  <r>
    <n v="44"/>
    <x v="1"/>
    <s v="Travel_Rarely"/>
    <n v="200"/>
    <x v="1"/>
    <x v="22"/>
    <n v="4"/>
    <s v="Other"/>
    <n v="1"/>
    <n v="1225"/>
    <n v="4"/>
    <x v="1"/>
    <n v="32"/>
    <n v="3"/>
    <n v="2"/>
    <x v="1"/>
    <x v="0"/>
    <s v="Single"/>
    <n v="4541"/>
    <n v="7744"/>
    <n v="1"/>
    <s v="Y"/>
    <s v="No"/>
    <n v="25"/>
    <n v="4"/>
    <n v="2"/>
    <n v="80"/>
    <n v="0"/>
    <n v="20"/>
    <n v="3"/>
    <n v="3"/>
    <x v="23"/>
    <n v="11"/>
    <n v="13"/>
    <n v="17"/>
    <x v="0"/>
    <x v="0"/>
  </r>
  <r>
    <n v="20"/>
    <x v="1"/>
    <s v="Travel_Rarely"/>
    <n v="654"/>
    <x v="0"/>
    <x v="11"/>
    <n v="3"/>
    <s v="Marketing"/>
    <n v="1"/>
    <n v="1226"/>
    <n v="3"/>
    <x v="1"/>
    <n v="43"/>
    <n v="4"/>
    <n v="1"/>
    <x v="6"/>
    <x v="0"/>
    <s v="Single"/>
    <n v="2678"/>
    <n v="5050"/>
    <n v="1"/>
    <s v="Y"/>
    <s v="No"/>
    <n v="17"/>
    <n v="3"/>
    <n v="4"/>
    <n v="80"/>
    <n v="0"/>
    <n v="2"/>
    <n v="2"/>
    <n v="3"/>
    <x v="4"/>
    <n v="1"/>
    <n v="2"/>
    <n v="2"/>
    <x v="4"/>
    <x v="1"/>
  </r>
  <r>
    <n v="46"/>
    <x v="1"/>
    <s v="Travel_Rarely"/>
    <n v="150"/>
    <x v="1"/>
    <x v="2"/>
    <n v="4"/>
    <s v="Technical Degree"/>
    <n v="1"/>
    <n v="1228"/>
    <n v="4"/>
    <x v="1"/>
    <n v="60"/>
    <n v="3"/>
    <n v="2"/>
    <x v="3"/>
    <x v="0"/>
    <s v="Divorced"/>
    <n v="7379"/>
    <n v="17433"/>
    <n v="2"/>
    <s v="Y"/>
    <s v="No"/>
    <n v="11"/>
    <n v="3"/>
    <n v="3"/>
    <n v="80"/>
    <n v="1"/>
    <n v="12"/>
    <n v="3"/>
    <n v="2"/>
    <x v="0"/>
    <n v="3"/>
    <n v="1"/>
    <n v="4"/>
    <x v="1"/>
    <x v="4"/>
  </r>
  <r>
    <n v="42"/>
    <x v="1"/>
    <s v="Non-Travel"/>
    <n v="179"/>
    <x v="2"/>
    <x v="2"/>
    <n v="5"/>
    <s v="Medical"/>
    <n v="1"/>
    <n v="1231"/>
    <n v="4"/>
    <x v="1"/>
    <n v="79"/>
    <n v="4"/>
    <n v="2"/>
    <x v="8"/>
    <x v="3"/>
    <s v="Married"/>
    <n v="6272"/>
    <n v="12858"/>
    <n v="7"/>
    <s v="Y"/>
    <s v="No"/>
    <n v="16"/>
    <n v="3"/>
    <n v="1"/>
    <n v="80"/>
    <n v="1"/>
    <n v="10"/>
    <n v="3"/>
    <n v="4"/>
    <x v="9"/>
    <n v="3"/>
    <n v="0"/>
    <n v="3"/>
    <x v="0"/>
    <x v="4"/>
  </r>
  <r>
    <n v="60"/>
    <x v="1"/>
    <s v="Travel_Rarely"/>
    <n v="696"/>
    <x v="0"/>
    <x v="15"/>
    <n v="4"/>
    <s v="Marketing"/>
    <n v="1"/>
    <n v="1233"/>
    <n v="2"/>
    <x v="1"/>
    <n v="52"/>
    <n v="4"/>
    <n v="2"/>
    <x v="0"/>
    <x v="0"/>
    <s v="Divorced"/>
    <n v="5220"/>
    <n v="10893"/>
    <n v="0"/>
    <s v="Y"/>
    <s v="Yes"/>
    <n v="18"/>
    <n v="3"/>
    <n v="2"/>
    <n v="80"/>
    <n v="1"/>
    <n v="12"/>
    <n v="3"/>
    <n v="3"/>
    <x v="19"/>
    <n v="7"/>
    <n v="1"/>
    <n v="9"/>
    <x v="3"/>
    <x v="0"/>
  </r>
  <r>
    <n v="32"/>
    <x v="1"/>
    <s v="Travel_Frequently"/>
    <n v="116"/>
    <x v="1"/>
    <x v="28"/>
    <n v="3"/>
    <s v="Other"/>
    <n v="1"/>
    <n v="1234"/>
    <n v="3"/>
    <x v="0"/>
    <n v="77"/>
    <n v="2"/>
    <n v="1"/>
    <x v="2"/>
    <x v="1"/>
    <s v="Married"/>
    <n v="2743"/>
    <n v="7331"/>
    <n v="1"/>
    <s v="Y"/>
    <s v="No"/>
    <n v="20"/>
    <n v="4"/>
    <n v="3"/>
    <n v="80"/>
    <n v="1"/>
    <n v="2"/>
    <n v="2"/>
    <n v="3"/>
    <x v="4"/>
    <n v="2"/>
    <n v="2"/>
    <n v="2"/>
    <x v="2"/>
    <x v="1"/>
  </r>
  <r>
    <n v="32"/>
    <x v="1"/>
    <s v="Travel_Frequently"/>
    <n v="1316"/>
    <x v="1"/>
    <x v="2"/>
    <n v="2"/>
    <s v="Life Sciences"/>
    <n v="1"/>
    <n v="1235"/>
    <n v="4"/>
    <x v="0"/>
    <n v="38"/>
    <n v="3"/>
    <n v="2"/>
    <x v="1"/>
    <x v="2"/>
    <s v="Single"/>
    <n v="4998"/>
    <n v="2338"/>
    <n v="4"/>
    <s v="Y"/>
    <s v="Yes"/>
    <n v="14"/>
    <n v="3"/>
    <n v="4"/>
    <n v="80"/>
    <n v="0"/>
    <n v="10"/>
    <n v="2"/>
    <n v="3"/>
    <x v="3"/>
    <n v="7"/>
    <n v="0"/>
    <n v="7"/>
    <x v="2"/>
    <x v="0"/>
  </r>
  <r>
    <n v="36"/>
    <x v="1"/>
    <s v="Travel_Rarely"/>
    <n v="363"/>
    <x v="1"/>
    <x v="0"/>
    <n v="3"/>
    <s v="Technical Degree"/>
    <n v="1"/>
    <n v="1237"/>
    <n v="3"/>
    <x v="0"/>
    <n v="77"/>
    <n v="1"/>
    <n v="3"/>
    <x v="3"/>
    <x v="3"/>
    <s v="Divorced"/>
    <n v="10252"/>
    <n v="4235"/>
    <n v="2"/>
    <s v="Y"/>
    <s v="Yes"/>
    <n v="21"/>
    <n v="4"/>
    <n v="3"/>
    <n v="80"/>
    <n v="1"/>
    <n v="17"/>
    <n v="2"/>
    <n v="3"/>
    <x v="5"/>
    <n v="7"/>
    <n v="7"/>
    <n v="7"/>
    <x v="0"/>
    <x v="2"/>
  </r>
  <r>
    <n v="33"/>
    <x v="1"/>
    <s v="Travel_Rarely"/>
    <n v="117"/>
    <x v="1"/>
    <x v="14"/>
    <n v="3"/>
    <s v="Medical"/>
    <n v="1"/>
    <n v="1238"/>
    <n v="1"/>
    <x v="1"/>
    <n v="60"/>
    <n v="3"/>
    <n v="1"/>
    <x v="1"/>
    <x v="0"/>
    <s v="Married"/>
    <n v="2781"/>
    <n v="6311"/>
    <n v="0"/>
    <s v="Y"/>
    <s v="No"/>
    <n v="13"/>
    <n v="3"/>
    <n v="2"/>
    <n v="80"/>
    <n v="1"/>
    <n v="15"/>
    <n v="5"/>
    <n v="3"/>
    <x v="13"/>
    <n v="10"/>
    <n v="4"/>
    <n v="10"/>
    <x v="2"/>
    <x v="1"/>
  </r>
  <r>
    <n v="40"/>
    <x v="1"/>
    <s v="Travel_Rarely"/>
    <n v="107"/>
    <x v="0"/>
    <x v="17"/>
    <n v="3"/>
    <s v="Technical Degree"/>
    <n v="1"/>
    <n v="1239"/>
    <n v="2"/>
    <x v="0"/>
    <n v="84"/>
    <n v="2"/>
    <n v="2"/>
    <x v="0"/>
    <x v="1"/>
    <s v="Divorced"/>
    <n v="6852"/>
    <n v="11591"/>
    <n v="7"/>
    <s v="Y"/>
    <s v="No"/>
    <n v="12"/>
    <n v="3"/>
    <n v="2"/>
    <n v="80"/>
    <n v="1"/>
    <n v="7"/>
    <n v="2"/>
    <n v="4"/>
    <x v="8"/>
    <n v="1"/>
    <n v="1"/>
    <n v="3"/>
    <x v="0"/>
    <x v="4"/>
  </r>
  <r>
    <n v="25"/>
    <x v="1"/>
    <s v="Travel_Rarely"/>
    <n v="1356"/>
    <x v="0"/>
    <x v="17"/>
    <n v="4"/>
    <s v="Life Sciences"/>
    <n v="1"/>
    <n v="1240"/>
    <n v="3"/>
    <x v="1"/>
    <n v="57"/>
    <n v="3"/>
    <n v="2"/>
    <x v="0"/>
    <x v="0"/>
    <s v="Single"/>
    <n v="4950"/>
    <n v="20623"/>
    <n v="0"/>
    <s v="Y"/>
    <s v="No"/>
    <n v="14"/>
    <n v="3"/>
    <n v="2"/>
    <n v="80"/>
    <n v="0"/>
    <n v="5"/>
    <n v="4"/>
    <n v="3"/>
    <x v="9"/>
    <n v="3"/>
    <n v="1"/>
    <n v="1"/>
    <x v="2"/>
    <x v="0"/>
  </r>
  <r>
    <n v="30"/>
    <x v="1"/>
    <s v="Travel_Rarely"/>
    <n v="1465"/>
    <x v="1"/>
    <x v="0"/>
    <n v="3"/>
    <s v="Medical"/>
    <n v="1"/>
    <n v="1241"/>
    <n v="4"/>
    <x v="1"/>
    <n v="63"/>
    <n v="3"/>
    <n v="1"/>
    <x v="1"/>
    <x v="1"/>
    <s v="Married"/>
    <n v="3579"/>
    <n v="9369"/>
    <n v="0"/>
    <s v="Y"/>
    <s v="Yes"/>
    <n v="21"/>
    <n v="4"/>
    <n v="1"/>
    <n v="80"/>
    <n v="1"/>
    <n v="12"/>
    <n v="2"/>
    <n v="3"/>
    <x v="19"/>
    <n v="9"/>
    <n v="5"/>
    <n v="7"/>
    <x v="2"/>
    <x v="0"/>
  </r>
  <r>
    <n v="42"/>
    <x v="1"/>
    <s v="Travel_Frequently"/>
    <n v="458"/>
    <x v="1"/>
    <x v="9"/>
    <n v="5"/>
    <s v="Medical"/>
    <n v="1"/>
    <n v="1242"/>
    <n v="1"/>
    <x v="0"/>
    <n v="60"/>
    <n v="3"/>
    <n v="3"/>
    <x v="7"/>
    <x v="3"/>
    <s v="Married"/>
    <n v="13191"/>
    <n v="23281"/>
    <n v="3"/>
    <s v="Y"/>
    <s v="Yes"/>
    <n v="17"/>
    <n v="3"/>
    <n v="3"/>
    <n v="80"/>
    <n v="0"/>
    <n v="20"/>
    <n v="6"/>
    <n v="3"/>
    <x v="6"/>
    <n v="0"/>
    <n v="0"/>
    <n v="0"/>
    <x v="0"/>
    <x v="3"/>
  </r>
  <r>
    <n v="35"/>
    <x v="1"/>
    <s v="Non-Travel"/>
    <n v="1212"/>
    <x v="0"/>
    <x v="1"/>
    <n v="2"/>
    <s v="Marketing"/>
    <n v="1"/>
    <n v="1243"/>
    <n v="3"/>
    <x v="0"/>
    <n v="78"/>
    <n v="2"/>
    <n v="3"/>
    <x v="0"/>
    <x v="0"/>
    <s v="Married"/>
    <n v="10377"/>
    <n v="13755"/>
    <n v="4"/>
    <s v="Y"/>
    <s v="Yes"/>
    <n v="11"/>
    <n v="3"/>
    <n v="2"/>
    <n v="80"/>
    <n v="1"/>
    <n v="16"/>
    <n v="6"/>
    <n v="2"/>
    <x v="20"/>
    <n v="2"/>
    <n v="4"/>
    <n v="12"/>
    <x v="0"/>
    <x v="2"/>
  </r>
  <r>
    <n v="27"/>
    <x v="1"/>
    <s v="Travel_Rarely"/>
    <n v="1103"/>
    <x v="1"/>
    <x v="24"/>
    <n v="3"/>
    <s v="Life Sciences"/>
    <n v="1"/>
    <n v="1244"/>
    <n v="1"/>
    <x v="1"/>
    <n v="42"/>
    <n v="3"/>
    <n v="1"/>
    <x v="1"/>
    <x v="3"/>
    <s v="Married"/>
    <n v="2235"/>
    <n v="14377"/>
    <n v="1"/>
    <s v="Y"/>
    <s v="Yes"/>
    <n v="14"/>
    <n v="3"/>
    <n v="4"/>
    <n v="80"/>
    <n v="2"/>
    <n v="9"/>
    <n v="3"/>
    <n v="2"/>
    <x v="7"/>
    <n v="7"/>
    <n v="6"/>
    <n v="8"/>
    <x v="2"/>
    <x v="1"/>
  </r>
  <r>
    <n v="54"/>
    <x v="1"/>
    <s v="Travel_Frequently"/>
    <n v="966"/>
    <x v="1"/>
    <x v="0"/>
    <n v="4"/>
    <s v="Life Sciences"/>
    <n v="1"/>
    <n v="1245"/>
    <n v="4"/>
    <x v="0"/>
    <n v="53"/>
    <n v="3"/>
    <n v="3"/>
    <x v="3"/>
    <x v="2"/>
    <s v="Divorced"/>
    <n v="10502"/>
    <n v="9659"/>
    <n v="7"/>
    <s v="Y"/>
    <s v="No"/>
    <n v="17"/>
    <n v="3"/>
    <n v="1"/>
    <n v="80"/>
    <n v="1"/>
    <n v="33"/>
    <n v="2"/>
    <n v="1"/>
    <x v="8"/>
    <n v="4"/>
    <n v="1"/>
    <n v="4"/>
    <x v="1"/>
    <x v="2"/>
  </r>
  <r>
    <n v="44"/>
    <x v="1"/>
    <s v="Travel_Rarely"/>
    <n v="1117"/>
    <x v="1"/>
    <x v="2"/>
    <n v="1"/>
    <s v="Life Sciences"/>
    <n v="1"/>
    <n v="1246"/>
    <n v="1"/>
    <x v="0"/>
    <n v="72"/>
    <n v="4"/>
    <n v="1"/>
    <x v="1"/>
    <x v="0"/>
    <s v="Married"/>
    <n v="2011"/>
    <n v="19982"/>
    <n v="1"/>
    <s v="Y"/>
    <s v="No"/>
    <n v="13"/>
    <n v="3"/>
    <n v="4"/>
    <n v="80"/>
    <n v="1"/>
    <n v="10"/>
    <n v="5"/>
    <n v="3"/>
    <x v="1"/>
    <n v="5"/>
    <n v="7"/>
    <n v="7"/>
    <x v="0"/>
    <x v="1"/>
  </r>
  <r>
    <n v="19"/>
    <x v="0"/>
    <s v="Non-Travel"/>
    <n v="504"/>
    <x v="1"/>
    <x v="17"/>
    <n v="3"/>
    <s v="Medical"/>
    <n v="1"/>
    <n v="1248"/>
    <n v="1"/>
    <x v="0"/>
    <n v="96"/>
    <n v="2"/>
    <n v="1"/>
    <x v="1"/>
    <x v="1"/>
    <s v="Single"/>
    <n v="1859"/>
    <n v="6148"/>
    <n v="1"/>
    <s v="Y"/>
    <s v="Yes"/>
    <n v="25"/>
    <n v="4"/>
    <n v="2"/>
    <n v="80"/>
    <n v="0"/>
    <n v="1"/>
    <n v="2"/>
    <n v="4"/>
    <x v="6"/>
    <n v="1"/>
    <n v="0"/>
    <n v="0"/>
    <x v="4"/>
    <x v="1"/>
  </r>
  <r>
    <n v="29"/>
    <x v="1"/>
    <s v="Travel_Rarely"/>
    <n v="1010"/>
    <x v="1"/>
    <x v="0"/>
    <n v="3"/>
    <s v="Life Sciences"/>
    <n v="1"/>
    <n v="1249"/>
    <n v="1"/>
    <x v="0"/>
    <n v="97"/>
    <n v="3"/>
    <n v="1"/>
    <x v="1"/>
    <x v="0"/>
    <s v="Divorced"/>
    <n v="3760"/>
    <n v="5598"/>
    <n v="1"/>
    <s v="Y"/>
    <s v="No"/>
    <n v="15"/>
    <n v="3"/>
    <n v="1"/>
    <n v="80"/>
    <n v="3"/>
    <n v="3"/>
    <n v="5"/>
    <n v="3"/>
    <x v="11"/>
    <n v="2"/>
    <n v="1"/>
    <n v="2"/>
    <x v="2"/>
    <x v="0"/>
  </r>
  <r>
    <n v="54"/>
    <x v="1"/>
    <s v="Travel_Rarely"/>
    <n v="685"/>
    <x v="1"/>
    <x v="3"/>
    <n v="3"/>
    <s v="Life Sciences"/>
    <n v="1"/>
    <n v="1250"/>
    <n v="4"/>
    <x v="1"/>
    <n v="85"/>
    <n v="3"/>
    <n v="4"/>
    <x v="7"/>
    <x v="0"/>
    <s v="Married"/>
    <n v="17779"/>
    <n v="23474"/>
    <n v="3"/>
    <s v="Y"/>
    <s v="No"/>
    <n v="14"/>
    <n v="3"/>
    <n v="1"/>
    <n v="80"/>
    <n v="0"/>
    <n v="36"/>
    <n v="2"/>
    <n v="3"/>
    <x v="1"/>
    <n v="9"/>
    <n v="0"/>
    <n v="9"/>
    <x v="1"/>
    <x v="3"/>
  </r>
  <r>
    <n v="31"/>
    <x v="1"/>
    <s v="Travel_Rarely"/>
    <n v="1332"/>
    <x v="1"/>
    <x v="13"/>
    <n v="2"/>
    <s v="Medical"/>
    <n v="1"/>
    <n v="1251"/>
    <n v="3"/>
    <x v="1"/>
    <n v="80"/>
    <n v="3"/>
    <n v="2"/>
    <x v="4"/>
    <x v="3"/>
    <s v="Married"/>
    <n v="6833"/>
    <n v="17089"/>
    <n v="1"/>
    <s v="Y"/>
    <s v="Yes"/>
    <n v="12"/>
    <n v="3"/>
    <n v="4"/>
    <n v="80"/>
    <n v="0"/>
    <n v="6"/>
    <n v="2"/>
    <n v="2"/>
    <x v="0"/>
    <n v="5"/>
    <n v="0"/>
    <n v="1"/>
    <x v="2"/>
    <x v="4"/>
  </r>
  <r>
    <n v="31"/>
    <x v="1"/>
    <s v="Travel_Rarely"/>
    <n v="1062"/>
    <x v="1"/>
    <x v="4"/>
    <n v="3"/>
    <s v="Medical"/>
    <n v="1"/>
    <n v="1252"/>
    <n v="3"/>
    <x v="0"/>
    <n v="96"/>
    <n v="2"/>
    <n v="2"/>
    <x v="4"/>
    <x v="3"/>
    <s v="Single"/>
    <n v="6812"/>
    <n v="17198"/>
    <n v="1"/>
    <s v="Y"/>
    <s v="No"/>
    <n v="19"/>
    <n v="3"/>
    <n v="2"/>
    <n v="80"/>
    <n v="0"/>
    <n v="10"/>
    <n v="2"/>
    <n v="3"/>
    <x v="1"/>
    <n v="9"/>
    <n v="1"/>
    <n v="8"/>
    <x v="2"/>
    <x v="4"/>
  </r>
  <r>
    <n v="59"/>
    <x v="1"/>
    <s v="Travel_Rarely"/>
    <n v="326"/>
    <x v="0"/>
    <x v="3"/>
    <n v="3"/>
    <s v="Life Sciences"/>
    <n v="1"/>
    <n v="1254"/>
    <n v="3"/>
    <x v="0"/>
    <n v="48"/>
    <n v="2"/>
    <n v="2"/>
    <x v="0"/>
    <x v="0"/>
    <s v="Single"/>
    <n v="5171"/>
    <n v="16490"/>
    <n v="5"/>
    <s v="Y"/>
    <s v="No"/>
    <n v="17"/>
    <n v="3"/>
    <n v="4"/>
    <n v="80"/>
    <n v="0"/>
    <n v="13"/>
    <n v="2"/>
    <n v="3"/>
    <x v="0"/>
    <n v="1"/>
    <n v="0"/>
    <n v="5"/>
    <x v="3"/>
    <x v="0"/>
  </r>
  <r>
    <n v="43"/>
    <x v="1"/>
    <s v="Travel_Rarely"/>
    <n v="920"/>
    <x v="1"/>
    <x v="3"/>
    <n v="3"/>
    <s v="Life Sciences"/>
    <n v="1"/>
    <n v="1255"/>
    <n v="3"/>
    <x v="1"/>
    <n v="96"/>
    <n v="1"/>
    <n v="5"/>
    <x v="7"/>
    <x v="0"/>
    <s v="Married"/>
    <n v="19740"/>
    <n v="18625"/>
    <n v="3"/>
    <s v="Y"/>
    <s v="No"/>
    <n v="14"/>
    <n v="3"/>
    <n v="2"/>
    <n v="80"/>
    <n v="1"/>
    <n v="25"/>
    <n v="2"/>
    <n v="3"/>
    <x v="3"/>
    <n v="7"/>
    <n v="0"/>
    <n v="7"/>
    <x v="0"/>
    <x v="3"/>
  </r>
  <r>
    <n v="49"/>
    <x v="1"/>
    <s v="Travel_Rarely"/>
    <n v="1098"/>
    <x v="1"/>
    <x v="18"/>
    <n v="2"/>
    <s v="Medical"/>
    <n v="1"/>
    <n v="1256"/>
    <n v="1"/>
    <x v="1"/>
    <n v="85"/>
    <n v="2"/>
    <n v="5"/>
    <x v="5"/>
    <x v="2"/>
    <s v="Married"/>
    <n v="18711"/>
    <n v="12124"/>
    <n v="2"/>
    <s v="Y"/>
    <s v="No"/>
    <n v="13"/>
    <n v="3"/>
    <n v="3"/>
    <n v="80"/>
    <n v="1"/>
    <n v="23"/>
    <n v="2"/>
    <n v="4"/>
    <x v="6"/>
    <n v="0"/>
    <n v="0"/>
    <n v="0"/>
    <x v="1"/>
    <x v="3"/>
  </r>
  <r>
    <n v="36"/>
    <x v="1"/>
    <s v="Travel_Frequently"/>
    <n v="469"/>
    <x v="1"/>
    <x v="3"/>
    <n v="3"/>
    <s v="Technical Degree"/>
    <n v="1"/>
    <n v="1257"/>
    <n v="3"/>
    <x v="1"/>
    <n v="46"/>
    <n v="3"/>
    <n v="1"/>
    <x v="1"/>
    <x v="1"/>
    <s v="Married"/>
    <n v="3692"/>
    <n v="9256"/>
    <n v="1"/>
    <s v="Y"/>
    <s v="No"/>
    <n v="12"/>
    <n v="3"/>
    <n v="3"/>
    <n v="80"/>
    <n v="0"/>
    <n v="12"/>
    <n v="2"/>
    <n v="2"/>
    <x v="19"/>
    <n v="10"/>
    <n v="0"/>
    <n v="7"/>
    <x v="0"/>
    <x v="0"/>
  </r>
  <r>
    <n v="48"/>
    <x v="1"/>
    <s v="Travel_Rarely"/>
    <n v="969"/>
    <x v="1"/>
    <x v="2"/>
    <n v="2"/>
    <s v="Technical Degree"/>
    <n v="1"/>
    <n v="1258"/>
    <n v="4"/>
    <x v="1"/>
    <n v="76"/>
    <n v="4"/>
    <n v="1"/>
    <x v="2"/>
    <x v="1"/>
    <s v="Single"/>
    <n v="2559"/>
    <n v="16620"/>
    <n v="5"/>
    <s v="Y"/>
    <s v="No"/>
    <n v="11"/>
    <n v="3"/>
    <n v="3"/>
    <n v="80"/>
    <n v="0"/>
    <n v="7"/>
    <n v="4"/>
    <n v="2"/>
    <x v="6"/>
    <n v="0"/>
    <n v="0"/>
    <n v="0"/>
    <x v="1"/>
    <x v="1"/>
  </r>
  <r>
    <n v="27"/>
    <x v="1"/>
    <s v="Travel_Rarely"/>
    <n v="1167"/>
    <x v="1"/>
    <x v="18"/>
    <n v="2"/>
    <s v="Life Sciences"/>
    <n v="1"/>
    <n v="1259"/>
    <n v="1"/>
    <x v="1"/>
    <n v="76"/>
    <n v="3"/>
    <n v="1"/>
    <x v="1"/>
    <x v="2"/>
    <s v="Divorced"/>
    <n v="2517"/>
    <n v="3208"/>
    <n v="1"/>
    <s v="Y"/>
    <s v="No"/>
    <n v="11"/>
    <n v="3"/>
    <n v="2"/>
    <n v="80"/>
    <n v="3"/>
    <n v="5"/>
    <n v="2"/>
    <n v="3"/>
    <x v="8"/>
    <n v="3"/>
    <n v="0"/>
    <n v="3"/>
    <x v="2"/>
    <x v="1"/>
  </r>
  <r>
    <n v="29"/>
    <x v="1"/>
    <s v="Travel_Rarely"/>
    <n v="1329"/>
    <x v="1"/>
    <x v="15"/>
    <n v="3"/>
    <s v="Life Sciences"/>
    <n v="1"/>
    <n v="1260"/>
    <n v="3"/>
    <x v="1"/>
    <n v="82"/>
    <n v="3"/>
    <n v="2"/>
    <x v="4"/>
    <x v="0"/>
    <s v="Divorced"/>
    <n v="6623"/>
    <n v="4204"/>
    <n v="1"/>
    <s v="Y"/>
    <s v="Yes"/>
    <n v="11"/>
    <n v="3"/>
    <n v="2"/>
    <n v="80"/>
    <n v="2"/>
    <n v="6"/>
    <n v="2"/>
    <n v="3"/>
    <x v="0"/>
    <n v="0"/>
    <n v="1"/>
    <n v="0"/>
    <x v="2"/>
    <x v="4"/>
  </r>
  <r>
    <n v="48"/>
    <x v="1"/>
    <s v="Travel_Rarely"/>
    <n v="715"/>
    <x v="1"/>
    <x v="0"/>
    <n v="3"/>
    <s v="Life Sciences"/>
    <n v="1"/>
    <n v="1263"/>
    <n v="4"/>
    <x v="1"/>
    <n v="76"/>
    <n v="2"/>
    <n v="5"/>
    <x v="7"/>
    <x v="0"/>
    <s v="Single"/>
    <n v="18265"/>
    <n v="8733"/>
    <n v="6"/>
    <s v="Y"/>
    <s v="No"/>
    <n v="12"/>
    <n v="3"/>
    <n v="3"/>
    <n v="80"/>
    <n v="0"/>
    <n v="25"/>
    <n v="3"/>
    <n v="4"/>
    <x v="6"/>
    <n v="0"/>
    <n v="0"/>
    <n v="0"/>
    <x v="1"/>
    <x v="3"/>
  </r>
  <r>
    <n v="29"/>
    <x v="1"/>
    <s v="Travel_Rarely"/>
    <n v="694"/>
    <x v="1"/>
    <x v="0"/>
    <n v="3"/>
    <s v="Life Sciences"/>
    <n v="1"/>
    <n v="1264"/>
    <n v="4"/>
    <x v="0"/>
    <n v="87"/>
    <n v="2"/>
    <n v="4"/>
    <x v="7"/>
    <x v="0"/>
    <s v="Divorced"/>
    <n v="16124"/>
    <n v="3423"/>
    <n v="3"/>
    <s v="Y"/>
    <s v="No"/>
    <n v="14"/>
    <n v="3"/>
    <n v="2"/>
    <n v="80"/>
    <n v="2"/>
    <n v="9"/>
    <n v="2"/>
    <n v="2"/>
    <x v="5"/>
    <n v="7"/>
    <n v="1"/>
    <n v="7"/>
    <x v="2"/>
    <x v="3"/>
  </r>
  <r>
    <n v="34"/>
    <x v="1"/>
    <s v="Travel_Rarely"/>
    <n v="1320"/>
    <x v="1"/>
    <x v="25"/>
    <n v="3"/>
    <s v="Technical Degree"/>
    <n v="1"/>
    <n v="1265"/>
    <n v="3"/>
    <x v="0"/>
    <n v="89"/>
    <n v="4"/>
    <n v="1"/>
    <x v="1"/>
    <x v="2"/>
    <s v="Married"/>
    <n v="2585"/>
    <n v="21643"/>
    <n v="0"/>
    <s v="Y"/>
    <s v="No"/>
    <n v="17"/>
    <n v="3"/>
    <n v="4"/>
    <n v="80"/>
    <n v="0"/>
    <n v="2"/>
    <n v="5"/>
    <n v="2"/>
    <x v="6"/>
    <n v="0"/>
    <n v="0"/>
    <n v="0"/>
    <x v="2"/>
    <x v="1"/>
  </r>
  <r>
    <n v="44"/>
    <x v="1"/>
    <s v="Travel_Rarely"/>
    <n v="1099"/>
    <x v="0"/>
    <x v="12"/>
    <n v="3"/>
    <s v="Marketing"/>
    <n v="1"/>
    <n v="1267"/>
    <n v="2"/>
    <x v="1"/>
    <n v="88"/>
    <n v="3"/>
    <n v="5"/>
    <x v="5"/>
    <x v="1"/>
    <s v="Married"/>
    <n v="18213"/>
    <n v="8751"/>
    <n v="7"/>
    <s v="Y"/>
    <s v="No"/>
    <n v="11"/>
    <n v="3"/>
    <n v="3"/>
    <n v="80"/>
    <n v="1"/>
    <n v="26"/>
    <n v="5"/>
    <n v="3"/>
    <x v="14"/>
    <n v="9"/>
    <n v="3"/>
    <n v="10"/>
    <x v="0"/>
    <x v="3"/>
  </r>
  <r>
    <n v="33"/>
    <x v="1"/>
    <s v="Travel_Rarely"/>
    <n v="536"/>
    <x v="0"/>
    <x v="17"/>
    <n v="5"/>
    <s v="Marketing"/>
    <n v="1"/>
    <n v="1268"/>
    <n v="4"/>
    <x v="1"/>
    <n v="82"/>
    <n v="4"/>
    <n v="3"/>
    <x v="0"/>
    <x v="2"/>
    <s v="Divorced"/>
    <n v="8380"/>
    <n v="21708"/>
    <n v="0"/>
    <s v="Y"/>
    <s v="Yes"/>
    <n v="14"/>
    <n v="3"/>
    <n v="4"/>
    <n v="80"/>
    <n v="2"/>
    <n v="10"/>
    <n v="3"/>
    <n v="3"/>
    <x v="7"/>
    <n v="8"/>
    <n v="0"/>
    <n v="8"/>
    <x v="2"/>
    <x v="4"/>
  </r>
  <r>
    <n v="19"/>
    <x v="1"/>
    <s v="Travel_Rarely"/>
    <n v="265"/>
    <x v="1"/>
    <x v="19"/>
    <n v="3"/>
    <s v="Life Sciences"/>
    <n v="1"/>
    <n v="1269"/>
    <n v="2"/>
    <x v="0"/>
    <n v="57"/>
    <n v="4"/>
    <n v="1"/>
    <x v="1"/>
    <x v="0"/>
    <s v="Single"/>
    <n v="2994"/>
    <n v="21221"/>
    <n v="1"/>
    <s v="Y"/>
    <s v="Yes"/>
    <n v="12"/>
    <n v="3"/>
    <n v="4"/>
    <n v="80"/>
    <n v="0"/>
    <n v="1"/>
    <n v="2"/>
    <n v="3"/>
    <x v="6"/>
    <n v="0"/>
    <n v="0"/>
    <n v="1"/>
    <x v="4"/>
    <x v="1"/>
  </r>
  <r>
    <n v="23"/>
    <x v="1"/>
    <s v="Travel_Rarely"/>
    <n v="373"/>
    <x v="1"/>
    <x v="0"/>
    <n v="2"/>
    <s v="Life Sciences"/>
    <n v="1"/>
    <n v="1270"/>
    <n v="4"/>
    <x v="1"/>
    <n v="47"/>
    <n v="3"/>
    <n v="1"/>
    <x v="1"/>
    <x v="2"/>
    <s v="Married"/>
    <n v="1223"/>
    <n v="16901"/>
    <n v="1"/>
    <s v="Y"/>
    <s v="No"/>
    <n v="22"/>
    <n v="4"/>
    <n v="4"/>
    <n v="80"/>
    <n v="1"/>
    <n v="1"/>
    <n v="2"/>
    <n v="3"/>
    <x v="6"/>
    <n v="0"/>
    <n v="0"/>
    <n v="1"/>
    <x v="4"/>
    <x v="1"/>
  </r>
  <r>
    <n v="25"/>
    <x v="0"/>
    <s v="Travel_Frequently"/>
    <n v="599"/>
    <x v="0"/>
    <x v="4"/>
    <n v="1"/>
    <s v="Life Sciences"/>
    <n v="1"/>
    <n v="1273"/>
    <n v="3"/>
    <x v="1"/>
    <n v="73"/>
    <n v="1"/>
    <n v="1"/>
    <x v="6"/>
    <x v="0"/>
    <s v="Single"/>
    <n v="1118"/>
    <n v="8040"/>
    <n v="1"/>
    <s v="Y"/>
    <s v="Yes"/>
    <n v="14"/>
    <n v="3"/>
    <n v="4"/>
    <n v="80"/>
    <n v="0"/>
    <n v="1"/>
    <n v="4"/>
    <n v="3"/>
    <x v="6"/>
    <n v="0"/>
    <n v="1"/>
    <n v="0"/>
    <x v="2"/>
    <x v="1"/>
  </r>
  <r>
    <n v="26"/>
    <x v="1"/>
    <s v="Travel_Rarely"/>
    <n v="583"/>
    <x v="1"/>
    <x v="18"/>
    <n v="2"/>
    <s v="Life Sciences"/>
    <n v="1"/>
    <n v="1275"/>
    <n v="3"/>
    <x v="1"/>
    <n v="53"/>
    <n v="3"/>
    <n v="1"/>
    <x v="1"/>
    <x v="0"/>
    <s v="Single"/>
    <n v="2875"/>
    <n v="9973"/>
    <n v="1"/>
    <s v="Y"/>
    <s v="Yes"/>
    <n v="20"/>
    <n v="4"/>
    <n v="2"/>
    <n v="80"/>
    <n v="0"/>
    <n v="8"/>
    <n v="2"/>
    <n v="2"/>
    <x v="3"/>
    <n v="5"/>
    <n v="2"/>
    <n v="2"/>
    <x v="2"/>
    <x v="1"/>
  </r>
  <r>
    <n v="45"/>
    <x v="0"/>
    <s v="Travel_Rarely"/>
    <n v="1449"/>
    <x v="0"/>
    <x v="2"/>
    <n v="3"/>
    <s v="Marketing"/>
    <n v="1"/>
    <n v="1277"/>
    <n v="1"/>
    <x v="0"/>
    <n v="94"/>
    <n v="1"/>
    <n v="5"/>
    <x v="5"/>
    <x v="1"/>
    <s v="Single"/>
    <n v="18824"/>
    <n v="2493"/>
    <n v="2"/>
    <s v="Y"/>
    <s v="Yes"/>
    <n v="16"/>
    <n v="3"/>
    <n v="1"/>
    <n v="80"/>
    <n v="0"/>
    <n v="26"/>
    <n v="2"/>
    <n v="3"/>
    <x v="25"/>
    <n v="10"/>
    <n v="1"/>
    <n v="11"/>
    <x v="1"/>
    <x v="3"/>
  </r>
  <r>
    <n v="55"/>
    <x v="1"/>
    <s v="Non-Travel"/>
    <n v="177"/>
    <x v="1"/>
    <x v="1"/>
    <n v="1"/>
    <s v="Medical"/>
    <n v="1"/>
    <n v="1278"/>
    <n v="4"/>
    <x v="1"/>
    <n v="37"/>
    <n v="2"/>
    <n v="4"/>
    <x v="4"/>
    <x v="1"/>
    <s v="Divorced"/>
    <n v="13577"/>
    <n v="25592"/>
    <n v="1"/>
    <s v="Y"/>
    <s v="Yes"/>
    <n v="15"/>
    <n v="3"/>
    <n v="4"/>
    <n v="80"/>
    <n v="1"/>
    <n v="34"/>
    <n v="3"/>
    <n v="3"/>
    <x v="26"/>
    <n v="9"/>
    <n v="15"/>
    <n v="0"/>
    <x v="3"/>
    <x v="3"/>
  </r>
  <r>
    <n v="21"/>
    <x v="0"/>
    <s v="Travel_Frequently"/>
    <n v="251"/>
    <x v="1"/>
    <x v="17"/>
    <n v="2"/>
    <s v="Life Sciences"/>
    <n v="1"/>
    <n v="1279"/>
    <n v="1"/>
    <x v="0"/>
    <n v="45"/>
    <n v="2"/>
    <n v="1"/>
    <x v="2"/>
    <x v="2"/>
    <s v="Single"/>
    <n v="2625"/>
    <n v="25308"/>
    <n v="1"/>
    <s v="Y"/>
    <s v="No"/>
    <n v="20"/>
    <n v="4"/>
    <n v="3"/>
    <n v="80"/>
    <n v="0"/>
    <n v="2"/>
    <n v="2"/>
    <n v="1"/>
    <x v="4"/>
    <n v="2"/>
    <n v="2"/>
    <n v="2"/>
    <x v="4"/>
    <x v="1"/>
  </r>
  <r>
    <n v="46"/>
    <x v="1"/>
    <s v="Travel_Rarely"/>
    <n v="168"/>
    <x v="0"/>
    <x v="18"/>
    <n v="2"/>
    <s v="Marketing"/>
    <n v="1"/>
    <n v="1280"/>
    <n v="4"/>
    <x v="0"/>
    <n v="33"/>
    <n v="2"/>
    <n v="5"/>
    <x v="5"/>
    <x v="1"/>
    <s v="Married"/>
    <n v="18789"/>
    <n v="9946"/>
    <n v="2"/>
    <s v="Y"/>
    <s v="No"/>
    <n v="14"/>
    <n v="3"/>
    <n v="3"/>
    <n v="80"/>
    <n v="1"/>
    <n v="26"/>
    <n v="2"/>
    <n v="3"/>
    <x v="19"/>
    <n v="4"/>
    <n v="0"/>
    <n v="8"/>
    <x v="1"/>
    <x v="3"/>
  </r>
  <r>
    <n v="34"/>
    <x v="1"/>
    <s v="Travel_Rarely"/>
    <n v="131"/>
    <x v="0"/>
    <x v="2"/>
    <n v="3"/>
    <s v="Marketing"/>
    <n v="1"/>
    <n v="1281"/>
    <n v="3"/>
    <x v="0"/>
    <n v="86"/>
    <n v="3"/>
    <n v="2"/>
    <x v="0"/>
    <x v="3"/>
    <s v="Single"/>
    <n v="4538"/>
    <n v="6039"/>
    <n v="0"/>
    <s v="Y"/>
    <s v="Yes"/>
    <n v="12"/>
    <n v="3"/>
    <n v="4"/>
    <n v="80"/>
    <n v="0"/>
    <n v="4"/>
    <n v="3"/>
    <n v="3"/>
    <x v="11"/>
    <n v="2"/>
    <n v="0"/>
    <n v="2"/>
    <x v="2"/>
    <x v="0"/>
  </r>
  <r>
    <n v="51"/>
    <x v="1"/>
    <s v="Travel_Frequently"/>
    <n v="237"/>
    <x v="0"/>
    <x v="14"/>
    <n v="3"/>
    <s v="Life Sciences"/>
    <n v="1"/>
    <n v="1282"/>
    <n v="4"/>
    <x v="1"/>
    <n v="83"/>
    <n v="3"/>
    <n v="5"/>
    <x v="5"/>
    <x v="1"/>
    <s v="Divorced"/>
    <n v="19847"/>
    <n v="19196"/>
    <n v="4"/>
    <s v="Y"/>
    <s v="Yes"/>
    <n v="24"/>
    <n v="4"/>
    <n v="1"/>
    <n v="80"/>
    <n v="1"/>
    <n v="31"/>
    <n v="5"/>
    <n v="2"/>
    <x v="30"/>
    <n v="10"/>
    <n v="11"/>
    <n v="10"/>
    <x v="1"/>
    <x v="3"/>
  </r>
  <r>
    <n v="59"/>
    <x v="1"/>
    <s v="Travel_Rarely"/>
    <n v="1429"/>
    <x v="1"/>
    <x v="21"/>
    <n v="4"/>
    <s v="Medical"/>
    <n v="1"/>
    <n v="1283"/>
    <n v="4"/>
    <x v="1"/>
    <n v="67"/>
    <n v="3"/>
    <n v="3"/>
    <x v="3"/>
    <x v="0"/>
    <s v="Single"/>
    <n v="10512"/>
    <n v="20002"/>
    <n v="6"/>
    <s v="Y"/>
    <s v="No"/>
    <n v="12"/>
    <n v="3"/>
    <n v="4"/>
    <n v="80"/>
    <n v="0"/>
    <n v="25"/>
    <n v="6"/>
    <n v="2"/>
    <x v="7"/>
    <n v="7"/>
    <n v="5"/>
    <n v="4"/>
    <x v="3"/>
    <x v="2"/>
  </r>
  <r>
    <n v="34"/>
    <x v="1"/>
    <s v="Travel_Frequently"/>
    <n v="135"/>
    <x v="1"/>
    <x v="10"/>
    <n v="3"/>
    <s v="Medical"/>
    <n v="1"/>
    <n v="1285"/>
    <n v="3"/>
    <x v="0"/>
    <n v="46"/>
    <n v="3"/>
    <n v="2"/>
    <x v="2"/>
    <x v="1"/>
    <s v="Divorced"/>
    <n v="4444"/>
    <n v="22534"/>
    <n v="4"/>
    <s v="Y"/>
    <s v="No"/>
    <n v="13"/>
    <n v="3"/>
    <n v="3"/>
    <n v="80"/>
    <n v="2"/>
    <n v="15"/>
    <n v="2"/>
    <n v="4"/>
    <x v="19"/>
    <n v="8"/>
    <n v="5"/>
    <n v="10"/>
    <x v="2"/>
    <x v="0"/>
  </r>
  <r>
    <n v="28"/>
    <x v="1"/>
    <s v="Travel_Frequently"/>
    <n v="791"/>
    <x v="1"/>
    <x v="0"/>
    <n v="4"/>
    <s v="Medical"/>
    <n v="1"/>
    <n v="1286"/>
    <n v="4"/>
    <x v="1"/>
    <n v="44"/>
    <n v="3"/>
    <n v="1"/>
    <x v="2"/>
    <x v="2"/>
    <s v="Single"/>
    <n v="2154"/>
    <n v="6842"/>
    <n v="0"/>
    <s v="Y"/>
    <s v="Yes"/>
    <n v="11"/>
    <n v="3"/>
    <n v="3"/>
    <n v="80"/>
    <n v="0"/>
    <n v="5"/>
    <n v="2"/>
    <n v="2"/>
    <x v="9"/>
    <n v="2"/>
    <n v="0"/>
    <n v="2"/>
    <x v="2"/>
    <x v="1"/>
  </r>
  <r>
    <n v="44"/>
    <x v="1"/>
    <s v="Travel_Rarely"/>
    <n v="1199"/>
    <x v="1"/>
    <x v="18"/>
    <n v="2"/>
    <s v="Life Sciences"/>
    <n v="1"/>
    <n v="1288"/>
    <n v="3"/>
    <x v="1"/>
    <n v="92"/>
    <n v="4"/>
    <n v="5"/>
    <x v="5"/>
    <x v="3"/>
    <s v="Divorced"/>
    <n v="19190"/>
    <n v="17477"/>
    <n v="1"/>
    <s v="Y"/>
    <s v="No"/>
    <n v="14"/>
    <n v="3"/>
    <n v="4"/>
    <n v="80"/>
    <n v="2"/>
    <n v="26"/>
    <n v="4"/>
    <n v="2"/>
    <x v="10"/>
    <n v="9"/>
    <n v="14"/>
    <n v="13"/>
    <x v="0"/>
    <x v="3"/>
  </r>
  <r>
    <n v="34"/>
    <x v="1"/>
    <s v="Travel_Frequently"/>
    <n v="648"/>
    <x v="2"/>
    <x v="13"/>
    <n v="3"/>
    <s v="Life Sciences"/>
    <n v="1"/>
    <n v="1289"/>
    <n v="3"/>
    <x v="1"/>
    <n v="56"/>
    <n v="2"/>
    <n v="2"/>
    <x v="8"/>
    <x v="1"/>
    <s v="Married"/>
    <n v="4490"/>
    <n v="21833"/>
    <n v="4"/>
    <s v="Y"/>
    <s v="No"/>
    <n v="11"/>
    <n v="3"/>
    <n v="4"/>
    <n v="80"/>
    <n v="2"/>
    <n v="14"/>
    <n v="5"/>
    <n v="4"/>
    <x v="1"/>
    <n v="9"/>
    <n v="1"/>
    <n v="8"/>
    <x v="2"/>
    <x v="0"/>
  </r>
  <r>
    <n v="35"/>
    <x v="1"/>
    <s v="Travel_Rarely"/>
    <n v="735"/>
    <x v="1"/>
    <x v="16"/>
    <n v="1"/>
    <s v="Life Sciences"/>
    <n v="1"/>
    <n v="1291"/>
    <n v="3"/>
    <x v="1"/>
    <n v="66"/>
    <n v="3"/>
    <n v="1"/>
    <x v="1"/>
    <x v="2"/>
    <s v="Married"/>
    <n v="3506"/>
    <n v="6020"/>
    <n v="0"/>
    <s v="Y"/>
    <s v="Yes"/>
    <n v="14"/>
    <n v="3"/>
    <n v="4"/>
    <n v="80"/>
    <n v="0"/>
    <n v="4"/>
    <n v="3"/>
    <n v="3"/>
    <x v="11"/>
    <n v="2"/>
    <n v="2"/>
    <n v="2"/>
    <x v="0"/>
    <x v="0"/>
  </r>
  <r>
    <n v="42"/>
    <x v="1"/>
    <s v="Travel_Rarely"/>
    <n v="603"/>
    <x v="1"/>
    <x v="15"/>
    <n v="4"/>
    <s v="Medical"/>
    <n v="1"/>
    <n v="1292"/>
    <n v="2"/>
    <x v="0"/>
    <n v="78"/>
    <n v="4"/>
    <n v="2"/>
    <x v="1"/>
    <x v="1"/>
    <s v="Married"/>
    <n v="2372"/>
    <n v="5628"/>
    <n v="6"/>
    <s v="Y"/>
    <s v="Yes"/>
    <n v="16"/>
    <n v="3"/>
    <n v="4"/>
    <n v="80"/>
    <n v="0"/>
    <n v="18"/>
    <n v="2"/>
    <n v="3"/>
    <x v="6"/>
    <n v="0"/>
    <n v="0"/>
    <n v="0"/>
    <x v="0"/>
    <x v="1"/>
  </r>
  <r>
    <n v="43"/>
    <x v="1"/>
    <s v="Travel_Rarely"/>
    <n v="531"/>
    <x v="0"/>
    <x v="18"/>
    <n v="4"/>
    <s v="Marketing"/>
    <n v="1"/>
    <n v="1293"/>
    <n v="4"/>
    <x v="0"/>
    <n v="56"/>
    <n v="2"/>
    <n v="3"/>
    <x v="0"/>
    <x v="0"/>
    <s v="Single"/>
    <n v="10231"/>
    <n v="20364"/>
    <n v="3"/>
    <s v="Y"/>
    <s v="No"/>
    <n v="14"/>
    <n v="3"/>
    <n v="4"/>
    <n v="80"/>
    <n v="0"/>
    <n v="23"/>
    <n v="3"/>
    <n v="4"/>
    <x v="17"/>
    <n v="7"/>
    <n v="15"/>
    <n v="17"/>
    <x v="0"/>
    <x v="2"/>
  </r>
  <r>
    <n v="36"/>
    <x v="1"/>
    <s v="Travel_Rarely"/>
    <n v="429"/>
    <x v="1"/>
    <x v="2"/>
    <n v="4"/>
    <s v="Life Sciences"/>
    <n v="1"/>
    <n v="1294"/>
    <n v="3"/>
    <x v="0"/>
    <n v="53"/>
    <n v="3"/>
    <n v="2"/>
    <x v="3"/>
    <x v="1"/>
    <s v="Single"/>
    <n v="5410"/>
    <n v="2323"/>
    <n v="9"/>
    <s v="Y"/>
    <s v="Yes"/>
    <n v="11"/>
    <n v="3"/>
    <n v="4"/>
    <n v="80"/>
    <n v="0"/>
    <n v="18"/>
    <n v="2"/>
    <n v="3"/>
    <x v="22"/>
    <n v="14"/>
    <n v="5"/>
    <n v="12"/>
    <x v="0"/>
    <x v="0"/>
  </r>
  <r>
    <n v="44"/>
    <x v="0"/>
    <s v="Travel_Rarely"/>
    <n v="621"/>
    <x v="1"/>
    <x v="8"/>
    <n v="3"/>
    <s v="Medical"/>
    <n v="1"/>
    <n v="1295"/>
    <n v="1"/>
    <x v="0"/>
    <n v="73"/>
    <n v="3"/>
    <n v="3"/>
    <x v="4"/>
    <x v="0"/>
    <s v="Married"/>
    <n v="7978"/>
    <n v="14075"/>
    <n v="1"/>
    <s v="Y"/>
    <s v="No"/>
    <n v="11"/>
    <n v="3"/>
    <n v="4"/>
    <n v="80"/>
    <n v="1"/>
    <n v="10"/>
    <n v="2"/>
    <n v="3"/>
    <x v="1"/>
    <n v="7"/>
    <n v="0"/>
    <n v="5"/>
    <x v="0"/>
    <x v="4"/>
  </r>
  <r>
    <n v="28"/>
    <x v="1"/>
    <s v="Travel_Frequently"/>
    <n v="193"/>
    <x v="1"/>
    <x v="2"/>
    <n v="3"/>
    <s v="Life Sciences"/>
    <n v="1"/>
    <n v="1296"/>
    <n v="4"/>
    <x v="1"/>
    <n v="52"/>
    <n v="2"/>
    <n v="1"/>
    <x v="2"/>
    <x v="0"/>
    <s v="Married"/>
    <n v="3867"/>
    <n v="14222"/>
    <n v="1"/>
    <s v="Y"/>
    <s v="Yes"/>
    <n v="12"/>
    <n v="3"/>
    <n v="2"/>
    <n v="80"/>
    <n v="1"/>
    <n v="2"/>
    <n v="2"/>
    <n v="3"/>
    <x v="4"/>
    <n v="2"/>
    <n v="2"/>
    <n v="2"/>
    <x v="2"/>
    <x v="0"/>
  </r>
  <r>
    <n v="51"/>
    <x v="1"/>
    <s v="Travel_Frequently"/>
    <n v="968"/>
    <x v="1"/>
    <x v="16"/>
    <n v="2"/>
    <s v="Medical"/>
    <n v="1"/>
    <n v="1297"/>
    <n v="2"/>
    <x v="0"/>
    <n v="40"/>
    <n v="2"/>
    <n v="1"/>
    <x v="2"/>
    <x v="2"/>
    <s v="Single"/>
    <n v="2838"/>
    <n v="4257"/>
    <n v="0"/>
    <s v="Y"/>
    <s v="No"/>
    <n v="14"/>
    <n v="3"/>
    <n v="2"/>
    <n v="80"/>
    <n v="0"/>
    <n v="8"/>
    <n v="6"/>
    <n v="2"/>
    <x v="5"/>
    <n v="0"/>
    <n v="7"/>
    <n v="7"/>
    <x v="1"/>
    <x v="1"/>
  </r>
  <r>
    <n v="30"/>
    <x v="1"/>
    <s v="Non-Travel"/>
    <n v="879"/>
    <x v="1"/>
    <x v="14"/>
    <n v="2"/>
    <s v="Medical"/>
    <n v="1"/>
    <n v="1298"/>
    <n v="3"/>
    <x v="0"/>
    <n v="72"/>
    <n v="3"/>
    <n v="2"/>
    <x v="3"/>
    <x v="2"/>
    <s v="Single"/>
    <n v="4695"/>
    <n v="12858"/>
    <n v="7"/>
    <s v="Y"/>
    <s v="Yes"/>
    <n v="18"/>
    <n v="3"/>
    <n v="3"/>
    <n v="80"/>
    <n v="0"/>
    <n v="10"/>
    <n v="3"/>
    <n v="3"/>
    <x v="3"/>
    <n v="4"/>
    <n v="1"/>
    <n v="7"/>
    <x v="2"/>
    <x v="0"/>
  </r>
  <r>
    <n v="29"/>
    <x v="0"/>
    <s v="Travel_Rarely"/>
    <n v="806"/>
    <x v="1"/>
    <x v="15"/>
    <n v="3"/>
    <s v="Technical Degree"/>
    <n v="1"/>
    <n v="1299"/>
    <n v="2"/>
    <x v="0"/>
    <n v="39"/>
    <n v="3"/>
    <n v="1"/>
    <x v="2"/>
    <x v="2"/>
    <s v="Divorced"/>
    <n v="3339"/>
    <n v="17285"/>
    <n v="3"/>
    <s v="Y"/>
    <s v="Yes"/>
    <n v="13"/>
    <n v="3"/>
    <n v="1"/>
    <n v="80"/>
    <n v="2"/>
    <n v="10"/>
    <n v="2"/>
    <n v="3"/>
    <x v="5"/>
    <n v="7"/>
    <n v="7"/>
    <n v="7"/>
    <x v="2"/>
    <x v="0"/>
  </r>
  <r>
    <n v="28"/>
    <x v="1"/>
    <s v="Travel_Rarely"/>
    <n v="640"/>
    <x v="1"/>
    <x v="0"/>
    <n v="3"/>
    <s v="Technical Degree"/>
    <n v="1"/>
    <n v="1301"/>
    <n v="4"/>
    <x v="1"/>
    <n v="84"/>
    <n v="3"/>
    <n v="1"/>
    <x v="1"/>
    <x v="3"/>
    <s v="Single"/>
    <n v="2080"/>
    <n v="4732"/>
    <n v="2"/>
    <s v="Y"/>
    <s v="No"/>
    <n v="11"/>
    <n v="3"/>
    <n v="2"/>
    <n v="80"/>
    <n v="0"/>
    <n v="5"/>
    <n v="2"/>
    <n v="2"/>
    <x v="11"/>
    <n v="2"/>
    <n v="1"/>
    <n v="2"/>
    <x v="2"/>
    <x v="1"/>
  </r>
  <r>
    <n v="25"/>
    <x v="1"/>
    <s v="Travel_Rarely"/>
    <n v="266"/>
    <x v="1"/>
    <x v="0"/>
    <n v="3"/>
    <s v="Medical"/>
    <n v="1"/>
    <n v="1303"/>
    <n v="4"/>
    <x v="0"/>
    <n v="40"/>
    <n v="3"/>
    <n v="1"/>
    <x v="1"/>
    <x v="1"/>
    <s v="Single"/>
    <n v="2096"/>
    <n v="18830"/>
    <n v="1"/>
    <s v="Y"/>
    <s v="No"/>
    <n v="18"/>
    <n v="3"/>
    <n v="4"/>
    <n v="80"/>
    <n v="0"/>
    <n v="2"/>
    <n v="3"/>
    <n v="2"/>
    <x v="4"/>
    <n v="2"/>
    <n v="2"/>
    <n v="1"/>
    <x v="2"/>
    <x v="1"/>
  </r>
  <r>
    <n v="32"/>
    <x v="1"/>
    <s v="Travel_Rarely"/>
    <n v="604"/>
    <x v="0"/>
    <x v="1"/>
    <n v="3"/>
    <s v="Medical"/>
    <n v="1"/>
    <n v="1304"/>
    <n v="3"/>
    <x v="1"/>
    <n v="56"/>
    <n v="4"/>
    <n v="2"/>
    <x v="0"/>
    <x v="0"/>
    <s v="Married"/>
    <n v="6209"/>
    <n v="11693"/>
    <n v="1"/>
    <s v="Y"/>
    <s v="No"/>
    <n v="15"/>
    <n v="3"/>
    <n v="3"/>
    <n v="80"/>
    <n v="2"/>
    <n v="10"/>
    <n v="4"/>
    <n v="4"/>
    <x v="1"/>
    <n v="7"/>
    <n v="0"/>
    <n v="8"/>
    <x v="2"/>
    <x v="4"/>
  </r>
  <r>
    <n v="45"/>
    <x v="1"/>
    <s v="Travel_Frequently"/>
    <n v="364"/>
    <x v="1"/>
    <x v="19"/>
    <n v="3"/>
    <s v="Medical"/>
    <n v="1"/>
    <n v="1306"/>
    <n v="2"/>
    <x v="0"/>
    <n v="83"/>
    <n v="3"/>
    <n v="5"/>
    <x v="5"/>
    <x v="1"/>
    <s v="Single"/>
    <n v="18061"/>
    <n v="13035"/>
    <n v="3"/>
    <s v="Y"/>
    <s v="No"/>
    <n v="22"/>
    <n v="4"/>
    <n v="3"/>
    <n v="80"/>
    <n v="0"/>
    <n v="22"/>
    <n v="4"/>
    <n v="3"/>
    <x v="2"/>
    <n v="0"/>
    <n v="0"/>
    <n v="0"/>
    <x v="1"/>
    <x v="3"/>
  </r>
  <r>
    <n v="39"/>
    <x v="1"/>
    <s v="Travel_Rarely"/>
    <n v="412"/>
    <x v="1"/>
    <x v="28"/>
    <n v="4"/>
    <s v="Medical"/>
    <n v="1"/>
    <n v="1307"/>
    <n v="3"/>
    <x v="0"/>
    <n v="94"/>
    <n v="2"/>
    <n v="4"/>
    <x v="5"/>
    <x v="1"/>
    <s v="Divorced"/>
    <n v="17123"/>
    <n v="17334"/>
    <n v="6"/>
    <s v="Y"/>
    <s v="Yes"/>
    <n v="13"/>
    <n v="3"/>
    <n v="4"/>
    <n v="80"/>
    <n v="2"/>
    <n v="21"/>
    <n v="4"/>
    <n v="3"/>
    <x v="27"/>
    <n v="9"/>
    <n v="15"/>
    <n v="2"/>
    <x v="0"/>
    <x v="3"/>
  </r>
  <r>
    <n v="58"/>
    <x v="1"/>
    <s v="Travel_Rarely"/>
    <n v="848"/>
    <x v="1"/>
    <x v="5"/>
    <n v="4"/>
    <s v="Life Sciences"/>
    <n v="1"/>
    <n v="1308"/>
    <n v="1"/>
    <x v="1"/>
    <n v="88"/>
    <n v="3"/>
    <n v="1"/>
    <x v="1"/>
    <x v="2"/>
    <s v="Divorced"/>
    <n v="2372"/>
    <n v="26076"/>
    <n v="1"/>
    <s v="Y"/>
    <s v="No"/>
    <n v="12"/>
    <n v="3"/>
    <n v="4"/>
    <n v="80"/>
    <n v="2"/>
    <n v="2"/>
    <n v="3"/>
    <n v="3"/>
    <x v="4"/>
    <n v="2"/>
    <n v="2"/>
    <n v="2"/>
    <x v="3"/>
    <x v="1"/>
  </r>
  <r>
    <n v="32"/>
    <x v="0"/>
    <s v="Travel_Rarely"/>
    <n v="1089"/>
    <x v="1"/>
    <x v="15"/>
    <n v="2"/>
    <s v="Life Sciences"/>
    <n v="1"/>
    <n v="1309"/>
    <n v="4"/>
    <x v="1"/>
    <n v="79"/>
    <n v="3"/>
    <n v="2"/>
    <x v="2"/>
    <x v="2"/>
    <s v="Married"/>
    <n v="4883"/>
    <n v="22845"/>
    <n v="1"/>
    <s v="Y"/>
    <s v="No"/>
    <n v="18"/>
    <n v="3"/>
    <n v="1"/>
    <n v="80"/>
    <n v="1"/>
    <n v="10"/>
    <n v="3"/>
    <n v="3"/>
    <x v="1"/>
    <n v="4"/>
    <n v="1"/>
    <n v="1"/>
    <x v="2"/>
    <x v="0"/>
  </r>
  <r>
    <n v="39"/>
    <x v="0"/>
    <s v="Travel_Rarely"/>
    <n v="360"/>
    <x v="1"/>
    <x v="5"/>
    <n v="3"/>
    <s v="Medical"/>
    <n v="1"/>
    <n v="1310"/>
    <n v="3"/>
    <x v="1"/>
    <n v="93"/>
    <n v="3"/>
    <n v="1"/>
    <x v="1"/>
    <x v="3"/>
    <s v="Single"/>
    <n v="3904"/>
    <n v="22154"/>
    <n v="0"/>
    <s v="Y"/>
    <s v="No"/>
    <n v="13"/>
    <n v="3"/>
    <n v="1"/>
    <n v="80"/>
    <n v="0"/>
    <n v="6"/>
    <n v="2"/>
    <n v="3"/>
    <x v="8"/>
    <n v="2"/>
    <n v="0"/>
    <n v="3"/>
    <x v="0"/>
    <x v="0"/>
  </r>
  <r>
    <n v="30"/>
    <x v="1"/>
    <s v="Travel_Rarely"/>
    <n v="1138"/>
    <x v="1"/>
    <x v="16"/>
    <n v="3"/>
    <s v="Technical Degree"/>
    <n v="1"/>
    <n v="1311"/>
    <n v="1"/>
    <x v="0"/>
    <n v="48"/>
    <n v="2"/>
    <n v="2"/>
    <x v="2"/>
    <x v="0"/>
    <s v="Married"/>
    <n v="4627"/>
    <n v="23631"/>
    <n v="0"/>
    <s v="Y"/>
    <s v="No"/>
    <n v="12"/>
    <n v="3"/>
    <n v="1"/>
    <n v="80"/>
    <n v="1"/>
    <n v="10"/>
    <n v="6"/>
    <n v="3"/>
    <x v="7"/>
    <n v="2"/>
    <n v="6"/>
    <n v="7"/>
    <x v="2"/>
    <x v="0"/>
  </r>
  <r>
    <n v="36"/>
    <x v="1"/>
    <s v="Travel_Rarely"/>
    <n v="325"/>
    <x v="1"/>
    <x v="17"/>
    <n v="4"/>
    <s v="Technical Degree"/>
    <n v="1"/>
    <n v="1312"/>
    <n v="4"/>
    <x v="0"/>
    <n v="63"/>
    <n v="3"/>
    <n v="3"/>
    <x v="4"/>
    <x v="2"/>
    <s v="Married"/>
    <n v="7094"/>
    <n v="5747"/>
    <n v="3"/>
    <s v="Y"/>
    <s v="No"/>
    <n v="12"/>
    <n v="3"/>
    <n v="1"/>
    <n v="80"/>
    <n v="0"/>
    <n v="10"/>
    <n v="0"/>
    <n v="3"/>
    <x v="5"/>
    <n v="7"/>
    <n v="1"/>
    <n v="7"/>
    <x v="0"/>
    <x v="4"/>
  </r>
  <r>
    <n v="46"/>
    <x v="1"/>
    <s v="Travel_Rarely"/>
    <n v="991"/>
    <x v="2"/>
    <x v="0"/>
    <n v="2"/>
    <s v="Life Sciences"/>
    <n v="1"/>
    <n v="1314"/>
    <n v="4"/>
    <x v="0"/>
    <n v="44"/>
    <n v="3"/>
    <n v="1"/>
    <x v="8"/>
    <x v="3"/>
    <s v="Single"/>
    <n v="3423"/>
    <n v="22957"/>
    <n v="6"/>
    <s v="Y"/>
    <s v="No"/>
    <n v="12"/>
    <n v="3"/>
    <n v="3"/>
    <n v="80"/>
    <n v="0"/>
    <n v="10"/>
    <n v="3"/>
    <n v="4"/>
    <x v="5"/>
    <n v="6"/>
    <n v="5"/>
    <n v="7"/>
    <x v="1"/>
    <x v="0"/>
  </r>
  <r>
    <n v="28"/>
    <x v="1"/>
    <s v="Non-Travel"/>
    <n v="1476"/>
    <x v="1"/>
    <x v="0"/>
    <n v="3"/>
    <s v="Life Sciences"/>
    <n v="1"/>
    <n v="1315"/>
    <n v="3"/>
    <x v="0"/>
    <n v="55"/>
    <n v="1"/>
    <n v="2"/>
    <x v="2"/>
    <x v="0"/>
    <s v="Married"/>
    <n v="6674"/>
    <n v="16392"/>
    <n v="0"/>
    <s v="Y"/>
    <s v="No"/>
    <n v="11"/>
    <n v="3"/>
    <n v="1"/>
    <n v="80"/>
    <n v="3"/>
    <n v="10"/>
    <n v="6"/>
    <n v="3"/>
    <x v="7"/>
    <n v="8"/>
    <n v="7"/>
    <n v="5"/>
    <x v="2"/>
    <x v="4"/>
  </r>
  <r>
    <n v="50"/>
    <x v="1"/>
    <s v="Travel_Rarely"/>
    <n v="1322"/>
    <x v="1"/>
    <x v="26"/>
    <n v="3"/>
    <s v="Life Sciences"/>
    <n v="1"/>
    <n v="1317"/>
    <n v="4"/>
    <x v="0"/>
    <n v="43"/>
    <n v="3"/>
    <n v="4"/>
    <x v="7"/>
    <x v="3"/>
    <s v="Married"/>
    <n v="16880"/>
    <n v="22422"/>
    <n v="4"/>
    <s v="Y"/>
    <s v="Yes"/>
    <n v="11"/>
    <n v="3"/>
    <n v="2"/>
    <n v="80"/>
    <n v="0"/>
    <n v="25"/>
    <n v="2"/>
    <n v="3"/>
    <x v="11"/>
    <n v="2"/>
    <n v="1"/>
    <n v="2"/>
    <x v="1"/>
    <x v="3"/>
  </r>
  <r>
    <n v="40"/>
    <x v="0"/>
    <s v="Travel_Rarely"/>
    <n v="299"/>
    <x v="0"/>
    <x v="19"/>
    <n v="4"/>
    <s v="Marketing"/>
    <n v="1"/>
    <n v="1318"/>
    <n v="4"/>
    <x v="1"/>
    <n v="57"/>
    <n v="2"/>
    <n v="3"/>
    <x v="0"/>
    <x v="1"/>
    <s v="Single"/>
    <n v="9094"/>
    <n v="17235"/>
    <n v="2"/>
    <s v="Y"/>
    <s v="Yes"/>
    <n v="12"/>
    <n v="3"/>
    <n v="3"/>
    <n v="80"/>
    <n v="0"/>
    <n v="9"/>
    <n v="2"/>
    <n v="3"/>
    <x v="8"/>
    <n v="4"/>
    <n v="1"/>
    <n v="0"/>
    <x v="0"/>
    <x v="2"/>
  </r>
  <r>
    <n v="52"/>
    <x v="0"/>
    <s v="Travel_Rarely"/>
    <n v="1030"/>
    <x v="0"/>
    <x v="12"/>
    <n v="3"/>
    <s v="Life Sciences"/>
    <n v="1"/>
    <n v="1319"/>
    <n v="2"/>
    <x v="1"/>
    <n v="64"/>
    <n v="3"/>
    <n v="3"/>
    <x v="0"/>
    <x v="1"/>
    <s v="Single"/>
    <n v="8446"/>
    <n v="21534"/>
    <n v="9"/>
    <s v="Y"/>
    <s v="Yes"/>
    <n v="19"/>
    <n v="3"/>
    <n v="3"/>
    <n v="80"/>
    <n v="0"/>
    <n v="10"/>
    <n v="2"/>
    <n v="2"/>
    <x v="3"/>
    <n v="7"/>
    <n v="7"/>
    <n v="7"/>
    <x v="1"/>
    <x v="4"/>
  </r>
  <r>
    <n v="30"/>
    <x v="1"/>
    <s v="Travel_Rarely"/>
    <n v="634"/>
    <x v="1"/>
    <x v="27"/>
    <n v="4"/>
    <s v="Medical"/>
    <n v="1"/>
    <n v="1321"/>
    <n v="2"/>
    <x v="0"/>
    <n v="95"/>
    <n v="3"/>
    <n v="3"/>
    <x v="5"/>
    <x v="3"/>
    <s v="Married"/>
    <n v="11916"/>
    <n v="25927"/>
    <n v="1"/>
    <s v="Y"/>
    <s v="Yes"/>
    <n v="23"/>
    <n v="4"/>
    <n v="4"/>
    <n v="80"/>
    <n v="2"/>
    <n v="9"/>
    <n v="2"/>
    <n v="3"/>
    <x v="7"/>
    <n v="1"/>
    <n v="0"/>
    <n v="8"/>
    <x v="2"/>
    <x v="2"/>
  </r>
  <r>
    <n v="39"/>
    <x v="1"/>
    <s v="Travel_Rarely"/>
    <n v="524"/>
    <x v="1"/>
    <x v="21"/>
    <n v="2"/>
    <s v="Life Sciences"/>
    <n v="1"/>
    <n v="1322"/>
    <n v="1"/>
    <x v="1"/>
    <n v="32"/>
    <n v="3"/>
    <n v="2"/>
    <x v="3"/>
    <x v="2"/>
    <s v="Single"/>
    <n v="4534"/>
    <n v="13352"/>
    <n v="0"/>
    <s v="Y"/>
    <s v="No"/>
    <n v="11"/>
    <n v="3"/>
    <n v="1"/>
    <n v="80"/>
    <n v="0"/>
    <n v="9"/>
    <n v="6"/>
    <n v="3"/>
    <x v="3"/>
    <n v="7"/>
    <n v="1"/>
    <n v="7"/>
    <x v="0"/>
    <x v="0"/>
  </r>
  <r>
    <n v="31"/>
    <x v="1"/>
    <s v="Non-Travel"/>
    <n v="587"/>
    <x v="0"/>
    <x v="2"/>
    <n v="4"/>
    <s v="Life Sciences"/>
    <n v="1"/>
    <n v="1324"/>
    <n v="4"/>
    <x v="0"/>
    <n v="57"/>
    <n v="3"/>
    <n v="3"/>
    <x v="0"/>
    <x v="2"/>
    <s v="Divorced"/>
    <n v="9852"/>
    <n v="8935"/>
    <n v="1"/>
    <s v="Y"/>
    <s v="Yes"/>
    <n v="19"/>
    <n v="3"/>
    <n v="1"/>
    <n v="80"/>
    <n v="1"/>
    <n v="10"/>
    <n v="5"/>
    <n v="2"/>
    <x v="1"/>
    <n v="8"/>
    <n v="9"/>
    <n v="6"/>
    <x v="2"/>
    <x v="2"/>
  </r>
  <r>
    <n v="41"/>
    <x v="1"/>
    <s v="Non-Travel"/>
    <n v="256"/>
    <x v="0"/>
    <x v="17"/>
    <n v="2"/>
    <s v="Medical"/>
    <n v="1"/>
    <n v="1329"/>
    <n v="3"/>
    <x v="1"/>
    <n v="40"/>
    <n v="1"/>
    <n v="2"/>
    <x v="0"/>
    <x v="1"/>
    <s v="Single"/>
    <n v="6151"/>
    <n v="22074"/>
    <n v="1"/>
    <s v="Y"/>
    <s v="No"/>
    <n v="13"/>
    <n v="3"/>
    <n v="1"/>
    <n v="80"/>
    <n v="0"/>
    <n v="19"/>
    <n v="4"/>
    <n v="3"/>
    <x v="27"/>
    <n v="2"/>
    <n v="11"/>
    <n v="9"/>
    <x v="0"/>
    <x v="4"/>
  </r>
  <r>
    <n v="31"/>
    <x v="0"/>
    <s v="Travel_Frequently"/>
    <n v="1060"/>
    <x v="0"/>
    <x v="0"/>
    <n v="3"/>
    <s v="Life Sciences"/>
    <n v="1"/>
    <n v="1331"/>
    <n v="4"/>
    <x v="0"/>
    <n v="54"/>
    <n v="3"/>
    <n v="1"/>
    <x v="6"/>
    <x v="1"/>
    <s v="Single"/>
    <n v="2302"/>
    <n v="8319"/>
    <n v="1"/>
    <s v="Y"/>
    <s v="Yes"/>
    <n v="11"/>
    <n v="3"/>
    <n v="1"/>
    <n v="80"/>
    <n v="0"/>
    <n v="3"/>
    <n v="2"/>
    <n v="4"/>
    <x v="11"/>
    <n v="2"/>
    <n v="2"/>
    <n v="2"/>
    <x v="2"/>
    <x v="1"/>
  </r>
  <r>
    <n v="44"/>
    <x v="0"/>
    <s v="Travel_Rarely"/>
    <n v="935"/>
    <x v="1"/>
    <x v="3"/>
    <n v="3"/>
    <s v="Life Sciences"/>
    <n v="1"/>
    <n v="1333"/>
    <n v="1"/>
    <x v="1"/>
    <n v="89"/>
    <n v="3"/>
    <n v="1"/>
    <x v="2"/>
    <x v="3"/>
    <s v="Married"/>
    <n v="2362"/>
    <n v="14669"/>
    <n v="4"/>
    <s v="Y"/>
    <s v="No"/>
    <n v="12"/>
    <n v="3"/>
    <n v="3"/>
    <n v="80"/>
    <n v="0"/>
    <n v="10"/>
    <n v="4"/>
    <n v="4"/>
    <x v="11"/>
    <n v="2"/>
    <n v="1"/>
    <n v="2"/>
    <x v="0"/>
    <x v="1"/>
  </r>
  <r>
    <n v="42"/>
    <x v="1"/>
    <s v="Non-Travel"/>
    <n v="495"/>
    <x v="1"/>
    <x v="2"/>
    <n v="1"/>
    <s v="Life Sciences"/>
    <n v="1"/>
    <n v="1334"/>
    <n v="3"/>
    <x v="1"/>
    <n v="37"/>
    <n v="3"/>
    <n v="4"/>
    <x v="5"/>
    <x v="2"/>
    <s v="Married"/>
    <n v="17861"/>
    <n v="26582"/>
    <n v="0"/>
    <s v="Y"/>
    <s v="Yes"/>
    <n v="13"/>
    <n v="3"/>
    <n v="4"/>
    <n v="80"/>
    <n v="0"/>
    <n v="21"/>
    <n v="3"/>
    <n v="2"/>
    <x v="23"/>
    <n v="8"/>
    <n v="2"/>
    <n v="10"/>
    <x v="0"/>
    <x v="3"/>
  </r>
  <r>
    <n v="55"/>
    <x v="1"/>
    <s v="Travel_Rarely"/>
    <n v="282"/>
    <x v="1"/>
    <x v="2"/>
    <n v="2"/>
    <s v="Medical"/>
    <n v="1"/>
    <n v="1336"/>
    <n v="4"/>
    <x v="0"/>
    <n v="58"/>
    <n v="1"/>
    <n v="5"/>
    <x v="5"/>
    <x v="2"/>
    <s v="Married"/>
    <n v="19187"/>
    <n v="6992"/>
    <n v="4"/>
    <s v="Y"/>
    <s v="No"/>
    <n v="14"/>
    <n v="3"/>
    <n v="4"/>
    <n v="80"/>
    <n v="1"/>
    <n v="23"/>
    <n v="5"/>
    <n v="3"/>
    <x v="27"/>
    <n v="9"/>
    <n v="9"/>
    <n v="11"/>
    <x v="3"/>
    <x v="3"/>
  </r>
  <r>
    <n v="56"/>
    <x v="1"/>
    <s v="Travel_Rarely"/>
    <n v="206"/>
    <x v="2"/>
    <x v="1"/>
    <n v="4"/>
    <s v="Life Sciences"/>
    <n v="1"/>
    <n v="1338"/>
    <n v="4"/>
    <x v="1"/>
    <n v="99"/>
    <n v="3"/>
    <n v="5"/>
    <x v="5"/>
    <x v="1"/>
    <s v="Single"/>
    <n v="19717"/>
    <n v="4022"/>
    <n v="6"/>
    <s v="Y"/>
    <s v="No"/>
    <n v="14"/>
    <n v="3"/>
    <n v="1"/>
    <n v="80"/>
    <n v="0"/>
    <n v="36"/>
    <n v="4"/>
    <n v="3"/>
    <x v="5"/>
    <n v="3"/>
    <n v="7"/>
    <n v="7"/>
    <x v="3"/>
    <x v="3"/>
  </r>
  <r>
    <n v="40"/>
    <x v="1"/>
    <s v="Non-Travel"/>
    <n v="458"/>
    <x v="1"/>
    <x v="7"/>
    <n v="2"/>
    <s v="Life Sciences"/>
    <n v="1"/>
    <n v="1340"/>
    <n v="3"/>
    <x v="1"/>
    <n v="74"/>
    <n v="3"/>
    <n v="1"/>
    <x v="1"/>
    <x v="2"/>
    <s v="Divorced"/>
    <n v="3544"/>
    <n v="8532"/>
    <n v="9"/>
    <s v="Y"/>
    <s v="No"/>
    <n v="16"/>
    <n v="3"/>
    <n v="2"/>
    <n v="80"/>
    <n v="1"/>
    <n v="6"/>
    <n v="0"/>
    <n v="3"/>
    <x v="9"/>
    <n v="2"/>
    <n v="0"/>
    <n v="0"/>
    <x v="0"/>
    <x v="0"/>
  </r>
  <r>
    <n v="34"/>
    <x v="1"/>
    <s v="Travel_Rarely"/>
    <n v="943"/>
    <x v="1"/>
    <x v="14"/>
    <n v="3"/>
    <s v="Life Sciences"/>
    <n v="1"/>
    <n v="1344"/>
    <n v="4"/>
    <x v="1"/>
    <n v="86"/>
    <n v="3"/>
    <n v="3"/>
    <x v="4"/>
    <x v="0"/>
    <s v="Divorced"/>
    <n v="8500"/>
    <n v="5494"/>
    <n v="0"/>
    <s v="Y"/>
    <s v="No"/>
    <n v="11"/>
    <n v="3"/>
    <n v="4"/>
    <n v="80"/>
    <n v="1"/>
    <n v="10"/>
    <n v="0"/>
    <n v="2"/>
    <x v="7"/>
    <n v="7"/>
    <n v="1"/>
    <n v="6"/>
    <x v="2"/>
    <x v="4"/>
  </r>
  <r>
    <n v="40"/>
    <x v="1"/>
    <s v="Travel_Rarely"/>
    <n v="523"/>
    <x v="1"/>
    <x v="2"/>
    <n v="3"/>
    <s v="Life Sciences"/>
    <n v="1"/>
    <n v="1346"/>
    <n v="3"/>
    <x v="1"/>
    <n v="98"/>
    <n v="3"/>
    <n v="2"/>
    <x v="1"/>
    <x v="0"/>
    <s v="Single"/>
    <n v="4661"/>
    <n v="22455"/>
    <n v="1"/>
    <s v="Y"/>
    <s v="No"/>
    <n v="13"/>
    <n v="3"/>
    <n v="3"/>
    <n v="80"/>
    <n v="0"/>
    <n v="9"/>
    <n v="4"/>
    <n v="3"/>
    <x v="7"/>
    <n v="8"/>
    <n v="8"/>
    <n v="8"/>
    <x v="0"/>
    <x v="0"/>
  </r>
  <r>
    <n v="41"/>
    <x v="1"/>
    <s v="Travel_Frequently"/>
    <n v="1018"/>
    <x v="0"/>
    <x v="0"/>
    <n v="3"/>
    <s v="Marketing"/>
    <n v="1"/>
    <n v="1349"/>
    <n v="3"/>
    <x v="0"/>
    <n v="66"/>
    <n v="3"/>
    <n v="2"/>
    <x v="0"/>
    <x v="3"/>
    <s v="Divorced"/>
    <n v="4103"/>
    <n v="4297"/>
    <n v="0"/>
    <s v="Y"/>
    <s v="No"/>
    <n v="17"/>
    <n v="3"/>
    <n v="4"/>
    <n v="80"/>
    <n v="1"/>
    <n v="10"/>
    <n v="2"/>
    <n v="3"/>
    <x v="7"/>
    <n v="3"/>
    <n v="1"/>
    <n v="7"/>
    <x v="0"/>
    <x v="0"/>
  </r>
  <r>
    <n v="35"/>
    <x v="1"/>
    <s v="Travel_Frequently"/>
    <n v="482"/>
    <x v="1"/>
    <x v="18"/>
    <n v="4"/>
    <s v="Life Sciences"/>
    <n v="1"/>
    <n v="1350"/>
    <n v="3"/>
    <x v="1"/>
    <n v="87"/>
    <n v="3"/>
    <n v="2"/>
    <x v="1"/>
    <x v="2"/>
    <s v="Single"/>
    <n v="4249"/>
    <n v="2690"/>
    <n v="1"/>
    <s v="Y"/>
    <s v="Yes"/>
    <n v="11"/>
    <n v="3"/>
    <n v="2"/>
    <n v="80"/>
    <n v="0"/>
    <n v="9"/>
    <n v="3"/>
    <n v="3"/>
    <x v="7"/>
    <n v="6"/>
    <n v="1"/>
    <n v="1"/>
    <x v="0"/>
    <x v="0"/>
  </r>
  <r>
    <n v="51"/>
    <x v="1"/>
    <s v="Travel_Rarely"/>
    <n v="770"/>
    <x v="2"/>
    <x v="12"/>
    <n v="3"/>
    <s v="Life Sciences"/>
    <n v="1"/>
    <n v="1352"/>
    <n v="3"/>
    <x v="1"/>
    <n v="84"/>
    <n v="3"/>
    <n v="4"/>
    <x v="5"/>
    <x v="1"/>
    <s v="Divorced"/>
    <n v="14026"/>
    <n v="17588"/>
    <n v="1"/>
    <s v="Y"/>
    <s v="Yes"/>
    <n v="11"/>
    <n v="3"/>
    <n v="2"/>
    <n v="80"/>
    <n v="1"/>
    <n v="33"/>
    <n v="2"/>
    <n v="3"/>
    <x v="26"/>
    <n v="9"/>
    <n v="0"/>
    <n v="10"/>
    <x v="1"/>
    <x v="3"/>
  </r>
  <r>
    <n v="38"/>
    <x v="1"/>
    <s v="Travel_Rarely"/>
    <n v="1009"/>
    <x v="0"/>
    <x v="2"/>
    <n v="2"/>
    <s v="Life Sciences"/>
    <n v="1"/>
    <n v="1355"/>
    <n v="2"/>
    <x v="0"/>
    <n v="31"/>
    <n v="3"/>
    <n v="2"/>
    <x v="0"/>
    <x v="3"/>
    <s v="Divorced"/>
    <n v="6893"/>
    <n v="19461"/>
    <n v="3"/>
    <s v="Y"/>
    <s v="No"/>
    <n v="15"/>
    <n v="3"/>
    <n v="4"/>
    <n v="80"/>
    <n v="1"/>
    <n v="11"/>
    <n v="3"/>
    <n v="3"/>
    <x v="5"/>
    <n v="7"/>
    <n v="1"/>
    <n v="7"/>
    <x v="0"/>
    <x v="4"/>
  </r>
  <r>
    <n v="34"/>
    <x v="1"/>
    <s v="Travel_Rarely"/>
    <n v="507"/>
    <x v="0"/>
    <x v="8"/>
    <n v="2"/>
    <s v="Medical"/>
    <n v="1"/>
    <n v="1356"/>
    <n v="3"/>
    <x v="0"/>
    <n v="66"/>
    <n v="3"/>
    <n v="2"/>
    <x v="0"/>
    <x v="3"/>
    <s v="Single"/>
    <n v="6125"/>
    <n v="23553"/>
    <n v="1"/>
    <s v="Y"/>
    <s v="No"/>
    <n v="12"/>
    <n v="3"/>
    <n v="4"/>
    <n v="80"/>
    <n v="0"/>
    <n v="10"/>
    <n v="6"/>
    <n v="4"/>
    <x v="1"/>
    <n v="8"/>
    <n v="9"/>
    <n v="6"/>
    <x v="2"/>
    <x v="4"/>
  </r>
  <r>
    <n v="25"/>
    <x v="1"/>
    <s v="Travel_Rarely"/>
    <n v="882"/>
    <x v="1"/>
    <x v="10"/>
    <n v="1"/>
    <s v="Medical"/>
    <n v="1"/>
    <n v="1358"/>
    <n v="4"/>
    <x v="1"/>
    <n v="67"/>
    <n v="3"/>
    <n v="1"/>
    <x v="2"/>
    <x v="0"/>
    <s v="Married"/>
    <n v="3669"/>
    <n v="9075"/>
    <n v="3"/>
    <s v="Y"/>
    <s v="No"/>
    <n v="11"/>
    <n v="3"/>
    <n v="3"/>
    <n v="80"/>
    <n v="3"/>
    <n v="7"/>
    <n v="6"/>
    <n v="2"/>
    <x v="11"/>
    <n v="2"/>
    <n v="1"/>
    <n v="2"/>
    <x v="2"/>
    <x v="0"/>
  </r>
  <r>
    <n v="58"/>
    <x v="0"/>
    <s v="Travel_Rarely"/>
    <n v="601"/>
    <x v="1"/>
    <x v="15"/>
    <n v="4"/>
    <s v="Medical"/>
    <n v="1"/>
    <n v="1360"/>
    <n v="3"/>
    <x v="0"/>
    <n v="53"/>
    <n v="2"/>
    <n v="3"/>
    <x v="3"/>
    <x v="3"/>
    <s v="Married"/>
    <n v="10008"/>
    <n v="12023"/>
    <n v="7"/>
    <s v="Y"/>
    <s v="Yes"/>
    <n v="14"/>
    <n v="3"/>
    <n v="4"/>
    <n v="80"/>
    <n v="0"/>
    <n v="31"/>
    <n v="0"/>
    <n v="2"/>
    <x v="1"/>
    <n v="9"/>
    <n v="5"/>
    <n v="9"/>
    <x v="3"/>
    <x v="2"/>
  </r>
  <r>
    <n v="40"/>
    <x v="1"/>
    <s v="Travel_Rarely"/>
    <n v="329"/>
    <x v="1"/>
    <x v="0"/>
    <n v="4"/>
    <s v="Life Sciences"/>
    <n v="1"/>
    <n v="1361"/>
    <n v="2"/>
    <x v="1"/>
    <n v="88"/>
    <n v="3"/>
    <n v="1"/>
    <x v="2"/>
    <x v="1"/>
    <s v="Married"/>
    <n v="2387"/>
    <n v="6762"/>
    <n v="3"/>
    <s v="Y"/>
    <s v="No"/>
    <n v="22"/>
    <n v="4"/>
    <n v="3"/>
    <n v="80"/>
    <n v="1"/>
    <n v="7"/>
    <n v="3"/>
    <n v="3"/>
    <x v="9"/>
    <n v="2"/>
    <n v="0"/>
    <n v="3"/>
    <x v="0"/>
    <x v="1"/>
  </r>
  <r>
    <n v="36"/>
    <x v="1"/>
    <s v="Travel_Frequently"/>
    <n v="607"/>
    <x v="0"/>
    <x v="15"/>
    <n v="3"/>
    <s v="Marketing"/>
    <n v="1"/>
    <n v="1362"/>
    <n v="1"/>
    <x v="0"/>
    <n v="83"/>
    <n v="4"/>
    <n v="2"/>
    <x v="0"/>
    <x v="3"/>
    <s v="Married"/>
    <n v="4639"/>
    <n v="2261"/>
    <n v="2"/>
    <s v="Y"/>
    <s v="No"/>
    <n v="16"/>
    <n v="3"/>
    <n v="4"/>
    <n v="80"/>
    <n v="1"/>
    <n v="17"/>
    <n v="2"/>
    <n v="2"/>
    <x v="15"/>
    <n v="7"/>
    <n v="6"/>
    <n v="13"/>
    <x v="0"/>
    <x v="0"/>
  </r>
  <r>
    <n v="48"/>
    <x v="1"/>
    <s v="Travel_Rarely"/>
    <n v="855"/>
    <x v="1"/>
    <x v="18"/>
    <n v="3"/>
    <s v="Life Sciences"/>
    <n v="1"/>
    <n v="1363"/>
    <n v="4"/>
    <x v="1"/>
    <n v="54"/>
    <n v="3"/>
    <n v="3"/>
    <x v="3"/>
    <x v="0"/>
    <s v="Single"/>
    <n v="7898"/>
    <n v="18706"/>
    <n v="1"/>
    <s v="Y"/>
    <s v="No"/>
    <n v="11"/>
    <n v="3"/>
    <n v="3"/>
    <n v="80"/>
    <n v="0"/>
    <n v="11"/>
    <n v="2"/>
    <n v="3"/>
    <x v="1"/>
    <n v="9"/>
    <n v="0"/>
    <n v="8"/>
    <x v="1"/>
    <x v="4"/>
  </r>
  <r>
    <n v="27"/>
    <x v="1"/>
    <s v="Travel_Rarely"/>
    <n v="1291"/>
    <x v="0"/>
    <x v="13"/>
    <n v="3"/>
    <s v="Medical"/>
    <n v="1"/>
    <n v="1364"/>
    <n v="3"/>
    <x v="0"/>
    <n v="98"/>
    <n v="4"/>
    <n v="1"/>
    <x v="6"/>
    <x v="0"/>
    <s v="Married"/>
    <n v="2534"/>
    <n v="6527"/>
    <n v="8"/>
    <s v="Y"/>
    <s v="No"/>
    <n v="14"/>
    <n v="3"/>
    <n v="2"/>
    <n v="80"/>
    <n v="1"/>
    <n v="5"/>
    <n v="4"/>
    <n v="3"/>
    <x v="6"/>
    <n v="0"/>
    <n v="0"/>
    <n v="0"/>
    <x v="2"/>
    <x v="1"/>
  </r>
  <r>
    <n v="51"/>
    <x v="1"/>
    <s v="Travel_Rarely"/>
    <n v="1405"/>
    <x v="1"/>
    <x v="13"/>
    <n v="2"/>
    <s v="Technical Degree"/>
    <n v="1"/>
    <n v="1367"/>
    <n v="4"/>
    <x v="0"/>
    <n v="82"/>
    <n v="2"/>
    <n v="4"/>
    <x v="3"/>
    <x v="1"/>
    <s v="Single"/>
    <n v="13142"/>
    <n v="24439"/>
    <n v="3"/>
    <s v="Y"/>
    <s v="No"/>
    <n v="16"/>
    <n v="3"/>
    <n v="2"/>
    <n v="80"/>
    <n v="0"/>
    <n v="29"/>
    <n v="1"/>
    <n v="2"/>
    <x v="8"/>
    <n v="2"/>
    <n v="0"/>
    <n v="3"/>
    <x v="1"/>
    <x v="3"/>
  </r>
  <r>
    <n v="18"/>
    <x v="1"/>
    <s v="Non-Travel"/>
    <n v="1124"/>
    <x v="1"/>
    <x v="0"/>
    <n v="3"/>
    <s v="Life Sciences"/>
    <n v="1"/>
    <n v="1368"/>
    <n v="4"/>
    <x v="0"/>
    <n v="97"/>
    <n v="3"/>
    <n v="1"/>
    <x v="2"/>
    <x v="0"/>
    <s v="Single"/>
    <n v="1611"/>
    <n v="19305"/>
    <n v="1"/>
    <s v="Y"/>
    <s v="No"/>
    <n v="15"/>
    <n v="3"/>
    <n v="3"/>
    <n v="80"/>
    <n v="0"/>
    <n v="0"/>
    <n v="5"/>
    <n v="4"/>
    <x v="2"/>
    <n v="0"/>
    <n v="0"/>
    <n v="0"/>
    <x v="4"/>
    <x v="1"/>
  </r>
  <r>
    <n v="35"/>
    <x v="1"/>
    <s v="Travel_Rarely"/>
    <n v="817"/>
    <x v="1"/>
    <x v="0"/>
    <n v="3"/>
    <s v="Medical"/>
    <n v="1"/>
    <n v="1369"/>
    <n v="4"/>
    <x v="0"/>
    <n v="60"/>
    <n v="2"/>
    <n v="2"/>
    <x v="2"/>
    <x v="0"/>
    <s v="Married"/>
    <n v="5363"/>
    <n v="10846"/>
    <n v="0"/>
    <s v="Y"/>
    <s v="No"/>
    <n v="12"/>
    <n v="3"/>
    <n v="2"/>
    <n v="80"/>
    <n v="1"/>
    <n v="10"/>
    <n v="0"/>
    <n v="3"/>
    <x v="7"/>
    <n v="7"/>
    <n v="0"/>
    <n v="0"/>
    <x v="0"/>
    <x v="0"/>
  </r>
  <r>
    <n v="27"/>
    <x v="1"/>
    <s v="Travel_Frequently"/>
    <n v="793"/>
    <x v="0"/>
    <x v="2"/>
    <n v="1"/>
    <s v="Life Sciences"/>
    <n v="1"/>
    <n v="1371"/>
    <n v="4"/>
    <x v="1"/>
    <n v="43"/>
    <n v="1"/>
    <n v="2"/>
    <x v="0"/>
    <x v="0"/>
    <s v="Single"/>
    <n v="5071"/>
    <n v="20392"/>
    <n v="3"/>
    <s v="Y"/>
    <s v="No"/>
    <n v="20"/>
    <n v="4"/>
    <n v="2"/>
    <n v="80"/>
    <n v="0"/>
    <n v="8"/>
    <n v="3"/>
    <n v="3"/>
    <x v="0"/>
    <n v="2"/>
    <n v="0"/>
    <n v="0"/>
    <x v="2"/>
    <x v="0"/>
  </r>
  <r>
    <n v="55"/>
    <x v="0"/>
    <s v="Travel_Rarely"/>
    <n v="267"/>
    <x v="0"/>
    <x v="28"/>
    <n v="4"/>
    <s v="Marketing"/>
    <n v="1"/>
    <n v="1372"/>
    <n v="1"/>
    <x v="1"/>
    <n v="85"/>
    <n v="4"/>
    <n v="4"/>
    <x v="0"/>
    <x v="2"/>
    <s v="Single"/>
    <n v="13695"/>
    <n v="9277"/>
    <n v="6"/>
    <s v="Y"/>
    <s v="Yes"/>
    <n v="17"/>
    <n v="3"/>
    <n v="3"/>
    <n v="80"/>
    <n v="0"/>
    <n v="24"/>
    <n v="2"/>
    <n v="2"/>
    <x v="27"/>
    <n v="7"/>
    <n v="3"/>
    <n v="8"/>
    <x v="3"/>
    <x v="3"/>
  </r>
  <r>
    <n v="56"/>
    <x v="1"/>
    <s v="Travel_Rarely"/>
    <n v="1369"/>
    <x v="1"/>
    <x v="5"/>
    <n v="3"/>
    <s v="Life Sciences"/>
    <n v="1"/>
    <n v="1373"/>
    <n v="4"/>
    <x v="1"/>
    <n v="68"/>
    <n v="3"/>
    <n v="4"/>
    <x v="3"/>
    <x v="1"/>
    <s v="Married"/>
    <n v="13402"/>
    <n v="18235"/>
    <n v="4"/>
    <s v="Y"/>
    <s v="Yes"/>
    <n v="12"/>
    <n v="3"/>
    <n v="1"/>
    <n v="80"/>
    <n v="1"/>
    <n v="33"/>
    <n v="0"/>
    <n v="3"/>
    <x v="27"/>
    <n v="16"/>
    <n v="15"/>
    <n v="9"/>
    <x v="3"/>
    <x v="3"/>
  </r>
  <r>
    <n v="34"/>
    <x v="1"/>
    <s v="Non-Travel"/>
    <n v="999"/>
    <x v="1"/>
    <x v="9"/>
    <n v="1"/>
    <s v="Technical Degree"/>
    <n v="1"/>
    <n v="1374"/>
    <n v="1"/>
    <x v="0"/>
    <n v="92"/>
    <n v="2"/>
    <n v="1"/>
    <x v="1"/>
    <x v="2"/>
    <s v="Divorced"/>
    <n v="2029"/>
    <n v="15891"/>
    <n v="1"/>
    <s v="Y"/>
    <s v="No"/>
    <n v="20"/>
    <n v="4"/>
    <n v="3"/>
    <n v="80"/>
    <n v="3"/>
    <n v="5"/>
    <n v="2"/>
    <n v="3"/>
    <x v="8"/>
    <n v="4"/>
    <n v="0"/>
    <n v="0"/>
    <x v="2"/>
    <x v="1"/>
  </r>
  <r>
    <n v="40"/>
    <x v="1"/>
    <s v="Travel_Rarely"/>
    <n v="1202"/>
    <x v="1"/>
    <x v="2"/>
    <n v="1"/>
    <s v="Medical"/>
    <n v="1"/>
    <n v="1375"/>
    <n v="2"/>
    <x v="0"/>
    <n v="89"/>
    <n v="4"/>
    <n v="2"/>
    <x v="4"/>
    <x v="2"/>
    <s v="Divorced"/>
    <n v="6377"/>
    <n v="13888"/>
    <n v="5"/>
    <s v="Y"/>
    <s v="No"/>
    <n v="20"/>
    <n v="4"/>
    <n v="2"/>
    <n v="80"/>
    <n v="3"/>
    <n v="15"/>
    <n v="0"/>
    <n v="3"/>
    <x v="12"/>
    <n v="11"/>
    <n v="11"/>
    <n v="8"/>
    <x v="0"/>
    <x v="4"/>
  </r>
  <r>
    <n v="34"/>
    <x v="1"/>
    <s v="Travel_Rarely"/>
    <n v="285"/>
    <x v="1"/>
    <x v="22"/>
    <n v="3"/>
    <s v="Medical"/>
    <n v="1"/>
    <n v="1377"/>
    <n v="2"/>
    <x v="1"/>
    <n v="86"/>
    <n v="3"/>
    <n v="2"/>
    <x v="2"/>
    <x v="2"/>
    <s v="Married"/>
    <n v="5429"/>
    <n v="17491"/>
    <n v="4"/>
    <s v="Y"/>
    <s v="No"/>
    <n v="13"/>
    <n v="3"/>
    <n v="1"/>
    <n v="80"/>
    <n v="2"/>
    <n v="10"/>
    <n v="1"/>
    <n v="3"/>
    <x v="3"/>
    <n v="7"/>
    <n v="7"/>
    <n v="7"/>
    <x v="2"/>
    <x v="0"/>
  </r>
  <r>
    <n v="31"/>
    <x v="0"/>
    <s v="Travel_Frequently"/>
    <n v="703"/>
    <x v="0"/>
    <x v="2"/>
    <n v="3"/>
    <s v="Life Sciences"/>
    <n v="1"/>
    <n v="1379"/>
    <n v="3"/>
    <x v="0"/>
    <n v="90"/>
    <n v="2"/>
    <n v="1"/>
    <x v="6"/>
    <x v="0"/>
    <s v="Single"/>
    <n v="2785"/>
    <n v="11882"/>
    <n v="7"/>
    <s v="Y"/>
    <s v="No"/>
    <n v="14"/>
    <n v="3"/>
    <n v="3"/>
    <n v="80"/>
    <n v="0"/>
    <n v="3"/>
    <n v="3"/>
    <n v="4"/>
    <x v="6"/>
    <n v="0"/>
    <n v="0"/>
    <n v="0"/>
    <x v="2"/>
    <x v="1"/>
  </r>
  <r>
    <n v="35"/>
    <x v="0"/>
    <s v="Travel_Frequently"/>
    <n v="662"/>
    <x v="0"/>
    <x v="21"/>
    <n v="4"/>
    <s v="Marketing"/>
    <n v="1"/>
    <n v="1380"/>
    <n v="4"/>
    <x v="0"/>
    <n v="67"/>
    <n v="3"/>
    <n v="2"/>
    <x v="0"/>
    <x v="2"/>
    <s v="Married"/>
    <n v="4614"/>
    <n v="23288"/>
    <n v="0"/>
    <s v="Y"/>
    <s v="Yes"/>
    <n v="18"/>
    <n v="3"/>
    <n v="3"/>
    <n v="80"/>
    <n v="1"/>
    <n v="5"/>
    <n v="0"/>
    <n v="2"/>
    <x v="9"/>
    <n v="2"/>
    <n v="3"/>
    <n v="2"/>
    <x v="0"/>
    <x v="0"/>
  </r>
  <r>
    <n v="38"/>
    <x v="1"/>
    <s v="Travel_Frequently"/>
    <n v="693"/>
    <x v="1"/>
    <x v="15"/>
    <n v="3"/>
    <s v="Life Sciences"/>
    <n v="1"/>
    <n v="1382"/>
    <n v="4"/>
    <x v="1"/>
    <n v="57"/>
    <n v="4"/>
    <n v="1"/>
    <x v="1"/>
    <x v="2"/>
    <s v="Divorced"/>
    <n v="2610"/>
    <n v="15748"/>
    <n v="1"/>
    <s v="Y"/>
    <s v="No"/>
    <n v="11"/>
    <n v="3"/>
    <n v="4"/>
    <n v="80"/>
    <n v="3"/>
    <n v="4"/>
    <n v="2"/>
    <n v="3"/>
    <x v="9"/>
    <n v="2"/>
    <n v="0"/>
    <n v="3"/>
    <x v="0"/>
    <x v="1"/>
  </r>
  <r>
    <n v="34"/>
    <x v="1"/>
    <s v="Travel_Rarely"/>
    <n v="404"/>
    <x v="1"/>
    <x v="2"/>
    <n v="4"/>
    <s v="Technical Degree"/>
    <n v="1"/>
    <n v="1383"/>
    <n v="3"/>
    <x v="0"/>
    <n v="98"/>
    <n v="3"/>
    <n v="2"/>
    <x v="4"/>
    <x v="0"/>
    <s v="Single"/>
    <n v="6687"/>
    <n v="6163"/>
    <n v="1"/>
    <s v="Y"/>
    <s v="No"/>
    <n v="11"/>
    <n v="3"/>
    <n v="4"/>
    <n v="80"/>
    <n v="0"/>
    <n v="14"/>
    <n v="2"/>
    <n v="4"/>
    <x v="13"/>
    <n v="11"/>
    <n v="4"/>
    <n v="11"/>
    <x v="2"/>
    <x v="4"/>
  </r>
  <r>
    <n v="28"/>
    <x v="1"/>
    <s v="Travel_Rarely"/>
    <n v="736"/>
    <x v="0"/>
    <x v="9"/>
    <n v="3"/>
    <s v="Life Sciences"/>
    <n v="1"/>
    <n v="1387"/>
    <n v="3"/>
    <x v="1"/>
    <n v="48"/>
    <n v="2"/>
    <n v="2"/>
    <x v="0"/>
    <x v="3"/>
    <s v="Married"/>
    <n v="4724"/>
    <n v="24232"/>
    <n v="1"/>
    <s v="Y"/>
    <s v="No"/>
    <n v="11"/>
    <n v="3"/>
    <n v="3"/>
    <n v="80"/>
    <n v="1"/>
    <n v="5"/>
    <n v="0"/>
    <n v="3"/>
    <x v="8"/>
    <n v="3"/>
    <n v="0"/>
    <n v="4"/>
    <x v="2"/>
    <x v="0"/>
  </r>
  <r>
    <n v="31"/>
    <x v="0"/>
    <s v="Travel_Rarely"/>
    <n v="330"/>
    <x v="1"/>
    <x v="23"/>
    <n v="4"/>
    <s v="Medical"/>
    <n v="1"/>
    <n v="1389"/>
    <n v="4"/>
    <x v="1"/>
    <n v="98"/>
    <n v="3"/>
    <n v="2"/>
    <x v="3"/>
    <x v="2"/>
    <s v="Married"/>
    <n v="6179"/>
    <n v="21057"/>
    <n v="1"/>
    <s v="Y"/>
    <s v="Yes"/>
    <n v="15"/>
    <n v="3"/>
    <n v="4"/>
    <n v="80"/>
    <n v="2"/>
    <n v="10"/>
    <n v="3"/>
    <n v="2"/>
    <x v="1"/>
    <n v="2"/>
    <n v="6"/>
    <n v="7"/>
    <x v="2"/>
    <x v="4"/>
  </r>
  <r>
    <n v="39"/>
    <x v="1"/>
    <s v="Travel_Rarely"/>
    <n v="1498"/>
    <x v="0"/>
    <x v="11"/>
    <n v="4"/>
    <s v="Life Sciences"/>
    <n v="1"/>
    <n v="1390"/>
    <n v="1"/>
    <x v="1"/>
    <n v="44"/>
    <n v="2"/>
    <n v="2"/>
    <x v="0"/>
    <x v="0"/>
    <s v="Married"/>
    <n v="6120"/>
    <n v="3567"/>
    <n v="3"/>
    <s v="Y"/>
    <s v="Yes"/>
    <n v="12"/>
    <n v="3"/>
    <n v="4"/>
    <n v="80"/>
    <n v="2"/>
    <n v="8"/>
    <n v="2"/>
    <n v="4"/>
    <x v="8"/>
    <n v="4"/>
    <n v="1"/>
    <n v="4"/>
    <x v="0"/>
    <x v="4"/>
  </r>
  <r>
    <n v="51"/>
    <x v="1"/>
    <s v="Travel_Frequently"/>
    <n v="541"/>
    <x v="0"/>
    <x v="2"/>
    <n v="3"/>
    <s v="Marketing"/>
    <n v="1"/>
    <n v="1391"/>
    <n v="2"/>
    <x v="1"/>
    <n v="52"/>
    <n v="3"/>
    <n v="3"/>
    <x v="0"/>
    <x v="1"/>
    <s v="Married"/>
    <n v="10596"/>
    <n v="15395"/>
    <n v="2"/>
    <s v="Y"/>
    <s v="No"/>
    <n v="11"/>
    <n v="3"/>
    <n v="2"/>
    <n v="80"/>
    <n v="0"/>
    <n v="14"/>
    <n v="5"/>
    <n v="3"/>
    <x v="9"/>
    <n v="2"/>
    <n v="3"/>
    <n v="2"/>
    <x v="1"/>
    <x v="2"/>
  </r>
  <r>
    <n v="41"/>
    <x v="1"/>
    <s v="Travel_Frequently"/>
    <n v="1200"/>
    <x v="1"/>
    <x v="23"/>
    <n v="3"/>
    <s v="Life Sciences"/>
    <n v="1"/>
    <n v="1392"/>
    <n v="4"/>
    <x v="0"/>
    <n v="75"/>
    <n v="3"/>
    <n v="2"/>
    <x v="1"/>
    <x v="0"/>
    <s v="Divorced"/>
    <n v="5467"/>
    <n v="13953"/>
    <n v="3"/>
    <s v="Y"/>
    <s v="Yes"/>
    <n v="14"/>
    <n v="3"/>
    <n v="1"/>
    <n v="80"/>
    <n v="2"/>
    <n v="12"/>
    <n v="4"/>
    <n v="2"/>
    <x v="0"/>
    <n v="2"/>
    <n v="3"/>
    <n v="3"/>
    <x v="0"/>
    <x v="0"/>
  </r>
  <r>
    <n v="37"/>
    <x v="1"/>
    <s v="Travel_Rarely"/>
    <n v="1439"/>
    <x v="1"/>
    <x v="18"/>
    <n v="1"/>
    <s v="Life Sciences"/>
    <n v="1"/>
    <n v="1394"/>
    <n v="3"/>
    <x v="1"/>
    <n v="54"/>
    <n v="3"/>
    <n v="1"/>
    <x v="1"/>
    <x v="2"/>
    <s v="Married"/>
    <n v="2996"/>
    <n v="5182"/>
    <n v="7"/>
    <s v="Y"/>
    <s v="Yes"/>
    <n v="15"/>
    <n v="3"/>
    <n v="4"/>
    <n v="80"/>
    <n v="0"/>
    <n v="8"/>
    <n v="2"/>
    <n v="3"/>
    <x v="0"/>
    <n v="4"/>
    <n v="1"/>
    <n v="3"/>
    <x v="0"/>
    <x v="1"/>
  </r>
  <r>
    <n v="33"/>
    <x v="1"/>
    <s v="Travel_Frequently"/>
    <n v="1111"/>
    <x v="0"/>
    <x v="12"/>
    <n v="1"/>
    <s v="Life Sciences"/>
    <n v="1"/>
    <n v="1395"/>
    <n v="2"/>
    <x v="1"/>
    <n v="61"/>
    <n v="3"/>
    <n v="2"/>
    <x v="0"/>
    <x v="0"/>
    <s v="Married"/>
    <n v="9998"/>
    <n v="19293"/>
    <n v="6"/>
    <s v="Y"/>
    <s v="No"/>
    <n v="13"/>
    <n v="3"/>
    <n v="1"/>
    <n v="80"/>
    <n v="0"/>
    <n v="8"/>
    <n v="2"/>
    <n v="4"/>
    <x v="8"/>
    <n v="4"/>
    <n v="1"/>
    <n v="2"/>
    <x v="2"/>
    <x v="2"/>
  </r>
  <r>
    <n v="32"/>
    <x v="1"/>
    <s v="Travel_Rarely"/>
    <n v="499"/>
    <x v="0"/>
    <x v="2"/>
    <n v="1"/>
    <s v="Marketing"/>
    <n v="1"/>
    <n v="1396"/>
    <n v="3"/>
    <x v="1"/>
    <n v="36"/>
    <n v="3"/>
    <n v="2"/>
    <x v="0"/>
    <x v="1"/>
    <s v="Married"/>
    <n v="4078"/>
    <n v="20497"/>
    <n v="0"/>
    <s v="Y"/>
    <s v="Yes"/>
    <n v="13"/>
    <n v="3"/>
    <n v="1"/>
    <n v="80"/>
    <n v="3"/>
    <n v="4"/>
    <n v="3"/>
    <n v="2"/>
    <x v="11"/>
    <n v="2"/>
    <n v="1"/>
    <n v="2"/>
    <x v="2"/>
    <x v="0"/>
  </r>
  <r>
    <n v="39"/>
    <x v="1"/>
    <s v="Non-Travel"/>
    <n v="1485"/>
    <x v="1"/>
    <x v="19"/>
    <n v="2"/>
    <s v="Life Sciences"/>
    <n v="1"/>
    <n v="1397"/>
    <n v="3"/>
    <x v="1"/>
    <n v="71"/>
    <n v="3"/>
    <n v="3"/>
    <x v="4"/>
    <x v="2"/>
    <s v="Married"/>
    <n v="10920"/>
    <n v="3449"/>
    <n v="3"/>
    <s v="Y"/>
    <s v="No"/>
    <n v="21"/>
    <n v="4"/>
    <n v="2"/>
    <n v="80"/>
    <n v="1"/>
    <n v="13"/>
    <n v="2"/>
    <n v="3"/>
    <x v="0"/>
    <n v="4"/>
    <n v="0"/>
    <n v="5"/>
    <x v="0"/>
    <x v="2"/>
  </r>
  <r>
    <n v="25"/>
    <x v="1"/>
    <s v="Travel_Rarely"/>
    <n v="1372"/>
    <x v="0"/>
    <x v="21"/>
    <n v="1"/>
    <s v="Life Sciences"/>
    <n v="1"/>
    <n v="1399"/>
    <n v="1"/>
    <x v="1"/>
    <n v="93"/>
    <n v="4"/>
    <n v="2"/>
    <x v="0"/>
    <x v="2"/>
    <s v="Married"/>
    <n v="6232"/>
    <n v="12477"/>
    <n v="2"/>
    <s v="Y"/>
    <s v="No"/>
    <n v="11"/>
    <n v="3"/>
    <n v="2"/>
    <n v="80"/>
    <n v="0"/>
    <n v="6"/>
    <n v="3"/>
    <n v="2"/>
    <x v="11"/>
    <n v="2"/>
    <n v="1"/>
    <n v="2"/>
    <x v="2"/>
    <x v="4"/>
  </r>
  <r>
    <n v="52"/>
    <x v="1"/>
    <s v="Travel_Frequently"/>
    <n v="322"/>
    <x v="1"/>
    <x v="26"/>
    <n v="2"/>
    <s v="Medical"/>
    <n v="1"/>
    <n v="1401"/>
    <n v="4"/>
    <x v="0"/>
    <n v="59"/>
    <n v="4"/>
    <n v="4"/>
    <x v="3"/>
    <x v="2"/>
    <s v="Married"/>
    <n v="13247"/>
    <n v="9731"/>
    <n v="2"/>
    <s v="Y"/>
    <s v="Yes"/>
    <n v="11"/>
    <n v="3"/>
    <n v="2"/>
    <n v="80"/>
    <n v="1"/>
    <n v="24"/>
    <n v="3"/>
    <n v="2"/>
    <x v="8"/>
    <n v="3"/>
    <n v="0"/>
    <n v="2"/>
    <x v="1"/>
    <x v="3"/>
  </r>
  <r>
    <n v="43"/>
    <x v="1"/>
    <s v="Travel_Rarely"/>
    <n v="930"/>
    <x v="1"/>
    <x v="16"/>
    <n v="3"/>
    <s v="Medical"/>
    <n v="1"/>
    <n v="1402"/>
    <n v="1"/>
    <x v="0"/>
    <n v="73"/>
    <n v="2"/>
    <n v="2"/>
    <x v="1"/>
    <x v="2"/>
    <s v="Single"/>
    <n v="4081"/>
    <n v="20003"/>
    <n v="1"/>
    <s v="Y"/>
    <s v="Yes"/>
    <n v="14"/>
    <n v="3"/>
    <n v="1"/>
    <n v="80"/>
    <n v="0"/>
    <n v="20"/>
    <n v="3"/>
    <n v="1"/>
    <x v="23"/>
    <n v="7"/>
    <n v="1"/>
    <n v="8"/>
    <x v="0"/>
    <x v="0"/>
  </r>
  <r>
    <n v="27"/>
    <x v="1"/>
    <s v="Travel_Rarely"/>
    <n v="205"/>
    <x v="0"/>
    <x v="17"/>
    <n v="3"/>
    <s v="Marketing"/>
    <n v="1"/>
    <n v="1403"/>
    <n v="4"/>
    <x v="0"/>
    <n v="98"/>
    <n v="2"/>
    <n v="2"/>
    <x v="0"/>
    <x v="0"/>
    <s v="Married"/>
    <n v="5769"/>
    <n v="7100"/>
    <n v="1"/>
    <s v="Y"/>
    <s v="Yes"/>
    <n v="11"/>
    <n v="3"/>
    <n v="4"/>
    <n v="80"/>
    <n v="0"/>
    <n v="6"/>
    <n v="3"/>
    <n v="3"/>
    <x v="0"/>
    <n v="2"/>
    <n v="4"/>
    <n v="4"/>
    <x v="2"/>
    <x v="0"/>
  </r>
  <r>
    <n v="27"/>
    <x v="0"/>
    <s v="Travel_Rarely"/>
    <n v="135"/>
    <x v="1"/>
    <x v="27"/>
    <n v="4"/>
    <s v="Life Sciences"/>
    <n v="1"/>
    <n v="1405"/>
    <n v="4"/>
    <x v="0"/>
    <n v="51"/>
    <n v="3"/>
    <n v="1"/>
    <x v="1"/>
    <x v="2"/>
    <s v="Single"/>
    <n v="2394"/>
    <n v="25681"/>
    <n v="1"/>
    <s v="Y"/>
    <s v="Yes"/>
    <n v="13"/>
    <n v="3"/>
    <n v="4"/>
    <n v="80"/>
    <n v="0"/>
    <n v="8"/>
    <n v="2"/>
    <n v="3"/>
    <x v="3"/>
    <n v="2"/>
    <n v="7"/>
    <n v="7"/>
    <x v="2"/>
    <x v="1"/>
  </r>
  <r>
    <n v="26"/>
    <x v="1"/>
    <s v="Travel_Rarely"/>
    <n v="683"/>
    <x v="1"/>
    <x v="2"/>
    <n v="1"/>
    <s v="Medical"/>
    <n v="1"/>
    <n v="1407"/>
    <n v="1"/>
    <x v="1"/>
    <n v="36"/>
    <n v="2"/>
    <n v="1"/>
    <x v="1"/>
    <x v="0"/>
    <s v="Single"/>
    <n v="3904"/>
    <n v="4050"/>
    <n v="0"/>
    <s v="Y"/>
    <s v="No"/>
    <n v="12"/>
    <n v="3"/>
    <n v="4"/>
    <n v="80"/>
    <n v="0"/>
    <n v="5"/>
    <n v="2"/>
    <n v="3"/>
    <x v="9"/>
    <n v="3"/>
    <n v="1"/>
    <n v="1"/>
    <x v="2"/>
    <x v="0"/>
  </r>
  <r>
    <n v="42"/>
    <x v="1"/>
    <s v="Travel_Rarely"/>
    <n v="1147"/>
    <x v="2"/>
    <x v="17"/>
    <n v="3"/>
    <s v="Human Resources"/>
    <n v="1"/>
    <n v="1408"/>
    <n v="3"/>
    <x v="0"/>
    <n v="31"/>
    <n v="3"/>
    <n v="4"/>
    <x v="5"/>
    <x v="3"/>
    <s v="Married"/>
    <n v="16799"/>
    <n v="16616"/>
    <n v="0"/>
    <s v="Y"/>
    <s v="No"/>
    <n v="14"/>
    <n v="3"/>
    <n v="3"/>
    <n v="80"/>
    <n v="1"/>
    <n v="21"/>
    <n v="5"/>
    <n v="3"/>
    <x v="23"/>
    <n v="7"/>
    <n v="0"/>
    <n v="9"/>
    <x v="0"/>
    <x v="3"/>
  </r>
  <r>
    <n v="52"/>
    <x v="1"/>
    <s v="Travel_Rarely"/>
    <n v="258"/>
    <x v="1"/>
    <x v="1"/>
    <n v="4"/>
    <s v="Other"/>
    <n v="1"/>
    <n v="1409"/>
    <n v="3"/>
    <x v="0"/>
    <n v="54"/>
    <n v="3"/>
    <n v="1"/>
    <x v="2"/>
    <x v="3"/>
    <s v="Married"/>
    <n v="2950"/>
    <n v="17363"/>
    <n v="9"/>
    <s v="Y"/>
    <s v="No"/>
    <n v="13"/>
    <n v="3"/>
    <n v="3"/>
    <n v="80"/>
    <n v="0"/>
    <n v="12"/>
    <n v="2"/>
    <n v="1"/>
    <x v="8"/>
    <n v="4"/>
    <n v="0"/>
    <n v="4"/>
    <x v="1"/>
    <x v="1"/>
  </r>
  <r>
    <n v="37"/>
    <x v="1"/>
    <s v="Travel_Rarely"/>
    <n v="1462"/>
    <x v="1"/>
    <x v="13"/>
    <n v="3"/>
    <s v="Medical"/>
    <n v="1"/>
    <n v="1411"/>
    <n v="1"/>
    <x v="0"/>
    <n v="94"/>
    <n v="3"/>
    <n v="1"/>
    <x v="2"/>
    <x v="2"/>
    <s v="Single"/>
    <n v="3629"/>
    <n v="19106"/>
    <n v="4"/>
    <s v="Y"/>
    <s v="No"/>
    <n v="18"/>
    <n v="3"/>
    <n v="1"/>
    <n v="80"/>
    <n v="0"/>
    <n v="8"/>
    <n v="6"/>
    <n v="3"/>
    <x v="11"/>
    <n v="2"/>
    <n v="0"/>
    <n v="2"/>
    <x v="0"/>
    <x v="0"/>
  </r>
  <r>
    <n v="35"/>
    <x v="1"/>
    <s v="Travel_Frequently"/>
    <n v="200"/>
    <x v="1"/>
    <x v="21"/>
    <n v="2"/>
    <s v="Life Sciences"/>
    <n v="1"/>
    <n v="1412"/>
    <n v="3"/>
    <x v="1"/>
    <n v="60"/>
    <n v="3"/>
    <n v="3"/>
    <x v="3"/>
    <x v="0"/>
    <s v="Single"/>
    <n v="9362"/>
    <n v="19944"/>
    <n v="2"/>
    <s v="Y"/>
    <s v="No"/>
    <n v="11"/>
    <n v="3"/>
    <n v="3"/>
    <n v="80"/>
    <n v="0"/>
    <n v="10"/>
    <n v="2"/>
    <n v="3"/>
    <x v="4"/>
    <n v="2"/>
    <n v="2"/>
    <n v="2"/>
    <x v="0"/>
    <x v="2"/>
  </r>
  <r>
    <n v="25"/>
    <x v="1"/>
    <s v="Travel_Rarely"/>
    <n v="949"/>
    <x v="1"/>
    <x v="0"/>
    <n v="3"/>
    <s v="Technical Degree"/>
    <n v="1"/>
    <n v="1415"/>
    <n v="1"/>
    <x v="1"/>
    <n v="81"/>
    <n v="3"/>
    <n v="1"/>
    <x v="2"/>
    <x v="0"/>
    <s v="Married"/>
    <n v="3229"/>
    <n v="4910"/>
    <n v="4"/>
    <s v="Y"/>
    <s v="No"/>
    <n v="11"/>
    <n v="3"/>
    <n v="2"/>
    <n v="80"/>
    <n v="1"/>
    <n v="7"/>
    <n v="2"/>
    <n v="2"/>
    <x v="11"/>
    <n v="2"/>
    <n v="0"/>
    <n v="2"/>
    <x v="2"/>
    <x v="0"/>
  </r>
  <r>
    <n v="26"/>
    <x v="1"/>
    <s v="Travel_Rarely"/>
    <n v="652"/>
    <x v="1"/>
    <x v="15"/>
    <n v="3"/>
    <s v="Other"/>
    <n v="1"/>
    <n v="1417"/>
    <n v="3"/>
    <x v="1"/>
    <n v="100"/>
    <n v="4"/>
    <n v="1"/>
    <x v="2"/>
    <x v="3"/>
    <s v="Single"/>
    <n v="3578"/>
    <n v="23577"/>
    <n v="0"/>
    <s v="Y"/>
    <s v="No"/>
    <n v="12"/>
    <n v="3"/>
    <n v="4"/>
    <n v="80"/>
    <n v="0"/>
    <n v="8"/>
    <n v="2"/>
    <n v="3"/>
    <x v="5"/>
    <n v="7"/>
    <n v="0"/>
    <n v="7"/>
    <x v="2"/>
    <x v="0"/>
  </r>
  <r>
    <n v="29"/>
    <x v="1"/>
    <s v="Travel_Rarely"/>
    <n v="332"/>
    <x v="2"/>
    <x v="27"/>
    <n v="3"/>
    <s v="Other"/>
    <n v="1"/>
    <n v="1419"/>
    <n v="2"/>
    <x v="1"/>
    <n v="51"/>
    <n v="2"/>
    <n v="3"/>
    <x v="8"/>
    <x v="3"/>
    <s v="Single"/>
    <n v="7988"/>
    <n v="9769"/>
    <n v="1"/>
    <s v="Y"/>
    <s v="No"/>
    <n v="13"/>
    <n v="3"/>
    <n v="1"/>
    <n v="80"/>
    <n v="0"/>
    <n v="10"/>
    <n v="3"/>
    <n v="2"/>
    <x v="1"/>
    <n v="9"/>
    <n v="0"/>
    <n v="9"/>
    <x v="2"/>
    <x v="4"/>
  </r>
  <r>
    <n v="49"/>
    <x v="0"/>
    <s v="Travel_Frequently"/>
    <n v="1475"/>
    <x v="1"/>
    <x v="26"/>
    <n v="2"/>
    <s v="Life Sciences"/>
    <n v="1"/>
    <n v="1420"/>
    <n v="1"/>
    <x v="1"/>
    <n v="97"/>
    <n v="2"/>
    <n v="2"/>
    <x v="2"/>
    <x v="3"/>
    <s v="Single"/>
    <n v="4284"/>
    <n v="22710"/>
    <n v="3"/>
    <s v="Y"/>
    <s v="No"/>
    <n v="20"/>
    <n v="4"/>
    <n v="1"/>
    <n v="80"/>
    <n v="0"/>
    <n v="20"/>
    <n v="2"/>
    <n v="3"/>
    <x v="9"/>
    <n v="3"/>
    <n v="1"/>
    <n v="3"/>
    <x v="1"/>
    <x v="0"/>
  </r>
  <r>
    <n v="29"/>
    <x v="0"/>
    <s v="Travel_Frequently"/>
    <n v="337"/>
    <x v="1"/>
    <x v="24"/>
    <n v="1"/>
    <s v="Other"/>
    <n v="1"/>
    <n v="1421"/>
    <n v="3"/>
    <x v="0"/>
    <n v="84"/>
    <n v="3"/>
    <n v="3"/>
    <x v="4"/>
    <x v="0"/>
    <s v="Single"/>
    <n v="7553"/>
    <n v="22930"/>
    <n v="0"/>
    <s v="Y"/>
    <s v="Yes"/>
    <n v="12"/>
    <n v="3"/>
    <n v="1"/>
    <n v="80"/>
    <n v="0"/>
    <n v="9"/>
    <n v="1"/>
    <n v="3"/>
    <x v="3"/>
    <n v="7"/>
    <n v="7"/>
    <n v="7"/>
    <x v="2"/>
    <x v="4"/>
  </r>
  <r>
    <n v="54"/>
    <x v="1"/>
    <s v="Travel_Rarely"/>
    <n v="971"/>
    <x v="1"/>
    <x v="0"/>
    <n v="3"/>
    <s v="Medical"/>
    <n v="1"/>
    <n v="1422"/>
    <n v="4"/>
    <x v="0"/>
    <n v="54"/>
    <n v="3"/>
    <n v="4"/>
    <x v="7"/>
    <x v="0"/>
    <s v="Single"/>
    <n v="17328"/>
    <n v="5652"/>
    <n v="6"/>
    <s v="Y"/>
    <s v="No"/>
    <n v="19"/>
    <n v="3"/>
    <n v="4"/>
    <n v="80"/>
    <n v="0"/>
    <n v="29"/>
    <n v="3"/>
    <n v="2"/>
    <x v="23"/>
    <n v="7"/>
    <n v="12"/>
    <n v="7"/>
    <x v="1"/>
    <x v="3"/>
  </r>
  <r>
    <n v="58"/>
    <x v="1"/>
    <s v="Travel_Rarely"/>
    <n v="1055"/>
    <x v="1"/>
    <x v="0"/>
    <n v="3"/>
    <s v="Medical"/>
    <n v="1"/>
    <n v="1423"/>
    <n v="4"/>
    <x v="0"/>
    <n v="76"/>
    <n v="3"/>
    <n v="5"/>
    <x v="7"/>
    <x v="3"/>
    <s v="Married"/>
    <n v="19701"/>
    <n v="22456"/>
    <n v="3"/>
    <s v="Y"/>
    <s v="Yes"/>
    <n v="21"/>
    <n v="4"/>
    <n v="3"/>
    <n v="80"/>
    <n v="1"/>
    <n v="32"/>
    <n v="3"/>
    <n v="3"/>
    <x v="7"/>
    <n v="8"/>
    <n v="1"/>
    <n v="5"/>
    <x v="3"/>
    <x v="3"/>
  </r>
  <r>
    <n v="55"/>
    <x v="1"/>
    <s v="Travel_Rarely"/>
    <n v="1136"/>
    <x v="1"/>
    <x v="0"/>
    <n v="4"/>
    <s v="Medical"/>
    <n v="1"/>
    <n v="1424"/>
    <n v="2"/>
    <x v="1"/>
    <n v="81"/>
    <n v="4"/>
    <n v="4"/>
    <x v="7"/>
    <x v="0"/>
    <s v="Divorced"/>
    <n v="14732"/>
    <n v="12414"/>
    <n v="2"/>
    <s v="Y"/>
    <s v="No"/>
    <n v="13"/>
    <n v="3"/>
    <n v="4"/>
    <n v="80"/>
    <n v="2"/>
    <n v="31"/>
    <n v="4"/>
    <n v="4"/>
    <x v="5"/>
    <n v="7"/>
    <n v="0"/>
    <n v="0"/>
    <x v="3"/>
    <x v="3"/>
  </r>
  <r>
    <n v="36"/>
    <x v="1"/>
    <s v="Travel_Rarely"/>
    <n v="1174"/>
    <x v="0"/>
    <x v="3"/>
    <n v="4"/>
    <s v="Marketing"/>
    <n v="1"/>
    <n v="1425"/>
    <n v="1"/>
    <x v="0"/>
    <n v="99"/>
    <n v="3"/>
    <n v="2"/>
    <x v="0"/>
    <x v="1"/>
    <s v="Single"/>
    <n v="9278"/>
    <n v="20763"/>
    <n v="3"/>
    <s v="Y"/>
    <s v="Yes"/>
    <n v="16"/>
    <n v="3"/>
    <n v="4"/>
    <n v="80"/>
    <n v="0"/>
    <n v="15"/>
    <n v="3"/>
    <n v="3"/>
    <x v="8"/>
    <n v="4"/>
    <n v="0"/>
    <n v="1"/>
    <x v="0"/>
    <x v="2"/>
  </r>
  <r>
    <n v="31"/>
    <x v="0"/>
    <s v="Travel_Frequently"/>
    <n v="667"/>
    <x v="0"/>
    <x v="0"/>
    <n v="4"/>
    <s v="Life Sciences"/>
    <n v="1"/>
    <n v="1427"/>
    <n v="2"/>
    <x v="0"/>
    <n v="50"/>
    <n v="1"/>
    <n v="1"/>
    <x v="6"/>
    <x v="2"/>
    <s v="Single"/>
    <n v="1359"/>
    <n v="16154"/>
    <n v="1"/>
    <s v="Y"/>
    <s v="No"/>
    <n v="12"/>
    <n v="3"/>
    <n v="2"/>
    <n v="80"/>
    <n v="0"/>
    <n v="1"/>
    <n v="3"/>
    <n v="3"/>
    <x v="6"/>
    <n v="0"/>
    <n v="0"/>
    <n v="0"/>
    <x v="2"/>
    <x v="1"/>
  </r>
  <r>
    <n v="30"/>
    <x v="1"/>
    <s v="Travel_Rarely"/>
    <n v="855"/>
    <x v="0"/>
    <x v="15"/>
    <n v="4"/>
    <s v="Marketing"/>
    <n v="1"/>
    <n v="1428"/>
    <n v="4"/>
    <x v="0"/>
    <n v="73"/>
    <n v="3"/>
    <n v="2"/>
    <x v="0"/>
    <x v="3"/>
    <s v="Divorced"/>
    <n v="4779"/>
    <n v="12761"/>
    <n v="7"/>
    <s v="Y"/>
    <s v="No"/>
    <n v="14"/>
    <n v="3"/>
    <n v="2"/>
    <n v="80"/>
    <n v="2"/>
    <n v="8"/>
    <n v="3"/>
    <n v="3"/>
    <x v="11"/>
    <n v="2"/>
    <n v="0"/>
    <n v="2"/>
    <x v="2"/>
    <x v="0"/>
  </r>
  <r>
    <n v="31"/>
    <x v="1"/>
    <s v="Travel_Rarely"/>
    <n v="182"/>
    <x v="1"/>
    <x v="1"/>
    <n v="5"/>
    <s v="Life Sciences"/>
    <n v="1"/>
    <n v="1430"/>
    <n v="1"/>
    <x v="0"/>
    <n v="93"/>
    <n v="3"/>
    <n v="4"/>
    <x v="7"/>
    <x v="1"/>
    <s v="Single"/>
    <n v="16422"/>
    <n v="8847"/>
    <n v="3"/>
    <s v="Y"/>
    <s v="No"/>
    <n v="11"/>
    <n v="3"/>
    <n v="3"/>
    <n v="80"/>
    <n v="0"/>
    <n v="9"/>
    <n v="3"/>
    <n v="4"/>
    <x v="11"/>
    <n v="2"/>
    <n v="1"/>
    <n v="0"/>
    <x v="2"/>
    <x v="3"/>
  </r>
  <r>
    <n v="34"/>
    <x v="1"/>
    <s v="Travel_Frequently"/>
    <n v="560"/>
    <x v="1"/>
    <x v="0"/>
    <n v="4"/>
    <s v="Other"/>
    <n v="1"/>
    <n v="1431"/>
    <n v="4"/>
    <x v="1"/>
    <n v="91"/>
    <n v="3"/>
    <n v="1"/>
    <x v="1"/>
    <x v="3"/>
    <s v="Divorced"/>
    <n v="2996"/>
    <n v="20284"/>
    <n v="5"/>
    <s v="Y"/>
    <s v="No"/>
    <n v="14"/>
    <n v="3"/>
    <n v="3"/>
    <n v="80"/>
    <n v="2"/>
    <n v="10"/>
    <n v="2"/>
    <n v="3"/>
    <x v="9"/>
    <n v="3"/>
    <n v="1"/>
    <n v="3"/>
    <x v="2"/>
    <x v="1"/>
  </r>
  <r>
    <n v="31"/>
    <x v="0"/>
    <s v="Travel_Rarely"/>
    <n v="202"/>
    <x v="1"/>
    <x v="1"/>
    <n v="3"/>
    <s v="Life Sciences"/>
    <n v="1"/>
    <n v="1433"/>
    <n v="1"/>
    <x v="0"/>
    <n v="34"/>
    <n v="2"/>
    <n v="1"/>
    <x v="1"/>
    <x v="1"/>
    <s v="Single"/>
    <n v="1261"/>
    <n v="22262"/>
    <n v="1"/>
    <s v="Y"/>
    <s v="No"/>
    <n v="12"/>
    <n v="3"/>
    <n v="3"/>
    <n v="80"/>
    <n v="0"/>
    <n v="1"/>
    <n v="3"/>
    <n v="4"/>
    <x v="6"/>
    <n v="0"/>
    <n v="0"/>
    <n v="0"/>
    <x v="2"/>
    <x v="1"/>
  </r>
  <r>
    <n v="27"/>
    <x v="1"/>
    <s v="Travel_Rarely"/>
    <n v="1377"/>
    <x v="1"/>
    <x v="13"/>
    <n v="1"/>
    <s v="Life Sciences"/>
    <n v="1"/>
    <n v="1434"/>
    <n v="2"/>
    <x v="1"/>
    <n v="91"/>
    <n v="3"/>
    <n v="1"/>
    <x v="2"/>
    <x v="3"/>
    <s v="Married"/>
    <n v="2099"/>
    <n v="7679"/>
    <n v="0"/>
    <s v="Y"/>
    <s v="No"/>
    <n v="14"/>
    <n v="3"/>
    <n v="2"/>
    <n v="80"/>
    <n v="0"/>
    <n v="6"/>
    <n v="3"/>
    <n v="4"/>
    <x v="8"/>
    <n v="0"/>
    <n v="1"/>
    <n v="4"/>
    <x v="2"/>
    <x v="1"/>
  </r>
  <r>
    <n v="36"/>
    <x v="1"/>
    <s v="Travel_Rarely"/>
    <n v="172"/>
    <x v="1"/>
    <x v="18"/>
    <n v="4"/>
    <s v="Life Sciences"/>
    <n v="1"/>
    <n v="1435"/>
    <n v="1"/>
    <x v="1"/>
    <n v="37"/>
    <n v="2"/>
    <n v="2"/>
    <x v="2"/>
    <x v="0"/>
    <s v="Single"/>
    <n v="5810"/>
    <n v="22604"/>
    <n v="1"/>
    <s v="Y"/>
    <s v="No"/>
    <n v="16"/>
    <n v="3"/>
    <n v="3"/>
    <n v="80"/>
    <n v="0"/>
    <n v="10"/>
    <n v="2"/>
    <n v="2"/>
    <x v="1"/>
    <n v="4"/>
    <n v="1"/>
    <n v="8"/>
    <x v="0"/>
    <x v="0"/>
  </r>
  <r>
    <n v="36"/>
    <x v="1"/>
    <s v="Travel_Rarely"/>
    <n v="329"/>
    <x v="0"/>
    <x v="7"/>
    <n v="4"/>
    <s v="Marketing"/>
    <n v="1"/>
    <n v="1436"/>
    <n v="3"/>
    <x v="0"/>
    <n v="98"/>
    <n v="2"/>
    <n v="2"/>
    <x v="0"/>
    <x v="3"/>
    <s v="Married"/>
    <n v="5647"/>
    <n v="13494"/>
    <n v="4"/>
    <s v="Y"/>
    <s v="No"/>
    <n v="13"/>
    <n v="3"/>
    <n v="1"/>
    <n v="80"/>
    <n v="2"/>
    <n v="11"/>
    <n v="3"/>
    <n v="2"/>
    <x v="11"/>
    <n v="2"/>
    <n v="0"/>
    <n v="2"/>
    <x v="0"/>
    <x v="0"/>
  </r>
  <r>
    <n v="47"/>
    <x v="1"/>
    <s v="Travel_Rarely"/>
    <n v="465"/>
    <x v="1"/>
    <x v="0"/>
    <n v="3"/>
    <s v="Technical Degree"/>
    <n v="1"/>
    <n v="1438"/>
    <n v="1"/>
    <x v="1"/>
    <n v="74"/>
    <n v="3"/>
    <n v="1"/>
    <x v="1"/>
    <x v="0"/>
    <s v="Married"/>
    <n v="3420"/>
    <n v="10205"/>
    <n v="7"/>
    <s v="Y"/>
    <s v="No"/>
    <n v="12"/>
    <n v="3"/>
    <n v="3"/>
    <n v="80"/>
    <n v="1"/>
    <n v="17"/>
    <n v="2"/>
    <n v="2"/>
    <x v="0"/>
    <n v="5"/>
    <n v="1"/>
    <n v="2"/>
    <x v="1"/>
    <x v="0"/>
  </r>
  <r>
    <n v="25"/>
    <x v="0"/>
    <s v="Travel_Rarely"/>
    <n v="383"/>
    <x v="0"/>
    <x v="14"/>
    <n v="2"/>
    <s v="Life Sciences"/>
    <n v="1"/>
    <n v="1439"/>
    <n v="1"/>
    <x v="1"/>
    <n v="68"/>
    <n v="2"/>
    <n v="1"/>
    <x v="6"/>
    <x v="3"/>
    <s v="Married"/>
    <n v="4400"/>
    <n v="15182"/>
    <n v="3"/>
    <s v="Y"/>
    <s v="No"/>
    <n v="12"/>
    <n v="3"/>
    <n v="1"/>
    <n v="80"/>
    <n v="0"/>
    <n v="6"/>
    <n v="2"/>
    <n v="3"/>
    <x v="11"/>
    <n v="2"/>
    <n v="2"/>
    <n v="2"/>
    <x v="2"/>
    <x v="0"/>
  </r>
  <r>
    <n v="37"/>
    <x v="1"/>
    <s v="Non-Travel"/>
    <n v="1413"/>
    <x v="1"/>
    <x v="12"/>
    <n v="2"/>
    <s v="Technical Degree"/>
    <n v="1"/>
    <n v="1440"/>
    <n v="3"/>
    <x v="1"/>
    <n v="84"/>
    <n v="4"/>
    <n v="1"/>
    <x v="2"/>
    <x v="2"/>
    <s v="Single"/>
    <n v="3500"/>
    <n v="25470"/>
    <n v="0"/>
    <s v="Y"/>
    <s v="No"/>
    <n v="14"/>
    <n v="3"/>
    <n v="1"/>
    <n v="80"/>
    <n v="0"/>
    <n v="7"/>
    <n v="2"/>
    <n v="1"/>
    <x v="0"/>
    <n v="5"/>
    <n v="1"/>
    <n v="3"/>
    <x v="0"/>
    <x v="0"/>
  </r>
  <r>
    <n v="56"/>
    <x v="1"/>
    <s v="Travel_Rarely"/>
    <n v="1255"/>
    <x v="1"/>
    <x v="0"/>
    <n v="2"/>
    <s v="Life Sciences"/>
    <n v="1"/>
    <n v="1441"/>
    <n v="1"/>
    <x v="0"/>
    <n v="90"/>
    <n v="3"/>
    <n v="1"/>
    <x v="1"/>
    <x v="3"/>
    <s v="Married"/>
    <n v="2066"/>
    <n v="10494"/>
    <n v="2"/>
    <s v="Y"/>
    <s v="No"/>
    <n v="22"/>
    <n v="4"/>
    <n v="4"/>
    <n v="80"/>
    <n v="1"/>
    <n v="5"/>
    <n v="3"/>
    <n v="4"/>
    <x v="11"/>
    <n v="2"/>
    <n v="1"/>
    <n v="0"/>
    <x v="3"/>
    <x v="1"/>
  </r>
  <r>
    <n v="47"/>
    <x v="1"/>
    <s v="Travel_Rarely"/>
    <n v="359"/>
    <x v="1"/>
    <x v="2"/>
    <n v="4"/>
    <s v="Medical"/>
    <n v="1"/>
    <n v="1443"/>
    <n v="1"/>
    <x v="0"/>
    <n v="82"/>
    <n v="3"/>
    <n v="4"/>
    <x v="7"/>
    <x v="2"/>
    <s v="Married"/>
    <n v="17169"/>
    <n v="26703"/>
    <n v="3"/>
    <s v="Y"/>
    <s v="No"/>
    <n v="19"/>
    <n v="3"/>
    <n v="2"/>
    <n v="80"/>
    <n v="2"/>
    <n v="26"/>
    <n v="2"/>
    <n v="4"/>
    <x v="23"/>
    <n v="17"/>
    <n v="5"/>
    <n v="6"/>
    <x v="1"/>
    <x v="3"/>
  </r>
  <r>
    <n v="24"/>
    <x v="1"/>
    <s v="Travel_Rarely"/>
    <n v="1476"/>
    <x v="0"/>
    <x v="18"/>
    <n v="1"/>
    <s v="Medical"/>
    <n v="1"/>
    <n v="1445"/>
    <n v="4"/>
    <x v="0"/>
    <n v="42"/>
    <n v="3"/>
    <n v="2"/>
    <x v="0"/>
    <x v="2"/>
    <s v="Married"/>
    <n v="4162"/>
    <n v="15211"/>
    <n v="1"/>
    <s v="Y"/>
    <s v="Yes"/>
    <n v="12"/>
    <n v="3"/>
    <n v="3"/>
    <n v="80"/>
    <n v="2"/>
    <n v="5"/>
    <n v="3"/>
    <n v="3"/>
    <x v="8"/>
    <n v="4"/>
    <n v="0"/>
    <n v="3"/>
    <x v="4"/>
    <x v="0"/>
  </r>
  <r>
    <n v="32"/>
    <x v="1"/>
    <s v="Travel_Rarely"/>
    <n v="601"/>
    <x v="0"/>
    <x v="15"/>
    <n v="5"/>
    <s v="Marketing"/>
    <n v="1"/>
    <n v="1446"/>
    <n v="4"/>
    <x v="1"/>
    <n v="97"/>
    <n v="3"/>
    <n v="2"/>
    <x v="0"/>
    <x v="0"/>
    <s v="Married"/>
    <n v="9204"/>
    <n v="23343"/>
    <n v="4"/>
    <s v="Y"/>
    <s v="No"/>
    <n v="12"/>
    <n v="3"/>
    <n v="3"/>
    <n v="80"/>
    <n v="1"/>
    <n v="7"/>
    <n v="3"/>
    <n v="2"/>
    <x v="9"/>
    <n v="3"/>
    <n v="0"/>
    <n v="3"/>
    <x v="2"/>
    <x v="2"/>
  </r>
  <r>
    <n v="34"/>
    <x v="1"/>
    <s v="Travel_Rarely"/>
    <n v="401"/>
    <x v="1"/>
    <x v="0"/>
    <n v="3"/>
    <s v="Life Sciences"/>
    <n v="1"/>
    <n v="1447"/>
    <n v="4"/>
    <x v="0"/>
    <n v="86"/>
    <n v="2"/>
    <n v="1"/>
    <x v="2"/>
    <x v="1"/>
    <s v="Married"/>
    <n v="3294"/>
    <n v="3708"/>
    <n v="5"/>
    <s v="Y"/>
    <s v="No"/>
    <n v="17"/>
    <n v="3"/>
    <n v="1"/>
    <n v="80"/>
    <n v="1"/>
    <n v="7"/>
    <n v="2"/>
    <n v="2"/>
    <x v="8"/>
    <n v="4"/>
    <n v="0"/>
    <n v="2"/>
    <x v="2"/>
    <x v="0"/>
  </r>
  <r>
    <n v="41"/>
    <x v="1"/>
    <s v="Travel_Rarely"/>
    <n v="1283"/>
    <x v="1"/>
    <x v="12"/>
    <n v="5"/>
    <s v="Medical"/>
    <n v="1"/>
    <n v="1448"/>
    <n v="2"/>
    <x v="1"/>
    <n v="90"/>
    <n v="4"/>
    <n v="1"/>
    <x v="1"/>
    <x v="2"/>
    <s v="Married"/>
    <n v="2127"/>
    <n v="5561"/>
    <n v="2"/>
    <s v="Y"/>
    <s v="Yes"/>
    <n v="12"/>
    <n v="3"/>
    <n v="1"/>
    <n v="80"/>
    <n v="0"/>
    <n v="7"/>
    <n v="5"/>
    <n v="2"/>
    <x v="9"/>
    <n v="2"/>
    <n v="0"/>
    <n v="3"/>
    <x v="0"/>
    <x v="1"/>
  </r>
  <r>
    <n v="40"/>
    <x v="1"/>
    <s v="Non-Travel"/>
    <n v="663"/>
    <x v="1"/>
    <x v="14"/>
    <n v="4"/>
    <s v="Other"/>
    <n v="1"/>
    <n v="1449"/>
    <n v="3"/>
    <x v="1"/>
    <n v="81"/>
    <n v="3"/>
    <n v="2"/>
    <x v="2"/>
    <x v="2"/>
    <s v="Divorced"/>
    <n v="3975"/>
    <n v="23099"/>
    <n v="3"/>
    <s v="Y"/>
    <s v="No"/>
    <n v="11"/>
    <n v="3"/>
    <n v="3"/>
    <n v="80"/>
    <n v="2"/>
    <n v="11"/>
    <n v="2"/>
    <n v="4"/>
    <x v="3"/>
    <n v="7"/>
    <n v="0"/>
    <n v="7"/>
    <x v="0"/>
    <x v="0"/>
  </r>
  <r>
    <n v="31"/>
    <x v="1"/>
    <s v="Travel_Rarely"/>
    <n v="326"/>
    <x v="0"/>
    <x v="1"/>
    <n v="2"/>
    <s v="Life Sciences"/>
    <n v="1"/>
    <n v="1453"/>
    <n v="1"/>
    <x v="1"/>
    <n v="31"/>
    <n v="3"/>
    <n v="3"/>
    <x v="0"/>
    <x v="0"/>
    <s v="Divorced"/>
    <n v="10793"/>
    <n v="8386"/>
    <n v="1"/>
    <s v="Y"/>
    <s v="No"/>
    <n v="18"/>
    <n v="3"/>
    <n v="1"/>
    <n v="80"/>
    <n v="1"/>
    <n v="13"/>
    <n v="5"/>
    <n v="3"/>
    <x v="20"/>
    <n v="7"/>
    <n v="9"/>
    <n v="9"/>
    <x v="2"/>
    <x v="2"/>
  </r>
  <r>
    <n v="46"/>
    <x v="0"/>
    <s v="Travel_Rarely"/>
    <n v="377"/>
    <x v="0"/>
    <x v="14"/>
    <n v="3"/>
    <s v="Marketing"/>
    <n v="1"/>
    <n v="1457"/>
    <n v="1"/>
    <x v="1"/>
    <n v="52"/>
    <n v="3"/>
    <n v="3"/>
    <x v="0"/>
    <x v="0"/>
    <s v="Divorced"/>
    <n v="10096"/>
    <n v="15986"/>
    <n v="4"/>
    <s v="Y"/>
    <s v="No"/>
    <n v="11"/>
    <n v="3"/>
    <n v="1"/>
    <n v="80"/>
    <n v="1"/>
    <n v="28"/>
    <n v="1"/>
    <n v="4"/>
    <x v="5"/>
    <n v="7"/>
    <n v="4"/>
    <n v="3"/>
    <x v="1"/>
    <x v="2"/>
  </r>
  <r>
    <n v="39"/>
    <x v="0"/>
    <s v="Non-Travel"/>
    <n v="592"/>
    <x v="1"/>
    <x v="2"/>
    <n v="3"/>
    <s v="Life Sciences"/>
    <n v="1"/>
    <n v="1458"/>
    <n v="1"/>
    <x v="0"/>
    <n v="54"/>
    <n v="2"/>
    <n v="1"/>
    <x v="2"/>
    <x v="3"/>
    <s v="Single"/>
    <n v="3646"/>
    <n v="17181"/>
    <n v="2"/>
    <s v="Y"/>
    <s v="Yes"/>
    <n v="23"/>
    <n v="4"/>
    <n v="2"/>
    <n v="80"/>
    <n v="0"/>
    <n v="11"/>
    <n v="2"/>
    <n v="4"/>
    <x v="6"/>
    <n v="0"/>
    <n v="0"/>
    <n v="0"/>
    <x v="0"/>
    <x v="0"/>
  </r>
  <r>
    <n v="31"/>
    <x v="0"/>
    <s v="Travel_Frequently"/>
    <n v="1445"/>
    <x v="1"/>
    <x v="0"/>
    <n v="5"/>
    <s v="Life Sciences"/>
    <n v="1"/>
    <n v="1459"/>
    <n v="3"/>
    <x v="0"/>
    <n v="100"/>
    <n v="4"/>
    <n v="3"/>
    <x v="3"/>
    <x v="1"/>
    <s v="Single"/>
    <n v="7446"/>
    <n v="8931"/>
    <n v="1"/>
    <s v="Y"/>
    <s v="No"/>
    <n v="11"/>
    <n v="3"/>
    <n v="1"/>
    <n v="80"/>
    <n v="0"/>
    <n v="10"/>
    <n v="2"/>
    <n v="3"/>
    <x v="1"/>
    <n v="8"/>
    <n v="4"/>
    <n v="7"/>
    <x v="2"/>
    <x v="4"/>
  </r>
  <r>
    <n v="45"/>
    <x v="1"/>
    <s v="Travel_Rarely"/>
    <n v="1038"/>
    <x v="1"/>
    <x v="25"/>
    <n v="3"/>
    <s v="Medical"/>
    <n v="1"/>
    <n v="1460"/>
    <n v="2"/>
    <x v="1"/>
    <n v="95"/>
    <n v="1"/>
    <n v="3"/>
    <x v="4"/>
    <x v="3"/>
    <s v="Divorced"/>
    <n v="10851"/>
    <n v="19863"/>
    <n v="2"/>
    <s v="Y"/>
    <s v="Yes"/>
    <n v="18"/>
    <n v="3"/>
    <n v="2"/>
    <n v="80"/>
    <n v="1"/>
    <n v="24"/>
    <n v="2"/>
    <n v="3"/>
    <x v="5"/>
    <n v="7"/>
    <n v="0"/>
    <n v="7"/>
    <x v="1"/>
    <x v="2"/>
  </r>
  <r>
    <n v="31"/>
    <x v="1"/>
    <s v="Travel_Rarely"/>
    <n v="1398"/>
    <x v="2"/>
    <x v="1"/>
    <n v="2"/>
    <s v="Medical"/>
    <n v="1"/>
    <n v="1461"/>
    <n v="4"/>
    <x v="0"/>
    <n v="96"/>
    <n v="4"/>
    <n v="1"/>
    <x v="8"/>
    <x v="1"/>
    <s v="Single"/>
    <n v="2109"/>
    <n v="24609"/>
    <n v="9"/>
    <s v="Y"/>
    <s v="No"/>
    <n v="18"/>
    <n v="3"/>
    <n v="4"/>
    <n v="80"/>
    <n v="0"/>
    <n v="8"/>
    <n v="3"/>
    <n v="3"/>
    <x v="11"/>
    <n v="2"/>
    <n v="0"/>
    <n v="2"/>
    <x v="2"/>
    <x v="1"/>
  </r>
  <r>
    <n v="31"/>
    <x v="0"/>
    <s v="Travel_Frequently"/>
    <n v="523"/>
    <x v="1"/>
    <x v="2"/>
    <n v="3"/>
    <s v="Life Sciences"/>
    <n v="1"/>
    <n v="1464"/>
    <n v="2"/>
    <x v="1"/>
    <n v="94"/>
    <n v="3"/>
    <n v="1"/>
    <x v="2"/>
    <x v="0"/>
    <s v="Married"/>
    <n v="3722"/>
    <n v="21081"/>
    <n v="6"/>
    <s v="Y"/>
    <s v="Yes"/>
    <n v="13"/>
    <n v="3"/>
    <n v="3"/>
    <n v="80"/>
    <n v="1"/>
    <n v="7"/>
    <n v="2"/>
    <n v="1"/>
    <x v="4"/>
    <n v="2"/>
    <n v="2"/>
    <n v="2"/>
    <x v="2"/>
    <x v="0"/>
  </r>
  <r>
    <n v="45"/>
    <x v="1"/>
    <s v="Travel_Rarely"/>
    <n v="1448"/>
    <x v="1"/>
    <x v="22"/>
    <n v="3"/>
    <s v="Technical Degree"/>
    <n v="1"/>
    <n v="1465"/>
    <n v="2"/>
    <x v="1"/>
    <n v="55"/>
    <n v="3"/>
    <n v="3"/>
    <x v="3"/>
    <x v="0"/>
    <s v="Married"/>
    <n v="9380"/>
    <n v="14720"/>
    <n v="4"/>
    <s v="Y"/>
    <s v="Yes"/>
    <n v="18"/>
    <n v="3"/>
    <n v="4"/>
    <n v="80"/>
    <n v="2"/>
    <n v="10"/>
    <n v="4"/>
    <n v="4"/>
    <x v="11"/>
    <n v="1"/>
    <n v="1"/>
    <n v="2"/>
    <x v="1"/>
    <x v="2"/>
  </r>
  <r>
    <n v="48"/>
    <x v="1"/>
    <s v="Travel_Rarely"/>
    <n v="1221"/>
    <x v="0"/>
    <x v="15"/>
    <n v="3"/>
    <s v="Marketing"/>
    <n v="1"/>
    <n v="1466"/>
    <n v="3"/>
    <x v="1"/>
    <n v="96"/>
    <n v="3"/>
    <n v="2"/>
    <x v="0"/>
    <x v="3"/>
    <s v="Divorced"/>
    <n v="5486"/>
    <n v="24795"/>
    <n v="4"/>
    <s v="Y"/>
    <s v="No"/>
    <n v="11"/>
    <n v="3"/>
    <n v="1"/>
    <n v="80"/>
    <n v="3"/>
    <n v="15"/>
    <n v="3"/>
    <n v="3"/>
    <x v="4"/>
    <n v="2"/>
    <n v="2"/>
    <n v="2"/>
    <x v="1"/>
    <x v="0"/>
  </r>
  <r>
    <n v="34"/>
    <x v="0"/>
    <s v="Travel_Rarely"/>
    <n v="1107"/>
    <x v="2"/>
    <x v="14"/>
    <n v="4"/>
    <s v="Technical Degree"/>
    <n v="1"/>
    <n v="1467"/>
    <n v="1"/>
    <x v="0"/>
    <n v="52"/>
    <n v="3"/>
    <n v="1"/>
    <x v="8"/>
    <x v="2"/>
    <s v="Married"/>
    <n v="2742"/>
    <n v="3072"/>
    <n v="1"/>
    <s v="Y"/>
    <s v="No"/>
    <n v="15"/>
    <n v="3"/>
    <n v="4"/>
    <n v="80"/>
    <n v="0"/>
    <n v="2"/>
    <n v="0"/>
    <n v="3"/>
    <x v="4"/>
    <n v="2"/>
    <n v="2"/>
    <n v="2"/>
    <x v="2"/>
    <x v="1"/>
  </r>
  <r>
    <n v="40"/>
    <x v="1"/>
    <s v="Non-Travel"/>
    <n v="218"/>
    <x v="1"/>
    <x v="1"/>
    <n v="1"/>
    <s v="Medical"/>
    <n v="1"/>
    <n v="1468"/>
    <n v="4"/>
    <x v="1"/>
    <n v="55"/>
    <n v="2"/>
    <n v="3"/>
    <x v="7"/>
    <x v="1"/>
    <s v="Divorced"/>
    <n v="13757"/>
    <n v="25178"/>
    <n v="2"/>
    <s v="Y"/>
    <s v="No"/>
    <n v="11"/>
    <n v="3"/>
    <n v="3"/>
    <n v="80"/>
    <n v="1"/>
    <n v="16"/>
    <n v="5"/>
    <n v="3"/>
    <x v="7"/>
    <n v="8"/>
    <n v="4"/>
    <n v="8"/>
    <x v="0"/>
    <x v="3"/>
  </r>
  <r>
    <n v="28"/>
    <x v="1"/>
    <s v="Travel_Rarely"/>
    <n v="866"/>
    <x v="0"/>
    <x v="12"/>
    <n v="3"/>
    <s v="Medical"/>
    <n v="1"/>
    <n v="1469"/>
    <n v="4"/>
    <x v="1"/>
    <n v="84"/>
    <n v="3"/>
    <n v="2"/>
    <x v="0"/>
    <x v="3"/>
    <s v="Single"/>
    <n v="8463"/>
    <n v="23490"/>
    <n v="0"/>
    <s v="Y"/>
    <s v="No"/>
    <n v="18"/>
    <n v="3"/>
    <n v="4"/>
    <n v="80"/>
    <n v="0"/>
    <n v="6"/>
    <n v="4"/>
    <n v="3"/>
    <x v="8"/>
    <n v="4"/>
    <n v="1"/>
    <n v="3"/>
    <x v="2"/>
    <x v="4"/>
  </r>
  <r>
    <n v="44"/>
    <x v="1"/>
    <s v="Non-Travel"/>
    <n v="981"/>
    <x v="1"/>
    <x v="12"/>
    <n v="3"/>
    <s v="Life Sciences"/>
    <n v="1"/>
    <n v="1471"/>
    <n v="3"/>
    <x v="1"/>
    <n v="90"/>
    <n v="2"/>
    <n v="1"/>
    <x v="2"/>
    <x v="2"/>
    <s v="Single"/>
    <n v="3162"/>
    <n v="7973"/>
    <n v="3"/>
    <s v="Y"/>
    <s v="No"/>
    <n v="14"/>
    <n v="3"/>
    <n v="4"/>
    <n v="80"/>
    <n v="0"/>
    <n v="7"/>
    <n v="5"/>
    <n v="3"/>
    <x v="8"/>
    <n v="2"/>
    <n v="0"/>
    <n v="3"/>
    <x v="0"/>
    <x v="0"/>
  </r>
  <r>
    <n v="53"/>
    <x v="1"/>
    <s v="Travel_Rarely"/>
    <n v="447"/>
    <x v="1"/>
    <x v="2"/>
    <n v="3"/>
    <s v="Medical"/>
    <n v="1"/>
    <n v="1472"/>
    <n v="4"/>
    <x v="1"/>
    <n v="39"/>
    <n v="4"/>
    <n v="4"/>
    <x v="7"/>
    <x v="1"/>
    <s v="Single"/>
    <n v="16598"/>
    <n v="19764"/>
    <n v="4"/>
    <s v="Y"/>
    <s v="No"/>
    <n v="12"/>
    <n v="3"/>
    <n v="2"/>
    <n v="80"/>
    <n v="0"/>
    <n v="35"/>
    <n v="2"/>
    <n v="2"/>
    <x v="7"/>
    <n v="8"/>
    <n v="8"/>
    <n v="8"/>
    <x v="1"/>
    <x v="3"/>
  </r>
  <r>
    <n v="49"/>
    <x v="1"/>
    <s v="Travel_Rarely"/>
    <n v="1495"/>
    <x v="1"/>
    <x v="12"/>
    <n v="4"/>
    <s v="Technical Degree"/>
    <n v="1"/>
    <n v="1473"/>
    <n v="1"/>
    <x v="1"/>
    <n v="96"/>
    <n v="3"/>
    <n v="2"/>
    <x v="4"/>
    <x v="2"/>
    <s v="Married"/>
    <n v="6651"/>
    <n v="21534"/>
    <n v="2"/>
    <s v="Y"/>
    <s v="No"/>
    <n v="14"/>
    <n v="3"/>
    <n v="2"/>
    <n v="80"/>
    <n v="1"/>
    <n v="20"/>
    <n v="0"/>
    <n v="2"/>
    <x v="11"/>
    <n v="2"/>
    <n v="1"/>
    <n v="2"/>
    <x v="1"/>
    <x v="4"/>
  </r>
  <r>
    <n v="40"/>
    <x v="1"/>
    <s v="Travel_Rarely"/>
    <n v="896"/>
    <x v="1"/>
    <x v="2"/>
    <n v="3"/>
    <s v="Medical"/>
    <n v="1"/>
    <n v="1474"/>
    <n v="3"/>
    <x v="1"/>
    <n v="68"/>
    <n v="3"/>
    <n v="1"/>
    <x v="1"/>
    <x v="2"/>
    <s v="Divorced"/>
    <n v="2345"/>
    <n v="8045"/>
    <n v="2"/>
    <s v="Y"/>
    <s v="No"/>
    <n v="14"/>
    <n v="3"/>
    <n v="3"/>
    <n v="80"/>
    <n v="1"/>
    <n v="8"/>
    <n v="3"/>
    <n v="4"/>
    <x v="11"/>
    <n v="1"/>
    <n v="1"/>
    <n v="2"/>
    <x v="0"/>
    <x v="1"/>
  </r>
  <r>
    <n v="44"/>
    <x v="1"/>
    <s v="Travel_Rarely"/>
    <n v="1467"/>
    <x v="1"/>
    <x v="25"/>
    <n v="3"/>
    <s v="Life Sciences"/>
    <n v="1"/>
    <n v="1475"/>
    <n v="4"/>
    <x v="1"/>
    <n v="49"/>
    <n v="3"/>
    <n v="1"/>
    <x v="1"/>
    <x v="1"/>
    <s v="Single"/>
    <n v="3420"/>
    <n v="21158"/>
    <n v="1"/>
    <s v="Y"/>
    <s v="No"/>
    <n v="13"/>
    <n v="3"/>
    <n v="3"/>
    <n v="80"/>
    <n v="0"/>
    <n v="6"/>
    <n v="3"/>
    <n v="2"/>
    <x v="8"/>
    <n v="2"/>
    <n v="1"/>
    <n v="3"/>
    <x v="0"/>
    <x v="0"/>
  </r>
  <r>
    <n v="33"/>
    <x v="1"/>
    <s v="Travel_Frequently"/>
    <n v="430"/>
    <x v="0"/>
    <x v="15"/>
    <n v="3"/>
    <s v="Medical"/>
    <n v="1"/>
    <n v="1477"/>
    <n v="4"/>
    <x v="1"/>
    <n v="54"/>
    <n v="3"/>
    <n v="2"/>
    <x v="0"/>
    <x v="3"/>
    <s v="Married"/>
    <n v="4373"/>
    <n v="17456"/>
    <n v="0"/>
    <s v="Y"/>
    <s v="No"/>
    <n v="14"/>
    <n v="3"/>
    <n v="1"/>
    <n v="80"/>
    <n v="2"/>
    <n v="5"/>
    <n v="2"/>
    <n v="3"/>
    <x v="9"/>
    <n v="3"/>
    <n v="0"/>
    <n v="3"/>
    <x v="2"/>
    <x v="0"/>
  </r>
  <r>
    <n v="34"/>
    <x v="1"/>
    <s v="Travel_Rarely"/>
    <n v="1326"/>
    <x v="0"/>
    <x v="3"/>
    <n v="3"/>
    <s v="Other"/>
    <n v="1"/>
    <n v="1478"/>
    <n v="4"/>
    <x v="1"/>
    <n v="81"/>
    <n v="1"/>
    <n v="2"/>
    <x v="0"/>
    <x v="3"/>
    <s v="Single"/>
    <n v="4759"/>
    <n v="15891"/>
    <n v="3"/>
    <s v="Y"/>
    <s v="No"/>
    <n v="18"/>
    <n v="3"/>
    <n v="4"/>
    <n v="80"/>
    <n v="0"/>
    <n v="15"/>
    <n v="2"/>
    <n v="3"/>
    <x v="20"/>
    <n v="9"/>
    <n v="3"/>
    <n v="12"/>
    <x v="2"/>
    <x v="0"/>
  </r>
  <r>
    <n v="30"/>
    <x v="1"/>
    <s v="Travel_Rarely"/>
    <n v="1358"/>
    <x v="0"/>
    <x v="7"/>
    <n v="1"/>
    <s v="Life Sciences"/>
    <n v="1"/>
    <n v="1479"/>
    <n v="4"/>
    <x v="1"/>
    <n v="96"/>
    <n v="3"/>
    <n v="2"/>
    <x v="0"/>
    <x v="2"/>
    <s v="Married"/>
    <n v="5301"/>
    <n v="2939"/>
    <n v="8"/>
    <s v="Y"/>
    <s v="No"/>
    <n v="15"/>
    <n v="3"/>
    <n v="3"/>
    <n v="80"/>
    <n v="2"/>
    <n v="4"/>
    <n v="2"/>
    <n v="2"/>
    <x v="4"/>
    <n v="1"/>
    <n v="2"/>
    <n v="2"/>
    <x v="2"/>
    <x v="0"/>
  </r>
  <r>
    <n v="42"/>
    <x v="1"/>
    <s v="Travel_Frequently"/>
    <n v="748"/>
    <x v="1"/>
    <x v="14"/>
    <n v="2"/>
    <s v="Medical"/>
    <n v="1"/>
    <n v="1480"/>
    <n v="1"/>
    <x v="0"/>
    <n v="74"/>
    <n v="3"/>
    <n v="1"/>
    <x v="2"/>
    <x v="0"/>
    <s v="Single"/>
    <n v="3673"/>
    <n v="16458"/>
    <n v="1"/>
    <s v="Y"/>
    <s v="No"/>
    <n v="13"/>
    <n v="3"/>
    <n v="3"/>
    <n v="80"/>
    <n v="0"/>
    <n v="12"/>
    <n v="3"/>
    <n v="3"/>
    <x v="12"/>
    <n v="9"/>
    <n v="5"/>
    <n v="8"/>
    <x v="0"/>
    <x v="0"/>
  </r>
  <r>
    <n v="44"/>
    <x v="1"/>
    <s v="Travel_Frequently"/>
    <n v="383"/>
    <x v="0"/>
    <x v="0"/>
    <n v="5"/>
    <s v="Marketing"/>
    <n v="1"/>
    <n v="1481"/>
    <n v="1"/>
    <x v="0"/>
    <n v="79"/>
    <n v="3"/>
    <n v="2"/>
    <x v="0"/>
    <x v="2"/>
    <s v="Married"/>
    <n v="4768"/>
    <n v="9282"/>
    <n v="7"/>
    <s v="Y"/>
    <s v="No"/>
    <n v="12"/>
    <n v="3"/>
    <n v="3"/>
    <n v="80"/>
    <n v="1"/>
    <n v="11"/>
    <n v="4"/>
    <n v="2"/>
    <x v="6"/>
    <n v="0"/>
    <n v="0"/>
    <n v="0"/>
    <x v="0"/>
    <x v="0"/>
  </r>
  <r>
    <n v="30"/>
    <x v="1"/>
    <s v="Non-Travel"/>
    <n v="990"/>
    <x v="1"/>
    <x v="15"/>
    <n v="3"/>
    <s v="Technical Degree"/>
    <n v="1"/>
    <n v="1482"/>
    <n v="3"/>
    <x v="1"/>
    <n v="64"/>
    <n v="3"/>
    <n v="1"/>
    <x v="1"/>
    <x v="2"/>
    <s v="Divorced"/>
    <n v="1274"/>
    <n v="7152"/>
    <n v="1"/>
    <s v="Y"/>
    <s v="No"/>
    <n v="13"/>
    <n v="3"/>
    <n v="2"/>
    <n v="80"/>
    <n v="2"/>
    <n v="1"/>
    <n v="2"/>
    <n v="2"/>
    <x v="6"/>
    <n v="0"/>
    <n v="0"/>
    <n v="0"/>
    <x v="2"/>
    <x v="1"/>
  </r>
  <r>
    <n v="57"/>
    <x v="1"/>
    <s v="Travel_Rarely"/>
    <n v="405"/>
    <x v="1"/>
    <x v="0"/>
    <n v="2"/>
    <s v="Life Sciences"/>
    <n v="1"/>
    <n v="1483"/>
    <n v="2"/>
    <x v="1"/>
    <n v="93"/>
    <n v="4"/>
    <n v="2"/>
    <x v="1"/>
    <x v="2"/>
    <s v="Married"/>
    <n v="4900"/>
    <n v="2721"/>
    <n v="0"/>
    <s v="Y"/>
    <s v="No"/>
    <n v="24"/>
    <n v="4"/>
    <n v="1"/>
    <n v="80"/>
    <n v="1"/>
    <n v="13"/>
    <n v="2"/>
    <n v="2"/>
    <x v="12"/>
    <n v="9"/>
    <n v="2"/>
    <n v="8"/>
    <x v="3"/>
    <x v="0"/>
  </r>
  <r>
    <n v="49"/>
    <x v="1"/>
    <s v="Travel_Rarely"/>
    <n v="1490"/>
    <x v="1"/>
    <x v="15"/>
    <n v="4"/>
    <s v="Life Sciences"/>
    <n v="1"/>
    <n v="1484"/>
    <n v="3"/>
    <x v="1"/>
    <n v="35"/>
    <n v="3"/>
    <n v="3"/>
    <x v="4"/>
    <x v="1"/>
    <s v="Divorced"/>
    <n v="10466"/>
    <n v="20948"/>
    <n v="3"/>
    <s v="Y"/>
    <s v="No"/>
    <n v="14"/>
    <n v="3"/>
    <n v="2"/>
    <n v="80"/>
    <n v="2"/>
    <n v="29"/>
    <n v="3"/>
    <n v="3"/>
    <x v="3"/>
    <n v="7"/>
    <n v="0"/>
    <n v="7"/>
    <x v="1"/>
    <x v="2"/>
  </r>
  <r>
    <n v="34"/>
    <x v="1"/>
    <s v="Travel_Frequently"/>
    <n v="829"/>
    <x v="1"/>
    <x v="8"/>
    <n v="3"/>
    <s v="Medical"/>
    <n v="1"/>
    <n v="1485"/>
    <n v="2"/>
    <x v="1"/>
    <n v="71"/>
    <n v="3"/>
    <n v="4"/>
    <x v="7"/>
    <x v="3"/>
    <s v="Divorced"/>
    <n v="17007"/>
    <n v="11929"/>
    <n v="7"/>
    <s v="Y"/>
    <s v="No"/>
    <n v="14"/>
    <n v="3"/>
    <n v="4"/>
    <n v="80"/>
    <n v="2"/>
    <n v="16"/>
    <n v="3"/>
    <n v="2"/>
    <x v="13"/>
    <n v="8"/>
    <n v="6"/>
    <n v="9"/>
    <x v="2"/>
    <x v="3"/>
  </r>
  <r>
    <n v="28"/>
    <x v="0"/>
    <s v="Travel_Frequently"/>
    <n v="1496"/>
    <x v="0"/>
    <x v="0"/>
    <n v="3"/>
    <s v="Technical Degree"/>
    <n v="1"/>
    <n v="1486"/>
    <n v="1"/>
    <x v="1"/>
    <n v="92"/>
    <n v="3"/>
    <n v="1"/>
    <x v="6"/>
    <x v="2"/>
    <s v="Married"/>
    <n v="2909"/>
    <n v="15747"/>
    <n v="3"/>
    <s v="Y"/>
    <s v="No"/>
    <n v="15"/>
    <n v="3"/>
    <n v="4"/>
    <n v="80"/>
    <n v="1"/>
    <n v="5"/>
    <n v="3"/>
    <n v="4"/>
    <x v="11"/>
    <n v="2"/>
    <n v="1"/>
    <n v="2"/>
    <x v="2"/>
    <x v="1"/>
  </r>
  <r>
    <n v="29"/>
    <x v="0"/>
    <s v="Travel_Frequently"/>
    <n v="115"/>
    <x v="0"/>
    <x v="28"/>
    <n v="3"/>
    <s v="Technical Degree"/>
    <n v="1"/>
    <n v="1487"/>
    <n v="1"/>
    <x v="0"/>
    <n v="51"/>
    <n v="3"/>
    <n v="2"/>
    <x v="0"/>
    <x v="1"/>
    <s v="Single"/>
    <n v="5765"/>
    <n v="17485"/>
    <n v="5"/>
    <s v="Y"/>
    <s v="No"/>
    <n v="11"/>
    <n v="3"/>
    <n v="1"/>
    <n v="80"/>
    <n v="0"/>
    <n v="7"/>
    <n v="4"/>
    <n v="1"/>
    <x v="8"/>
    <n v="3"/>
    <n v="0"/>
    <n v="0"/>
    <x v="2"/>
    <x v="0"/>
  </r>
  <r>
    <n v="34"/>
    <x v="0"/>
    <s v="Travel_Rarely"/>
    <n v="790"/>
    <x v="0"/>
    <x v="4"/>
    <n v="4"/>
    <s v="Medical"/>
    <n v="1"/>
    <n v="1489"/>
    <n v="1"/>
    <x v="0"/>
    <n v="40"/>
    <n v="2"/>
    <n v="2"/>
    <x v="0"/>
    <x v="1"/>
    <s v="Single"/>
    <n v="4599"/>
    <n v="7815"/>
    <n v="0"/>
    <s v="Y"/>
    <s v="Yes"/>
    <n v="23"/>
    <n v="4"/>
    <n v="3"/>
    <n v="80"/>
    <n v="0"/>
    <n v="16"/>
    <n v="2"/>
    <n v="4"/>
    <x v="15"/>
    <n v="9"/>
    <n v="10"/>
    <n v="10"/>
    <x v="2"/>
    <x v="0"/>
  </r>
  <r>
    <n v="35"/>
    <x v="1"/>
    <s v="Travel_Rarely"/>
    <n v="660"/>
    <x v="0"/>
    <x v="15"/>
    <n v="1"/>
    <s v="Life Sciences"/>
    <n v="1"/>
    <n v="1492"/>
    <n v="4"/>
    <x v="1"/>
    <n v="76"/>
    <n v="3"/>
    <n v="1"/>
    <x v="6"/>
    <x v="2"/>
    <s v="Married"/>
    <n v="2404"/>
    <n v="16192"/>
    <n v="1"/>
    <s v="Y"/>
    <s v="No"/>
    <n v="13"/>
    <n v="3"/>
    <n v="1"/>
    <n v="80"/>
    <n v="1"/>
    <n v="1"/>
    <n v="3"/>
    <n v="3"/>
    <x v="6"/>
    <n v="0"/>
    <n v="0"/>
    <n v="0"/>
    <x v="0"/>
    <x v="1"/>
  </r>
  <r>
    <n v="24"/>
    <x v="0"/>
    <s v="Travel_Frequently"/>
    <n v="381"/>
    <x v="1"/>
    <x v="14"/>
    <n v="3"/>
    <s v="Medical"/>
    <n v="1"/>
    <n v="1494"/>
    <n v="2"/>
    <x v="1"/>
    <n v="89"/>
    <n v="3"/>
    <n v="1"/>
    <x v="2"/>
    <x v="3"/>
    <s v="Single"/>
    <n v="3172"/>
    <n v="16998"/>
    <n v="2"/>
    <s v="Y"/>
    <s v="Yes"/>
    <n v="11"/>
    <n v="3"/>
    <n v="3"/>
    <n v="80"/>
    <n v="0"/>
    <n v="4"/>
    <n v="2"/>
    <n v="2"/>
    <x v="2"/>
    <n v="0"/>
    <n v="0"/>
    <n v="0"/>
    <x v="4"/>
    <x v="0"/>
  </r>
  <r>
    <n v="24"/>
    <x v="1"/>
    <s v="Non-Travel"/>
    <n v="830"/>
    <x v="0"/>
    <x v="28"/>
    <n v="2"/>
    <s v="Life Sciences"/>
    <n v="1"/>
    <n v="1495"/>
    <n v="4"/>
    <x v="0"/>
    <n v="78"/>
    <n v="3"/>
    <n v="1"/>
    <x v="6"/>
    <x v="1"/>
    <s v="Married"/>
    <n v="2033"/>
    <n v="7103"/>
    <n v="1"/>
    <s v="Y"/>
    <s v="No"/>
    <n v="13"/>
    <n v="3"/>
    <n v="3"/>
    <n v="80"/>
    <n v="1"/>
    <n v="1"/>
    <n v="2"/>
    <n v="3"/>
    <x v="6"/>
    <n v="0"/>
    <n v="0"/>
    <n v="0"/>
    <x v="4"/>
    <x v="1"/>
  </r>
  <r>
    <n v="44"/>
    <x v="1"/>
    <s v="Travel_Frequently"/>
    <n v="1193"/>
    <x v="1"/>
    <x v="2"/>
    <n v="1"/>
    <s v="Medical"/>
    <n v="1"/>
    <n v="1496"/>
    <n v="2"/>
    <x v="1"/>
    <n v="86"/>
    <n v="3"/>
    <n v="3"/>
    <x v="3"/>
    <x v="2"/>
    <s v="Single"/>
    <n v="10209"/>
    <n v="19719"/>
    <n v="5"/>
    <s v="Y"/>
    <s v="Yes"/>
    <n v="18"/>
    <n v="3"/>
    <n v="2"/>
    <n v="80"/>
    <n v="0"/>
    <n v="16"/>
    <n v="2"/>
    <n v="2"/>
    <x v="4"/>
    <n v="2"/>
    <n v="2"/>
    <n v="2"/>
    <x v="0"/>
    <x v="2"/>
  </r>
  <r>
    <n v="29"/>
    <x v="1"/>
    <s v="Travel_Rarely"/>
    <n v="1246"/>
    <x v="0"/>
    <x v="10"/>
    <n v="3"/>
    <s v="Life Sciences"/>
    <n v="1"/>
    <n v="1497"/>
    <n v="3"/>
    <x v="1"/>
    <n v="77"/>
    <n v="2"/>
    <n v="2"/>
    <x v="0"/>
    <x v="2"/>
    <s v="Divorced"/>
    <n v="8620"/>
    <n v="23757"/>
    <n v="1"/>
    <s v="Y"/>
    <s v="No"/>
    <n v="14"/>
    <n v="3"/>
    <n v="3"/>
    <n v="80"/>
    <n v="2"/>
    <n v="10"/>
    <n v="3"/>
    <n v="3"/>
    <x v="1"/>
    <n v="7"/>
    <n v="0"/>
    <n v="4"/>
    <x v="2"/>
    <x v="4"/>
  </r>
  <r>
    <n v="30"/>
    <x v="1"/>
    <s v="Travel_Rarely"/>
    <n v="330"/>
    <x v="2"/>
    <x v="0"/>
    <n v="3"/>
    <s v="Life Sciences"/>
    <n v="1"/>
    <n v="1499"/>
    <n v="3"/>
    <x v="1"/>
    <n v="46"/>
    <n v="3"/>
    <n v="1"/>
    <x v="8"/>
    <x v="2"/>
    <s v="Divorced"/>
    <n v="2064"/>
    <n v="15428"/>
    <n v="0"/>
    <s v="Y"/>
    <s v="No"/>
    <n v="21"/>
    <n v="4"/>
    <n v="1"/>
    <n v="80"/>
    <n v="1"/>
    <n v="6"/>
    <n v="3"/>
    <n v="4"/>
    <x v="8"/>
    <n v="3"/>
    <n v="1"/>
    <n v="3"/>
    <x v="2"/>
    <x v="1"/>
  </r>
  <r>
    <n v="55"/>
    <x v="1"/>
    <s v="Travel_Rarely"/>
    <n v="1229"/>
    <x v="1"/>
    <x v="18"/>
    <n v="4"/>
    <s v="Life Sciences"/>
    <n v="1"/>
    <n v="1501"/>
    <n v="4"/>
    <x v="1"/>
    <n v="30"/>
    <n v="3"/>
    <n v="2"/>
    <x v="4"/>
    <x v="2"/>
    <s v="Married"/>
    <n v="4035"/>
    <n v="16143"/>
    <n v="0"/>
    <s v="Y"/>
    <s v="Yes"/>
    <n v="16"/>
    <n v="3"/>
    <n v="2"/>
    <n v="80"/>
    <n v="0"/>
    <n v="4"/>
    <n v="2"/>
    <n v="3"/>
    <x v="11"/>
    <n v="2"/>
    <n v="1"/>
    <n v="2"/>
    <x v="3"/>
    <x v="0"/>
  </r>
  <r>
    <n v="33"/>
    <x v="1"/>
    <s v="Travel_Rarely"/>
    <n v="1099"/>
    <x v="1"/>
    <x v="18"/>
    <n v="4"/>
    <s v="Medical"/>
    <n v="1"/>
    <n v="1502"/>
    <n v="1"/>
    <x v="0"/>
    <n v="82"/>
    <n v="2"/>
    <n v="1"/>
    <x v="2"/>
    <x v="1"/>
    <s v="Married"/>
    <n v="3838"/>
    <n v="8192"/>
    <n v="8"/>
    <s v="Y"/>
    <s v="No"/>
    <n v="11"/>
    <n v="3"/>
    <n v="4"/>
    <n v="80"/>
    <n v="0"/>
    <n v="8"/>
    <n v="5"/>
    <n v="3"/>
    <x v="8"/>
    <n v="4"/>
    <n v="0"/>
    <n v="2"/>
    <x v="2"/>
    <x v="0"/>
  </r>
  <r>
    <n v="47"/>
    <x v="1"/>
    <s v="Travel_Rarely"/>
    <n v="571"/>
    <x v="0"/>
    <x v="24"/>
    <n v="3"/>
    <s v="Medical"/>
    <n v="1"/>
    <n v="1503"/>
    <n v="3"/>
    <x v="0"/>
    <n v="78"/>
    <n v="3"/>
    <n v="2"/>
    <x v="0"/>
    <x v="2"/>
    <s v="Married"/>
    <n v="4591"/>
    <n v="24200"/>
    <n v="3"/>
    <s v="Y"/>
    <s v="Yes"/>
    <n v="17"/>
    <n v="3"/>
    <n v="3"/>
    <n v="80"/>
    <n v="1"/>
    <n v="11"/>
    <n v="4"/>
    <n v="2"/>
    <x v="8"/>
    <n v="4"/>
    <n v="1"/>
    <n v="2"/>
    <x v="1"/>
    <x v="0"/>
  </r>
  <r>
    <n v="28"/>
    <x v="0"/>
    <s v="Travel_Frequently"/>
    <n v="289"/>
    <x v="1"/>
    <x v="2"/>
    <n v="2"/>
    <s v="Medical"/>
    <n v="1"/>
    <n v="1504"/>
    <n v="3"/>
    <x v="1"/>
    <n v="38"/>
    <n v="2"/>
    <n v="1"/>
    <x v="2"/>
    <x v="3"/>
    <s v="Single"/>
    <n v="2561"/>
    <n v="5355"/>
    <n v="7"/>
    <s v="Y"/>
    <s v="No"/>
    <n v="11"/>
    <n v="3"/>
    <n v="3"/>
    <n v="80"/>
    <n v="0"/>
    <n v="8"/>
    <n v="2"/>
    <n v="2"/>
    <x v="2"/>
    <n v="0"/>
    <n v="0"/>
    <n v="0"/>
    <x v="2"/>
    <x v="1"/>
  </r>
  <r>
    <n v="28"/>
    <x v="1"/>
    <s v="Travel_Rarely"/>
    <n v="1423"/>
    <x v="1"/>
    <x v="0"/>
    <n v="3"/>
    <s v="Life Sciences"/>
    <n v="1"/>
    <n v="1506"/>
    <n v="1"/>
    <x v="1"/>
    <n v="72"/>
    <n v="2"/>
    <n v="1"/>
    <x v="1"/>
    <x v="2"/>
    <s v="Divorced"/>
    <n v="1563"/>
    <n v="12530"/>
    <n v="1"/>
    <s v="Y"/>
    <s v="No"/>
    <n v="14"/>
    <n v="3"/>
    <n v="4"/>
    <n v="80"/>
    <n v="1"/>
    <n v="1"/>
    <n v="2"/>
    <n v="1"/>
    <x v="6"/>
    <n v="0"/>
    <n v="0"/>
    <n v="0"/>
    <x v="2"/>
    <x v="1"/>
  </r>
  <r>
    <n v="28"/>
    <x v="1"/>
    <s v="Travel_Frequently"/>
    <n v="467"/>
    <x v="0"/>
    <x v="15"/>
    <n v="3"/>
    <s v="Life Sciences"/>
    <n v="1"/>
    <n v="1507"/>
    <n v="3"/>
    <x v="1"/>
    <n v="55"/>
    <n v="3"/>
    <n v="2"/>
    <x v="0"/>
    <x v="3"/>
    <s v="Single"/>
    <n v="4898"/>
    <n v="11827"/>
    <n v="0"/>
    <s v="Y"/>
    <s v="No"/>
    <n v="14"/>
    <n v="3"/>
    <n v="4"/>
    <n v="80"/>
    <n v="0"/>
    <n v="5"/>
    <n v="5"/>
    <n v="3"/>
    <x v="9"/>
    <n v="2"/>
    <n v="1"/>
    <n v="3"/>
    <x v="2"/>
    <x v="0"/>
  </r>
  <r>
    <n v="49"/>
    <x v="1"/>
    <s v="Travel_Rarely"/>
    <n v="271"/>
    <x v="1"/>
    <x v="3"/>
    <n v="2"/>
    <s v="Medical"/>
    <n v="1"/>
    <n v="1509"/>
    <n v="3"/>
    <x v="0"/>
    <n v="43"/>
    <n v="2"/>
    <n v="2"/>
    <x v="2"/>
    <x v="3"/>
    <s v="Married"/>
    <n v="4789"/>
    <n v="23070"/>
    <n v="4"/>
    <s v="Y"/>
    <s v="No"/>
    <n v="25"/>
    <n v="4"/>
    <n v="1"/>
    <n v="80"/>
    <n v="1"/>
    <n v="10"/>
    <n v="3"/>
    <n v="3"/>
    <x v="11"/>
    <n v="2"/>
    <n v="1"/>
    <n v="2"/>
    <x v="1"/>
    <x v="0"/>
  </r>
  <r>
    <n v="29"/>
    <x v="1"/>
    <s v="Travel_Frequently"/>
    <n v="410"/>
    <x v="1"/>
    <x v="2"/>
    <n v="1"/>
    <s v="Life Sciences"/>
    <n v="1"/>
    <n v="1513"/>
    <n v="4"/>
    <x v="0"/>
    <n v="97"/>
    <n v="3"/>
    <n v="1"/>
    <x v="2"/>
    <x v="1"/>
    <s v="Married"/>
    <n v="3180"/>
    <n v="4668"/>
    <n v="0"/>
    <s v="Y"/>
    <s v="No"/>
    <n v="13"/>
    <n v="3"/>
    <n v="3"/>
    <n v="80"/>
    <n v="3"/>
    <n v="4"/>
    <n v="3"/>
    <n v="3"/>
    <x v="11"/>
    <n v="2"/>
    <n v="0"/>
    <n v="2"/>
    <x v="2"/>
    <x v="0"/>
  </r>
  <r>
    <n v="28"/>
    <x v="1"/>
    <s v="Travel_Rarely"/>
    <n v="1083"/>
    <x v="1"/>
    <x v="22"/>
    <n v="1"/>
    <s v="Life Sciences"/>
    <n v="1"/>
    <n v="1514"/>
    <n v="3"/>
    <x v="1"/>
    <n v="96"/>
    <n v="1"/>
    <n v="2"/>
    <x v="3"/>
    <x v="1"/>
    <s v="Married"/>
    <n v="6549"/>
    <n v="3173"/>
    <n v="1"/>
    <s v="Y"/>
    <s v="No"/>
    <n v="14"/>
    <n v="3"/>
    <n v="2"/>
    <n v="80"/>
    <n v="2"/>
    <n v="8"/>
    <n v="2"/>
    <n v="2"/>
    <x v="3"/>
    <n v="6"/>
    <n v="1"/>
    <n v="7"/>
    <x v="2"/>
    <x v="4"/>
  </r>
  <r>
    <n v="33"/>
    <x v="1"/>
    <s v="Travel_Rarely"/>
    <n v="516"/>
    <x v="1"/>
    <x v="1"/>
    <n v="5"/>
    <s v="Life Sciences"/>
    <n v="1"/>
    <n v="1515"/>
    <n v="4"/>
    <x v="1"/>
    <n v="69"/>
    <n v="3"/>
    <n v="2"/>
    <x v="4"/>
    <x v="2"/>
    <s v="Single"/>
    <n v="6388"/>
    <n v="22049"/>
    <n v="2"/>
    <s v="Y"/>
    <s v="Yes"/>
    <n v="17"/>
    <n v="3"/>
    <n v="1"/>
    <n v="80"/>
    <n v="0"/>
    <n v="14"/>
    <n v="6"/>
    <n v="3"/>
    <x v="2"/>
    <n v="0"/>
    <n v="0"/>
    <n v="0"/>
    <x v="2"/>
    <x v="4"/>
  </r>
  <r>
    <n v="32"/>
    <x v="1"/>
    <s v="Travel_Rarely"/>
    <n v="495"/>
    <x v="1"/>
    <x v="17"/>
    <n v="3"/>
    <s v="Medical"/>
    <n v="1"/>
    <n v="1516"/>
    <n v="3"/>
    <x v="1"/>
    <n v="64"/>
    <n v="3"/>
    <n v="3"/>
    <x v="5"/>
    <x v="0"/>
    <s v="Single"/>
    <n v="11244"/>
    <n v="21072"/>
    <n v="2"/>
    <s v="Y"/>
    <s v="No"/>
    <n v="25"/>
    <n v="4"/>
    <n v="2"/>
    <n v="80"/>
    <n v="0"/>
    <n v="10"/>
    <n v="5"/>
    <n v="4"/>
    <x v="8"/>
    <n v="2"/>
    <n v="0"/>
    <n v="0"/>
    <x v="2"/>
    <x v="2"/>
  </r>
  <r>
    <n v="54"/>
    <x v="1"/>
    <s v="Travel_Frequently"/>
    <n v="1050"/>
    <x v="1"/>
    <x v="13"/>
    <n v="4"/>
    <s v="Medical"/>
    <n v="1"/>
    <n v="1520"/>
    <n v="2"/>
    <x v="0"/>
    <n v="87"/>
    <n v="3"/>
    <n v="4"/>
    <x v="5"/>
    <x v="0"/>
    <s v="Divorced"/>
    <n v="16032"/>
    <n v="24456"/>
    <n v="3"/>
    <s v="Y"/>
    <s v="No"/>
    <n v="20"/>
    <n v="4"/>
    <n v="1"/>
    <n v="80"/>
    <n v="1"/>
    <n v="26"/>
    <n v="2"/>
    <n v="3"/>
    <x v="13"/>
    <n v="9"/>
    <n v="1"/>
    <n v="12"/>
    <x v="1"/>
    <x v="3"/>
  </r>
  <r>
    <n v="29"/>
    <x v="0"/>
    <s v="Travel_Rarely"/>
    <n v="224"/>
    <x v="1"/>
    <x v="0"/>
    <n v="4"/>
    <s v="Technical Degree"/>
    <n v="1"/>
    <n v="1522"/>
    <n v="1"/>
    <x v="1"/>
    <n v="100"/>
    <n v="2"/>
    <n v="1"/>
    <x v="1"/>
    <x v="3"/>
    <s v="Single"/>
    <n v="2362"/>
    <n v="7568"/>
    <n v="6"/>
    <s v="Y"/>
    <s v="No"/>
    <n v="13"/>
    <n v="3"/>
    <n v="3"/>
    <n v="80"/>
    <n v="0"/>
    <n v="11"/>
    <n v="2"/>
    <n v="1"/>
    <x v="7"/>
    <n v="7"/>
    <n v="0"/>
    <n v="7"/>
    <x v="2"/>
    <x v="1"/>
  </r>
  <r>
    <n v="44"/>
    <x v="1"/>
    <s v="Travel_Rarely"/>
    <n v="136"/>
    <x v="1"/>
    <x v="26"/>
    <n v="3"/>
    <s v="Life Sciences"/>
    <n v="1"/>
    <n v="1523"/>
    <n v="4"/>
    <x v="1"/>
    <n v="32"/>
    <n v="3"/>
    <n v="4"/>
    <x v="7"/>
    <x v="3"/>
    <s v="Married"/>
    <n v="16328"/>
    <n v="22074"/>
    <n v="3"/>
    <s v="Y"/>
    <s v="No"/>
    <n v="13"/>
    <n v="3"/>
    <n v="3"/>
    <n v="80"/>
    <n v="1"/>
    <n v="24"/>
    <n v="1"/>
    <n v="4"/>
    <x v="23"/>
    <n v="6"/>
    <n v="14"/>
    <n v="17"/>
    <x v="0"/>
    <x v="3"/>
  </r>
  <r>
    <n v="39"/>
    <x v="1"/>
    <s v="Travel_Rarely"/>
    <n v="1089"/>
    <x v="1"/>
    <x v="16"/>
    <n v="3"/>
    <s v="Life Sciences"/>
    <n v="1"/>
    <n v="1525"/>
    <n v="2"/>
    <x v="0"/>
    <n v="32"/>
    <n v="3"/>
    <n v="3"/>
    <x v="3"/>
    <x v="1"/>
    <s v="Single"/>
    <n v="8376"/>
    <n v="9150"/>
    <n v="4"/>
    <s v="Y"/>
    <s v="No"/>
    <n v="18"/>
    <n v="3"/>
    <n v="4"/>
    <n v="80"/>
    <n v="0"/>
    <n v="9"/>
    <n v="3"/>
    <n v="3"/>
    <x v="4"/>
    <n v="0"/>
    <n v="2"/>
    <n v="2"/>
    <x v="0"/>
    <x v="4"/>
  </r>
  <r>
    <n v="46"/>
    <x v="1"/>
    <s v="Travel_Rarely"/>
    <n v="228"/>
    <x v="0"/>
    <x v="3"/>
    <n v="3"/>
    <s v="Life Sciences"/>
    <n v="1"/>
    <n v="1527"/>
    <n v="3"/>
    <x v="0"/>
    <n v="51"/>
    <n v="3"/>
    <n v="4"/>
    <x v="5"/>
    <x v="1"/>
    <s v="Married"/>
    <n v="16606"/>
    <n v="11380"/>
    <n v="8"/>
    <s v="Y"/>
    <s v="No"/>
    <n v="12"/>
    <n v="3"/>
    <n v="4"/>
    <n v="80"/>
    <n v="1"/>
    <n v="23"/>
    <n v="2"/>
    <n v="4"/>
    <x v="20"/>
    <n v="12"/>
    <n v="5"/>
    <n v="1"/>
    <x v="1"/>
    <x v="3"/>
  </r>
  <r>
    <n v="35"/>
    <x v="1"/>
    <s v="Travel_Rarely"/>
    <n v="1029"/>
    <x v="1"/>
    <x v="7"/>
    <n v="3"/>
    <s v="Life Sciences"/>
    <n v="1"/>
    <n v="1529"/>
    <n v="4"/>
    <x v="0"/>
    <n v="91"/>
    <n v="2"/>
    <n v="3"/>
    <x v="4"/>
    <x v="1"/>
    <s v="Single"/>
    <n v="8606"/>
    <n v="21195"/>
    <n v="1"/>
    <s v="Y"/>
    <s v="No"/>
    <n v="19"/>
    <n v="3"/>
    <n v="4"/>
    <n v="80"/>
    <n v="0"/>
    <n v="11"/>
    <n v="3"/>
    <n v="1"/>
    <x v="19"/>
    <n v="8"/>
    <n v="3"/>
    <n v="3"/>
    <x v="0"/>
    <x v="4"/>
  </r>
  <r>
    <n v="23"/>
    <x v="1"/>
    <s v="Travel_Rarely"/>
    <n v="507"/>
    <x v="1"/>
    <x v="25"/>
    <n v="1"/>
    <s v="Life Sciences"/>
    <n v="1"/>
    <n v="1533"/>
    <n v="1"/>
    <x v="1"/>
    <n v="97"/>
    <n v="3"/>
    <n v="2"/>
    <x v="2"/>
    <x v="2"/>
    <s v="Single"/>
    <n v="2272"/>
    <n v="24812"/>
    <n v="0"/>
    <s v="Y"/>
    <s v="No"/>
    <n v="14"/>
    <n v="3"/>
    <n v="2"/>
    <n v="80"/>
    <n v="0"/>
    <n v="5"/>
    <n v="2"/>
    <n v="3"/>
    <x v="9"/>
    <n v="3"/>
    <n v="1"/>
    <n v="2"/>
    <x v="4"/>
    <x v="1"/>
  </r>
  <r>
    <n v="40"/>
    <x v="0"/>
    <s v="Travel_Rarely"/>
    <n v="676"/>
    <x v="1"/>
    <x v="14"/>
    <n v="4"/>
    <s v="Life Sciences"/>
    <n v="1"/>
    <n v="1534"/>
    <n v="4"/>
    <x v="1"/>
    <n v="86"/>
    <n v="3"/>
    <n v="1"/>
    <x v="2"/>
    <x v="3"/>
    <s v="Single"/>
    <n v="2018"/>
    <n v="21831"/>
    <n v="3"/>
    <s v="Y"/>
    <s v="No"/>
    <n v="14"/>
    <n v="3"/>
    <n v="2"/>
    <n v="80"/>
    <n v="0"/>
    <n v="15"/>
    <n v="3"/>
    <n v="1"/>
    <x v="8"/>
    <n v="4"/>
    <n v="1"/>
    <n v="0"/>
    <x v="0"/>
    <x v="1"/>
  </r>
  <r>
    <n v="34"/>
    <x v="1"/>
    <s v="Travel_Rarely"/>
    <n v="971"/>
    <x v="0"/>
    <x v="0"/>
    <n v="3"/>
    <s v="Technical Degree"/>
    <n v="1"/>
    <n v="1535"/>
    <n v="4"/>
    <x v="1"/>
    <n v="64"/>
    <n v="2"/>
    <n v="3"/>
    <x v="0"/>
    <x v="2"/>
    <s v="Married"/>
    <n v="7083"/>
    <n v="12288"/>
    <n v="1"/>
    <s v="Y"/>
    <s v="Yes"/>
    <n v="14"/>
    <n v="3"/>
    <n v="4"/>
    <n v="80"/>
    <n v="0"/>
    <n v="10"/>
    <n v="3"/>
    <n v="3"/>
    <x v="1"/>
    <n v="9"/>
    <n v="8"/>
    <n v="6"/>
    <x v="2"/>
    <x v="4"/>
  </r>
  <r>
    <n v="31"/>
    <x v="0"/>
    <s v="Travel_Frequently"/>
    <n v="561"/>
    <x v="1"/>
    <x v="3"/>
    <n v="3"/>
    <s v="Life Sciences"/>
    <n v="1"/>
    <n v="1537"/>
    <n v="4"/>
    <x v="0"/>
    <n v="33"/>
    <n v="3"/>
    <n v="1"/>
    <x v="1"/>
    <x v="2"/>
    <s v="Single"/>
    <n v="4084"/>
    <n v="4156"/>
    <n v="1"/>
    <s v="Y"/>
    <s v="No"/>
    <n v="12"/>
    <n v="3"/>
    <n v="1"/>
    <n v="80"/>
    <n v="0"/>
    <n v="7"/>
    <n v="2"/>
    <n v="1"/>
    <x v="5"/>
    <n v="2"/>
    <n v="7"/>
    <n v="7"/>
    <x v="2"/>
    <x v="0"/>
  </r>
  <r>
    <n v="50"/>
    <x v="1"/>
    <s v="Travel_Frequently"/>
    <n v="333"/>
    <x v="1"/>
    <x v="23"/>
    <n v="5"/>
    <s v="Medical"/>
    <n v="1"/>
    <n v="1539"/>
    <n v="3"/>
    <x v="1"/>
    <n v="88"/>
    <n v="1"/>
    <n v="4"/>
    <x v="7"/>
    <x v="0"/>
    <s v="Single"/>
    <n v="14411"/>
    <n v="24450"/>
    <n v="1"/>
    <s v="Y"/>
    <s v="Yes"/>
    <n v="13"/>
    <n v="3"/>
    <n v="4"/>
    <n v="80"/>
    <n v="0"/>
    <n v="32"/>
    <n v="2"/>
    <n v="3"/>
    <x v="32"/>
    <n v="6"/>
    <n v="13"/>
    <n v="9"/>
    <x v="1"/>
    <x v="3"/>
  </r>
  <r>
    <n v="34"/>
    <x v="1"/>
    <s v="Travel_Rarely"/>
    <n v="1440"/>
    <x v="0"/>
    <x v="15"/>
    <n v="2"/>
    <s v="Technical Degree"/>
    <n v="1"/>
    <n v="1541"/>
    <n v="2"/>
    <x v="1"/>
    <n v="55"/>
    <n v="3"/>
    <n v="1"/>
    <x v="6"/>
    <x v="2"/>
    <s v="Married"/>
    <n v="2308"/>
    <n v="4944"/>
    <n v="0"/>
    <s v="Y"/>
    <s v="Yes"/>
    <n v="25"/>
    <n v="4"/>
    <n v="2"/>
    <n v="80"/>
    <n v="1"/>
    <n v="12"/>
    <n v="4"/>
    <n v="3"/>
    <x v="19"/>
    <n v="10"/>
    <n v="5"/>
    <n v="7"/>
    <x v="2"/>
    <x v="1"/>
  </r>
  <r>
    <n v="42"/>
    <x v="1"/>
    <s v="Travel_Rarely"/>
    <n v="1210"/>
    <x v="1"/>
    <x v="2"/>
    <n v="3"/>
    <s v="Medical"/>
    <n v="1"/>
    <n v="1542"/>
    <n v="3"/>
    <x v="1"/>
    <n v="68"/>
    <n v="2"/>
    <n v="1"/>
    <x v="2"/>
    <x v="1"/>
    <s v="Married"/>
    <n v="4841"/>
    <n v="24052"/>
    <n v="4"/>
    <s v="Y"/>
    <s v="No"/>
    <n v="14"/>
    <n v="3"/>
    <n v="2"/>
    <n v="80"/>
    <n v="1"/>
    <n v="4"/>
    <n v="3"/>
    <n v="3"/>
    <x v="6"/>
    <n v="0"/>
    <n v="0"/>
    <n v="0"/>
    <x v="0"/>
    <x v="0"/>
  </r>
  <r>
    <n v="37"/>
    <x v="1"/>
    <s v="Travel_Rarely"/>
    <n v="674"/>
    <x v="1"/>
    <x v="28"/>
    <n v="3"/>
    <s v="Medical"/>
    <n v="1"/>
    <n v="1543"/>
    <n v="1"/>
    <x v="1"/>
    <n v="47"/>
    <n v="3"/>
    <n v="2"/>
    <x v="1"/>
    <x v="0"/>
    <s v="Married"/>
    <n v="4285"/>
    <n v="3031"/>
    <n v="1"/>
    <s v="Y"/>
    <s v="No"/>
    <n v="17"/>
    <n v="3"/>
    <n v="1"/>
    <n v="80"/>
    <n v="0"/>
    <n v="10"/>
    <n v="2"/>
    <n v="3"/>
    <x v="1"/>
    <n v="8"/>
    <n v="3"/>
    <n v="7"/>
    <x v="0"/>
    <x v="0"/>
  </r>
  <r>
    <n v="29"/>
    <x v="1"/>
    <s v="Travel_Rarely"/>
    <n v="441"/>
    <x v="1"/>
    <x v="1"/>
    <n v="1"/>
    <s v="Other"/>
    <n v="1"/>
    <n v="1544"/>
    <n v="3"/>
    <x v="0"/>
    <n v="39"/>
    <n v="1"/>
    <n v="2"/>
    <x v="4"/>
    <x v="3"/>
    <s v="Married"/>
    <n v="9715"/>
    <n v="7288"/>
    <n v="3"/>
    <s v="Y"/>
    <s v="No"/>
    <n v="13"/>
    <n v="3"/>
    <n v="3"/>
    <n v="80"/>
    <n v="1"/>
    <n v="9"/>
    <n v="3"/>
    <n v="3"/>
    <x v="5"/>
    <n v="7"/>
    <n v="0"/>
    <n v="7"/>
    <x v="2"/>
    <x v="2"/>
  </r>
  <r>
    <n v="33"/>
    <x v="1"/>
    <s v="Travel_Rarely"/>
    <n v="575"/>
    <x v="1"/>
    <x v="19"/>
    <n v="3"/>
    <s v="Life Sciences"/>
    <n v="1"/>
    <n v="1545"/>
    <n v="4"/>
    <x v="1"/>
    <n v="44"/>
    <n v="2"/>
    <n v="2"/>
    <x v="3"/>
    <x v="1"/>
    <s v="Single"/>
    <n v="4320"/>
    <n v="24152"/>
    <n v="1"/>
    <s v="Y"/>
    <s v="No"/>
    <n v="13"/>
    <n v="3"/>
    <n v="4"/>
    <n v="80"/>
    <n v="0"/>
    <n v="5"/>
    <n v="2"/>
    <n v="3"/>
    <x v="8"/>
    <n v="3"/>
    <n v="0"/>
    <n v="2"/>
    <x v="2"/>
    <x v="0"/>
  </r>
  <r>
    <n v="45"/>
    <x v="1"/>
    <s v="Travel_Rarely"/>
    <n v="950"/>
    <x v="1"/>
    <x v="26"/>
    <n v="3"/>
    <s v="Technical Degree"/>
    <n v="1"/>
    <n v="1546"/>
    <n v="4"/>
    <x v="1"/>
    <n v="97"/>
    <n v="3"/>
    <n v="1"/>
    <x v="1"/>
    <x v="0"/>
    <s v="Married"/>
    <n v="2132"/>
    <n v="4585"/>
    <n v="4"/>
    <s v="Y"/>
    <s v="No"/>
    <n v="20"/>
    <n v="4"/>
    <n v="4"/>
    <n v="80"/>
    <n v="1"/>
    <n v="8"/>
    <n v="3"/>
    <n v="3"/>
    <x v="8"/>
    <n v="4"/>
    <n v="0"/>
    <n v="3"/>
    <x v="1"/>
    <x v="1"/>
  </r>
  <r>
    <n v="42"/>
    <x v="1"/>
    <s v="Travel_Frequently"/>
    <n v="288"/>
    <x v="1"/>
    <x v="2"/>
    <n v="3"/>
    <s v="Life Sciences"/>
    <n v="1"/>
    <n v="1547"/>
    <n v="4"/>
    <x v="1"/>
    <n v="40"/>
    <n v="3"/>
    <n v="3"/>
    <x v="4"/>
    <x v="0"/>
    <s v="Married"/>
    <n v="10124"/>
    <n v="18611"/>
    <n v="2"/>
    <s v="Y"/>
    <s v="Yes"/>
    <n v="14"/>
    <n v="3"/>
    <n v="3"/>
    <n v="80"/>
    <n v="1"/>
    <n v="24"/>
    <n v="3"/>
    <n v="1"/>
    <x v="23"/>
    <n v="8"/>
    <n v="13"/>
    <n v="9"/>
    <x v="0"/>
    <x v="2"/>
  </r>
  <r>
    <n v="40"/>
    <x v="1"/>
    <s v="Travel_Rarely"/>
    <n v="1342"/>
    <x v="0"/>
    <x v="14"/>
    <n v="2"/>
    <s v="Medical"/>
    <n v="1"/>
    <n v="1548"/>
    <n v="1"/>
    <x v="1"/>
    <n v="47"/>
    <n v="3"/>
    <n v="2"/>
    <x v="0"/>
    <x v="3"/>
    <s v="Married"/>
    <n v="5473"/>
    <n v="19345"/>
    <n v="0"/>
    <s v="Y"/>
    <s v="No"/>
    <n v="12"/>
    <n v="3"/>
    <n v="4"/>
    <n v="80"/>
    <n v="0"/>
    <n v="9"/>
    <n v="5"/>
    <n v="4"/>
    <x v="3"/>
    <n v="4"/>
    <n v="7"/>
    <n v="1"/>
    <x v="0"/>
    <x v="0"/>
  </r>
  <r>
    <n v="33"/>
    <x v="1"/>
    <s v="Travel_Rarely"/>
    <n v="589"/>
    <x v="1"/>
    <x v="26"/>
    <n v="4"/>
    <s v="Life Sciences"/>
    <n v="1"/>
    <n v="1549"/>
    <n v="2"/>
    <x v="1"/>
    <n v="79"/>
    <n v="3"/>
    <n v="2"/>
    <x v="2"/>
    <x v="2"/>
    <s v="Married"/>
    <n v="5207"/>
    <n v="22949"/>
    <n v="1"/>
    <s v="Y"/>
    <s v="Yes"/>
    <n v="12"/>
    <n v="3"/>
    <n v="2"/>
    <n v="80"/>
    <n v="1"/>
    <n v="15"/>
    <n v="3"/>
    <n v="3"/>
    <x v="15"/>
    <n v="14"/>
    <n v="5"/>
    <n v="7"/>
    <x v="2"/>
    <x v="0"/>
  </r>
  <r>
    <n v="40"/>
    <x v="1"/>
    <s v="Travel_Rarely"/>
    <n v="898"/>
    <x v="2"/>
    <x v="16"/>
    <n v="2"/>
    <s v="Medical"/>
    <n v="1"/>
    <n v="1550"/>
    <n v="3"/>
    <x v="1"/>
    <n v="38"/>
    <n v="3"/>
    <n v="4"/>
    <x v="5"/>
    <x v="0"/>
    <s v="Single"/>
    <n v="16437"/>
    <n v="17381"/>
    <n v="1"/>
    <s v="Y"/>
    <s v="Yes"/>
    <n v="21"/>
    <n v="4"/>
    <n v="4"/>
    <n v="80"/>
    <n v="0"/>
    <n v="21"/>
    <n v="2"/>
    <n v="3"/>
    <x v="17"/>
    <n v="7"/>
    <n v="7"/>
    <n v="7"/>
    <x v="0"/>
    <x v="3"/>
  </r>
  <r>
    <n v="24"/>
    <x v="1"/>
    <s v="Travel_Rarely"/>
    <n v="350"/>
    <x v="1"/>
    <x v="11"/>
    <n v="2"/>
    <s v="Technical Degree"/>
    <n v="1"/>
    <n v="1551"/>
    <n v="3"/>
    <x v="1"/>
    <n v="57"/>
    <n v="2"/>
    <n v="1"/>
    <x v="2"/>
    <x v="3"/>
    <s v="Divorced"/>
    <n v="2296"/>
    <n v="10036"/>
    <n v="0"/>
    <s v="Y"/>
    <s v="No"/>
    <n v="14"/>
    <n v="3"/>
    <n v="2"/>
    <n v="80"/>
    <n v="3"/>
    <n v="2"/>
    <n v="3"/>
    <n v="3"/>
    <x v="6"/>
    <n v="1"/>
    <n v="0"/>
    <n v="0"/>
    <x v="4"/>
    <x v="1"/>
  </r>
  <r>
    <n v="40"/>
    <x v="1"/>
    <s v="Non-Travel"/>
    <n v="1142"/>
    <x v="1"/>
    <x v="1"/>
    <n v="2"/>
    <s v="Life Sciences"/>
    <n v="1"/>
    <n v="1552"/>
    <n v="4"/>
    <x v="1"/>
    <n v="72"/>
    <n v="3"/>
    <n v="2"/>
    <x v="4"/>
    <x v="0"/>
    <s v="Divorced"/>
    <n v="4069"/>
    <n v="8841"/>
    <n v="3"/>
    <s v="Y"/>
    <s v="Yes"/>
    <n v="18"/>
    <n v="3"/>
    <n v="3"/>
    <n v="80"/>
    <n v="0"/>
    <n v="8"/>
    <n v="2"/>
    <n v="3"/>
    <x v="4"/>
    <n v="2"/>
    <n v="2"/>
    <n v="2"/>
    <x v="0"/>
    <x v="0"/>
  </r>
  <r>
    <n v="45"/>
    <x v="1"/>
    <s v="Travel_Rarely"/>
    <n v="538"/>
    <x v="1"/>
    <x v="0"/>
    <n v="4"/>
    <s v="Technical Degree"/>
    <n v="1"/>
    <n v="1553"/>
    <n v="1"/>
    <x v="1"/>
    <n v="66"/>
    <n v="3"/>
    <n v="3"/>
    <x v="4"/>
    <x v="1"/>
    <s v="Divorced"/>
    <n v="7441"/>
    <n v="20933"/>
    <n v="1"/>
    <s v="Y"/>
    <s v="No"/>
    <n v="12"/>
    <n v="3"/>
    <n v="1"/>
    <n v="80"/>
    <n v="3"/>
    <n v="10"/>
    <n v="4"/>
    <n v="3"/>
    <x v="1"/>
    <n v="8"/>
    <n v="7"/>
    <n v="7"/>
    <x v="1"/>
    <x v="4"/>
  </r>
  <r>
    <n v="35"/>
    <x v="1"/>
    <s v="Travel_Rarely"/>
    <n v="1402"/>
    <x v="0"/>
    <x v="26"/>
    <n v="4"/>
    <s v="Life Sciences"/>
    <n v="1"/>
    <n v="1554"/>
    <n v="2"/>
    <x v="0"/>
    <n v="98"/>
    <n v="2"/>
    <n v="1"/>
    <x v="6"/>
    <x v="2"/>
    <s v="Married"/>
    <n v="2430"/>
    <n v="26204"/>
    <n v="0"/>
    <s v="Y"/>
    <s v="No"/>
    <n v="23"/>
    <n v="4"/>
    <n v="1"/>
    <n v="80"/>
    <n v="2"/>
    <n v="6"/>
    <n v="5"/>
    <n v="3"/>
    <x v="8"/>
    <n v="3"/>
    <n v="4"/>
    <n v="2"/>
    <x v="0"/>
    <x v="1"/>
  </r>
  <r>
    <n v="32"/>
    <x v="1"/>
    <s v="Travel_Rarely"/>
    <n v="824"/>
    <x v="1"/>
    <x v="12"/>
    <n v="2"/>
    <s v="Life Sciences"/>
    <n v="1"/>
    <n v="1555"/>
    <n v="4"/>
    <x v="0"/>
    <n v="67"/>
    <n v="2"/>
    <n v="2"/>
    <x v="1"/>
    <x v="1"/>
    <s v="Married"/>
    <n v="5878"/>
    <n v="15624"/>
    <n v="3"/>
    <s v="Y"/>
    <s v="No"/>
    <n v="12"/>
    <n v="3"/>
    <n v="1"/>
    <n v="80"/>
    <n v="1"/>
    <n v="12"/>
    <n v="2"/>
    <n v="3"/>
    <x v="5"/>
    <n v="1"/>
    <n v="2"/>
    <n v="5"/>
    <x v="2"/>
    <x v="0"/>
  </r>
  <r>
    <n v="36"/>
    <x v="1"/>
    <s v="Travel_Rarely"/>
    <n v="1157"/>
    <x v="0"/>
    <x v="2"/>
    <n v="4"/>
    <s v="Life Sciences"/>
    <n v="1"/>
    <n v="1556"/>
    <n v="3"/>
    <x v="1"/>
    <n v="70"/>
    <n v="3"/>
    <n v="1"/>
    <x v="6"/>
    <x v="0"/>
    <s v="Single"/>
    <n v="2644"/>
    <n v="17001"/>
    <n v="3"/>
    <s v="Y"/>
    <s v="Yes"/>
    <n v="21"/>
    <n v="4"/>
    <n v="4"/>
    <n v="80"/>
    <n v="0"/>
    <n v="7"/>
    <n v="3"/>
    <n v="2"/>
    <x v="11"/>
    <n v="2"/>
    <n v="1"/>
    <n v="2"/>
    <x v="0"/>
    <x v="1"/>
  </r>
  <r>
    <n v="48"/>
    <x v="1"/>
    <s v="Travel_Rarely"/>
    <n v="492"/>
    <x v="0"/>
    <x v="7"/>
    <n v="4"/>
    <s v="Life Sciences"/>
    <n v="1"/>
    <n v="1557"/>
    <n v="3"/>
    <x v="0"/>
    <n v="96"/>
    <n v="3"/>
    <n v="2"/>
    <x v="0"/>
    <x v="2"/>
    <s v="Divorced"/>
    <n v="6439"/>
    <n v="13693"/>
    <n v="8"/>
    <s v="Y"/>
    <s v="No"/>
    <n v="14"/>
    <n v="3"/>
    <n v="3"/>
    <n v="80"/>
    <n v="1"/>
    <n v="18"/>
    <n v="2"/>
    <n v="3"/>
    <x v="3"/>
    <n v="7"/>
    <n v="7"/>
    <n v="7"/>
    <x v="1"/>
    <x v="4"/>
  </r>
  <r>
    <n v="29"/>
    <x v="1"/>
    <s v="Travel_Rarely"/>
    <n v="598"/>
    <x v="1"/>
    <x v="14"/>
    <n v="3"/>
    <s v="Life Sciences"/>
    <n v="1"/>
    <n v="1558"/>
    <n v="3"/>
    <x v="1"/>
    <n v="91"/>
    <n v="4"/>
    <n v="1"/>
    <x v="1"/>
    <x v="2"/>
    <s v="Married"/>
    <n v="2451"/>
    <n v="22376"/>
    <n v="6"/>
    <s v="Y"/>
    <s v="No"/>
    <n v="18"/>
    <n v="3"/>
    <n v="1"/>
    <n v="80"/>
    <n v="2"/>
    <n v="5"/>
    <n v="2"/>
    <n v="2"/>
    <x v="6"/>
    <n v="0"/>
    <n v="0"/>
    <n v="0"/>
    <x v="2"/>
    <x v="1"/>
  </r>
  <r>
    <n v="33"/>
    <x v="1"/>
    <s v="Travel_Rarely"/>
    <n v="1242"/>
    <x v="0"/>
    <x v="1"/>
    <n v="4"/>
    <s v="Life Sciences"/>
    <n v="1"/>
    <n v="1560"/>
    <n v="1"/>
    <x v="1"/>
    <n v="46"/>
    <n v="3"/>
    <n v="2"/>
    <x v="0"/>
    <x v="3"/>
    <s v="Married"/>
    <n v="6392"/>
    <n v="10589"/>
    <n v="2"/>
    <s v="Y"/>
    <s v="No"/>
    <n v="13"/>
    <n v="3"/>
    <n v="4"/>
    <n v="80"/>
    <n v="1"/>
    <n v="8"/>
    <n v="6"/>
    <n v="1"/>
    <x v="4"/>
    <n v="2"/>
    <n v="2"/>
    <n v="2"/>
    <x v="2"/>
    <x v="4"/>
  </r>
  <r>
    <n v="30"/>
    <x v="0"/>
    <s v="Travel_Rarely"/>
    <n v="740"/>
    <x v="0"/>
    <x v="0"/>
    <n v="3"/>
    <s v="Life Sciences"/>
    <n v="1"/>
    <n v="1562"/>
    <n v="2"/>
    <x v="1"/>
    <n v="64"/>
    <n v="2"/>
    <n v="2"/>
    <x v="0"/>
    <x v="3"/>
    <s v="Married"/>
    <n v="9714"/>
    <n v="5323"/>
    <n v="1"/>
    <s v="Y"/>
    <s v="No"/>
    <n v="11"/>
    <n v="3"/>
    <n v="4"/>
    <n v="80"/>
    <n v="1"/>
    <n v="10"/>
    <n v="4"/>
    <n v="3"/>
    <x v="1"/>
    <n v="8"/>
    <n v="6"/>
    <n v="7"/>
    <x v="2"/>
    <x v="2"/>
  </r>
  <r>
    <n v="38"/>
    <x v="1"/>
    <s v="Travel_Frequently"/>
    <n v="888"/>
    <x v="2"/>
    <x v="17"/>
    <n v="4"/>
    <s v="Human Resources"/>
    <n v="1"/>
    <n v="1563"/>
    <n v="3"/>
    <x v="1"/>
    <n v="71"/>
    <n v="3"/>
    <n v="2"/>
    <x v="8"/>
    <x v="2"/>
    <s v="Married"/>
    <n v="6077"/>
    <n v="14814"/>
    <n v="3"/>
    <s v="Y"/>
    <s v="No"/>
    <n v="11"/>
    <n v="3"/>
    <n v="3"/>
    <n v="80"/>
    <n v="0"/>
    <n v="10"/>
    <n v="2"/>
    <n v="3"/>
    <x v="0"/>
    <n v="3"/>
    <n v="1"/>
    <n v="2"/>
    <x v="0"/>
    <x v="4"/>
  </r>
  <r>
    <n v="35"/>
    <x v="1"/>
    <s v="Travel_Rarely"/>
    <n v="992"/>
    <x v="1"/>
    <x v="0"/>
    <n v="3"/>
    <s v="Medical"/>
    <n v="1"/>
    <n v="1564"/>
    <n v="4"/>
    <x v="1"/>
    <n v="68"/>
    <n v="2"/>
    <n v="1"/>
    <x v="2"/>
    <x v="3"/>
    <s v="Single"/>
    <n v="2450"/>
    <n v="21731"/>
    <n v="1"/>
    <s v="Y"/>
    <s v="No"/>
    <n v="19"/>
    <n v="3"/>
    <n v="2"/>
    <n v="80"/>
    <n v="0"/>
    <n v="3"/>
    <n v="3"/>
    <n v="3"/>
    <x v="11"/>
    <n v="0"/>
    <n v="1"/>
    <n v="2"/>
    <x v="0"/>
    <x v="1"/>
  </r>
  <r>
    <n v="30"/>
    <x v="1"/>
    <s v="Travel_Rarely"/>
    <n v="1288"/>
    <x v="0"/>
    <x v="22"/>
    <n v="4"/>
    <s v="Technical Degree"/>
    <n v="1"/>
    <n v="1568"/>
    <n v="3"/>
    <x v="1"/>
    <n v="33"/>
    <n v="3"/>
    <n v="3"/>
    <x v="0"/>
    <x v="1"/>
    <s v="Married"/>
    <n v="9250"/>
    <n v="17799"/>
    <n v="3"/>
    <s v="Y"/>
    <s v="No"/>
    <n v="12"/>
    <n v="3"/>
    <n v="2"/>
    <n v="80"/>
    <n v="1"/>
    <n v="9"/>
    <n v="3"/>
    <n v="3"/>
    <x v="9"/>
    <n v="2"/>
    <n v="1"/>
    <n v="3"/>
    <x v="2"/>
    <x v="2"/>
  </r>
  <r>
    <n v="35"/>
    <x v="0"/>
    <s v="Travel_Rarely"/>
    <n v="104"/>
    <x v="1"/>
    <x v="2"/>
    <n v="3"/>
    <s v="Life Sciences"/>
    <n v="1"/>
    <n v="1569"/>
    <n v="1"/>
    <x v="0"/>
    <n v="69"/>
    <n v="3"/>
    <n v="1"/>
    <x v="2"/>
    <x v="3"/>
    <s v="Divorced"/>
    <n v="2074"/>
    <n v="26619"/>
    <n v="1"/>
    <s v="Y"/>
    <s v="Yes"/>
    <n v="12"/>
    <n v="3"/>
    <n v="4"/>
    <n v="80"/>
    <n v="1"/>
    <n v="1"/>
    <n v="2"/>
    <n v="3"/>
    <x v="6"/>
    <n v="0"/>
    <n v="0"/>
    <n v="0"/>
    <x v="0"/>
    <x v="1"/>
  </r>
  <r>
    <n v="53"/>
    <x v="0"/>
    <s v="Travel_Rarely"/>
    <n v="607"/>
    <x v="1"/>
    <x v="2"/>
    <n v="5"/>
    <s v="Technical Degree"/>
    <n v="1"/>
    <n v="1572"/>
    <n v="3"/>
    <x v="0"/>
    <n v="78"/>
    <n v="2"/>
    <n v="3"/>
    <x v="3"/>
    <x v="0"/>
    <s v="Married"/>
    <n v="10169"/>
    <n v="14618"/>
    <n v="0"/>
    <s v="Y"/>
    <s v="No"/>
    <n v="16"/>
    <n v="3"/>
    <n v="2"/>
    <n v="80"/>
    <n v="1"/>
    <n v="34"/>
    <n v="4"/>
    <n v="3"/>
    <x v="26"/>
    <n v="7"/>
    <n v="1"/>
    <n v="9"/>
    <x v="1"/>
    <x v="2"/>
  </r>
  <r>
    <n v="38"/>
    <x v="0"/>
    <s v="Travel_Rarely"/>
    <n v="903"/>
    <x v="1"/>
    <x v="2"/>
    <n v="3"/>
    <s v="Medical"/>
    <n v="1"/>
    <n v="1573"/>
    <n v="3"/>
    <x v="1"/>
    <n v="81"/>
    <n v="3"/>
    <n v="2"/>
    <x v="3"/>
    <x v="1"/>
    <s v="Married"/>
    <n v="4855"/>
    <n v="7653"/>
    <n v="4"/>
    <s v="Y"/>
    <s v="No"/>
    <n v="11"/>
    <n v="3"/>
    <n v="1"/>
    <n v="80"/>
    <n v="2"/>
    <n v="7"/>
    <n v="2"/>
    <n v="3"/>
    <x v="8"/>
    <n v="2"/>
    <n v="1"/>
    <n v="4"/>
    <x v="0"/>
    <x v="0"/>
  </r>
  <r>
    <n v="32"/>
    <x v="1"/>
    <s v="Non-Travel"/>
    <n v="1200"/>
    <x v="1"/>
    <x v="0"/>
    <n v="4"/>
    <s v="Technical Degree"/>
    <n v="1"/>
    <n v="1574"/>
    <n v="4"/>
    <x v="1"/>
    <n v="62"/>
    <n v="3"/>
    <n v="2"/>
    <x v="1"/>
    <x v="3"/>
    <s v="Married"/>
    <n v="4087"/>
    <n v="25174"/>
    <n v="4"/>
    <s v="Y"/>
    <s v="No"/>
    <n v="14"/>
    <n v="3"/>
    <n v="2"/>
    <n v="80"/>
    <n v="1"/>
    <n v="9"/>
    <n v="3"/>
    <n v="2"/>
    <x v="0"/>
    <n v="5"/>
    <n v="1"/>
    <n v="2"/>
    <x v="2"/>
    <x v="0"/>
  </r>
  <r>
    <n v="48"/>
    <x v="1"/>
    <s v="Travel_Rarely"/>
    <n v="1108"/>
    <x v="1"/>
    <x v="8"/>
    <n v="4"/>
    <s v="Other"/>
    <n v="1"/>
    <n v="1576"/>
    <n v="3"/>
    <x v="0"/>
    <n v="65"/>
    <n v="3"/>
    <n v="1"/>
    <x v="1"/>
    <x v="3"/>
    <s v="Married"/>
    <n v="2367"/>
    <n v="16530"/>
    <n v="8"/>
    <s v="Y"/>
    <s v="No"/>
    <n v="12"/>
    <n v="3"/>
    <n v="4"/>
    <n v="80"/>
    <n v="1"/>
    <n v="10"/>
    <n v="3"/>
    <n v="2"/>
    <x v="3"/>
    <n v="2"/>
    <n v="7"/>
    <n v="6"/>
    <x v="1"/>
    <x v="1"/>
  </r>
  <r>
    <n v="34"/>
    <x v="1"/>
    <s v="Travel_Rarely"/>
    <n v="479"/>
    <x v="1"/>
    <x v="15"/>
    <n v="4"/>
    <s v="Medical"/>
    <n v="1"/>
    <n v="1577"/>
    <n v="1"/>
    <x v="1"/>
    <n v="35"/>
    <n v="3"/>
    <n v="1"/>
    <x v="1"/>
    <x v="0"/>
    <s v="Single"/>
    <n v="2972"/>
    <n v="22061"/>
    <n v="1"/>
    <s v="Y"/>
    <s v="No"/>
    <n v="13"/>
    <n v="3"/>
    <n v="3"/>
    <n v="80"/>
    <n v="0"/>
    <n v="1"/>
    <n v="4"/>
    <n v="1"/>
    <x v="6"/>
    <n v="0"/>
    <n v="0"/>
    <n v="0"/>
    <x v="2"/>
    <x v="1"/>
  </r>
  <r>
    <n v="55"/>
    <x v="1"/>
    <s v="Travel_Rarely"/>
    <n v="685"/>
    <x v="0"/>
    <x v="9"/>
    <n v="5"/>
    <s v="Marketing"/>
    <n v="1"/>
    <n v="1578"/>
    <n v="3"/>
    <x v="1"/>
    <n v="60"/>
    <n v="2"/>
    <n v="5"/>
    <x v="5"/>
    <x v="0"/>
    <s v="Married"/>
    <n v="19586"/>
    <n v="23037"/>
    <n v="1"/>
    <s v="Y"/>
    <s v="No"/>
    <n v="21"/>
    <n v="4"/>
    <n v="3"/>
    <n v="80"/>
    <n v="1"/>
    <n v="36"/>
    <n v="3"/>
    <n v="3"/>
    <x v="28"/>
    <n v="6"/>
    <n v="2"/>
    <n v="13"/>
    <x v="3"/>
    <x v="3"/>
  </r>
  <r>
    <n v="34"/>
    <x v="1"/>
    <s v="Travel_Rarely"/>
    <n v="1351"/>
    <x v="1"/>
    <x v="0"/>
    <n v="4"/>
    <s v="Life Sciences"/>
    <n v="1"/>
    <n v="1580"/>
    <n v="2"/>
    <x v="1"/>
    <n v="45"/>
    <n v="3"/>
    <n v="2"/>
    <x v="1"/>
    <x v="0"/>
    <s v="Married"/>
    <n v="5484"/>
    <n v="13008"/>
    <n v="9"/>
    <s v="Y"/>
    <s v="No"/>
    <n v="17"/>
    <n v="3"/>
    <n v="2"/>
    <n v="80"/>
    <n v="1"/>
    <n v="9"/>
    <n v="3"/>
    <n v="2"/>
    <x v="4"/>
    <n v="2"/>
    <n v="2"/>
    <n v="1"/>
    <x v="2"/>
    <x v="0"/>
  </r>
  <r>
    <n v="26"/>
    <x v="1"/>
    <s v="Travel_Rarely"/>
    <n v="474"/>
    <x v="1"/>
    <x v="3"/>
    <n v="3"/>
    <s v="Life Sciences"/>
    <n v="1"/>
    <n v="1581"/>
    <n v="1"/>
    <x v="0"/>
    <n v="89"/>
    <n v="3"/>
    <n v="1"/>
    <x v="1"/>
    <x v="0"/>
    <s v="Married"/>
    <n v="2061"/>
    <n v="11133"/>
    <n v="1"/>
    <s v="Y"/>
    <s v="No"/>
    <n v="21"/>
    <n v="4"/>
    <n v="1"/>
    <n v="80"/>
    <n v="0"/>
    <n v="1"/>
    <n v="5"/>
    <n v="3"/>
    <x v="6"/>
    <n v="0"/>
    <n v="0"/>
    <n v="0"/>
    <x v="2"/>
    <x v="1"/>
  </r>
  <r>
    <n v="38"/>
    <x v="1"/>
    <s v="Travel_Rarely"/>
    <n v="1245"/>
    <x v="0"/>
    <x v="24"/>
    <n v="3"/>
    <s v="Life Sciences"/>
    <n v="1"/>
    <n v="1582"/>
    <n v="3"/>
    <x v="1"/>
    <n v="80"/>
    <n v="3"/>
    <n v="2"/>
    <x v="0"/>
    <x v="1"/>
    <s v="Married"/>
    <n v="9924"/>
    <n v="12355"/>
    <n v="0"/>
    <s v="Y"/>
    <s v="No"/>
    <n v="11"/>
    <n v="3"/>
    <n v="4"/>
    <n v="80"/>
    <n v="1"/>
    <n v="10"/>
    <n v="3"/>
    <n v="3"/>
    <x v="7"/>
    <n v="8"/>
    <n v="7"/>
    <n v="7"/>
    <x v="0"/>
    <x v="2"/>
  </r>
  <r>
    <n v="38"/>
    <x v="1"/>
    <s v="Travel_Rarely"/>
    <n v="437"/>
    <x v="0"/>
    <x v="7"/>
    <n v="3"/>
    <s v="Life Sciences"/>
    <n v="1"/>
    <n v="1583"/>
    <n v="2"/>
    <x v="0"/>
    <n v="90"/>
    <n v="3"/>
    <n v="2"/>
    <x v="0"/>
    <x v="1"/>
    <s v="Single"/>
    <n v="4198"/>
    <n v="16379"/>
    <n v="2"/>
    <s v="Y"/>
    <s v="No"/>
    <n v="12"/>
    <n v="3"/>
    <n v="2"/>
    <n v="80"/>
    <n v="0"/>
    <n v="8"/>
    <n v="5"/>
    <n v="4"/>
    <x v="11"/>
    <n v="2"/>
    <n v="1"/>
    <n v="2"/>
    <x v="0"/>
    <x v="0"/>
  </r>
  <r>
    <n v="36"/>
    <x v="1"/>
    <s v="Travel_Rarely"/>
    <n v="884"/>
    <x v="0"/>
    <x v="0"/>
    <n v="4"/>
    <s v="Life Sciences"/>
    <n v="1"/>
    <n v="1585"/>
    <n v="2"/>
    <x v="0"/>
    <n v="73"/>
    <n v="3"/>
    <n v="2"/>
    <x v="0"/>
    <x v="2"/>
    <s v="Single"/>
    <n v="6815"/>
    <n v="21447"/>
    <n v="6"/>
    <s v="Y"/>
    <s v="No"/>
    <n v="13"/>
    <n v="3"/>
    <n v="1"/>
    <n v="80"/>
    <n v="0"/>
    <n v="15"/>
    <n v="5"/>
    <n v="3"/>
    <x v="6"/>
    <n v="0"/>
    <n v="0"/>
    <n v="0"/>
    <x v="0"/>
    <x v="4"/>
  </r>
  <r>
    <n v="29"/>
    <x v="1"/>
    <s v="Travel_Rarely"/>
    <n v="1370"/>
    <x v="1"/>
    <x v="3"/>
    <n v="1"/>
    <s v="Medical"/>
    <n v="1"/>
    <n v="1586"/>
    <n v="2"/>
    <x v="1"/>
    <n v="87"/>
    <n v="3"/>
    <n v="1"/>
    <x v="2"/>
    <x v="3"/>
    <s v="Single"/>
    <n v="4723"/>
    <n v="16213"/>
    <n v="1"/>
    <s v="Y"/>
    <s v="Yes"/>
    <n v="18"/>
    <n v="3"/>
    <n v="4"/>
    <n v="80"/>
    <n v="0"/>
    <n v="10"/>
    <n v="3"/>
    <n v="3"/>
    <x v="1"/>
    <n v="9"/>
    <n v="1"/>
    <n v="5"/>
    <x v="2"/>
    <x v="0"/>
  </r>
  <r>
    <n v="35"/>
    <x v="1"/>
    <s v="Travel_Rarely"/>
    <n v="670"/>
    <x v="1"/>
    <x v="17"/>
    <n v="4"/>
    <s v="Medical"/>
    <n v="1"/>
    <n v="1587"/>
    <n v="1"/>
    <x v="0"/>
    <n v="51"/>
    <n v="3"/>
    <n v="2"/>
    <x v="4"/>
    <x v="2"/>
    <s v="Single"/>
    <n v="6142"/>
    <n v="4223"/>
    <n v="3"/>
    <s v="Y"/>
    <s v="Yes"/>
    <n v="16"/>
    <n v="3"/>
    <n v="3"/>
    <n v="80"/>
    <n v="0"/>
    <n v="10"/>
    <n v="4"/>
    <n v="3"/>
    <x v="8"/>
    <n v="2"/>
    <n v="0"/>
    <n v="4"/>
    <x v="0"/>
    <x v="4"/>
  </r>
  <r>
    <n v="39"/>
    <x v="1"/>
    <s v="Travel_Rarely"/>
    <n v="1462"/>
    <x v="0"/>
    <x v="16"/>
    <n v="3"/>
    <s v="Medical"/>
    <n v="1"/>
    <n v="1588"/>
    <n v="4"/>
    <x v="1"/>
    <n v="38"/>
    <n v="4"/>
    <n v="3"/>
    <x v="0"/>
    <x v="2"/>
    <s v="Married"/>
    <n v="8237"/>
    <n v="4658"/>
    <n v="2"/>
    <s v="Y"/>
    <s v="No"/>
    <n v="11"/>
    <n v="3"/>
    <n v="1"/>
    <n v="80"/>
    <n v="1"/>
    <n v="11"/>
    <n v="3"/>
    <n v="3"/>
    <x v="5"/>
    <n v="6"/>
    <n v="7"/>
    <n v="6"/>
    <x v="0"/>
    <x v="4"/>
  </r>
  <r>
    <n v="29"/>
    <x v="1"/>
    <s v="Travel_Frequently"/>
    <n v="995"/>
    <x v="1"/>
    <x v="2"/>
    <n v="1"/>
    <s v="Life Sciences"/>
    <n v="1"/>
    <n v="1590"/>
    <n v="1"/>
    <x v="1"/>
    <n v="87"/>
    <n v="3"/>
    <n v="2"/>
    <x v="4"/>
    <x v="0"/>
    <s v="Divorced"/>
    <n v="8853"/>
    <n v="24483"/>
    <n v="1"/>
    <s v="Y"/>
    <s v="No"/>
    <n v="19"/>
    <n v="3"/>
    <n v="4"/>
    <n v="80"/>
    <n v="1"/>
    <n v="6"/>
    <n v="0"/>
    <n v="4"/>
    <x v="0"/>
    <n v="4"/>
    <n v="1"/>
    <n v="3"/>
    <x v="2"/>
    <x v="4"/>
  </r>
  <r>
    <n v="50"/>
    <x v="1"/>
    <s v="Travel_Rarely"/>
    <n v="264"/>
    <x v="0"/>
    <x v="14"/>
    <n v="3"/>
    <s v="Marketing"/>
    <n v="1"/>
    <n v="1591"/>
    <n v="3"/>
    <x v="1"/>
    <n v="59"/>
    <n v="3"/>
    <n v="5"/>
    <x v="5"/>
    <x v="2"/>
    <s v="Married"/>
    <n v="19331"/>
    <n v="19519"/>
    <n v="4"/>
    <s v="Y"/>
    <s v="Yes"/>
    <n v="16"/>
    <n v="3"/>
    <n v="3"/>
    <n v="80"/>
    <n v="1"/>
    <n v="27"/>
    <n v="2"/>
    <n v="3"/>
    <x v="6"/>
    <n v="0"/>
    <n v="0"/>
    <n v="0"/>
    <x v="1"/>
    <x v="3"/>
  </r>
  <r>
    <n v="23"/>
    <x v="1"/>
    <s v="Travel_Rarely"/>
    <n v="977"/>
    <x v="1"/>
    <x v="17"/>
    <n v="3"/>
    <s v="Technical Degree"/>
    <n v="1"/>
    <n v="1592"/>
    <n v="4"/>
    <x v="1"/>
    <n v="45"/>
    <n v="4"/>
    <n v="1"/>
    <x v="1"/>
    <x v="2"/>
    <s v="Married"/>
    <n v="2073"/>
    <n v="12826"/>
    <n v="2"/>
    <s v="Y"/>
    <s v="No"/>
    <n v="16"/>
    <n v="3"/>
    <n v="4"/>
    <n v="80"/>
    <n v="1"/>
    <n v="4"/>
    <n v="2"/>
    <n v="3"/>
    <x v="4"/>
    <n v="2"/>
    <n v="2"/>
    <n v="2"/>
    <x v="4"/>
    <x v="1"/>
  </r>
  <r>
    <n v="36"/>
    <x v="1"/>
    <s v="Travel_Frequently"/>
    <n v="1302"/>
    <x v="1"/>
    <x v="16"/>
    <n v="4"/>
    <s v="Life Sciences"/>
    <n v="1"/>
    <n v="1594"/>
    <n v="1"/>
    <x v="1"/>
    <n v="80"/>
    <n v="4"/>
    <n v="2"/>
    <x v="2"/>
    <x v="3"/>
    <s v="Married"/>
    <n v="5562"/>
    <n v="19711"/>
    <n v="3"/>
    <s v="Y"/>
    <s v="Yes"/>
    <n v="13"/>
    <n v="3"/>
    <n v="4"/>
    <n v="80"/>
    <n v="1"/>
    <n v="9"/>
    <n v="3"/>
    <n v="3"/>
    <x v="11"/>
    <n v="2"/>
    <n v="0"/>
    <n v="2"/>
    <x v="0"/>
    <x v="0"/>
  </r>
  <r>
    <n v="42"/>
    <x v="1"/>
    <s v="Travel_Rarely"/>
    <n v="1059"/>
    <x v="1"/>
    <x v="14"/>
    <n v="2"/>
    <s v="Other"/>
    <n v="1"/>
    <n v="1595"/>
    <n v="4"/>
    <x v="1"/>
    <n v="93"/>
    <n v="2"/>
    <n v="5"/>
    <x v="5"/>
    <x v="0"/>
    <s v="Single"/>
    <n v="19613"/>
    <n v="26362"/>
    <n v="8"/>
    <s v="Y"/>
    <s v="No"/>
    <n v="22"/>
    <n v="4"/>
    <n v="4"/>
    <n v="80"/>
    <n v="0"/>
    <n v="24"/>
    <n v="2"/>
    <n v="3"/>
    <x v="6"/>
    <n v="0"/>
    <n v="0"/>
    <n v="1"/>
    <x v="0"/>
    <x v="3"/>
  </r>
  <r>
    <n v="35"/>
    <x v="1"/>
    <s v="Travel_Rarely"/>
    <n v="750"/>
    <x v="1"/>
    <x v="26"/>
    <n v="3"/>
    <s v="Life Sciences"/>
    <n v="1"/>
    <n v="1596"/>
    <n v="2"/>
    <x v="1"/>
    <n v="46"/>
    <n v="4"/>
    <n v="2"/>
    <x v="2"/>
    <x v="2"/>
    <s v="Married"/>
    <n v="3407"/>
    <n v="25348"/>
    <n v="1"/>
    <s v="Y"/>
    <s v="No"/>
    <n v="17"/>
    <n v="3"/>
    <n v="4"/>
    <n v="80"/>
    <n v="2"/>
    <n v="10"/>
    <n v="3"/>
    <n v="2"/>
    <x v="1"/>
    <n v="9"/>
    <n v="6"/>
    <n v="8"/>
    <x v="0"/>
    <x v="0"/>
  </r>
  <r>
    <n v="34"/>
    <x v="1"/>
    <s v="Travel_Frequently"/>
    <n v="653"/>
    <x v="1"/>
    <x v="17"/>
    <n v="4"/>
    <s v="Technical Degree"/>
    <n v="1"/>
    <n v="1597"/>
    <n v="4"/>
    <x v="1"/>
    <n v="92"/>
    <n v="2"/>
    <n v="2"/>
    <x v="4"/>
    <x v="2"/>
    <s v="Married"/>
    <n v="5063"/>
    <n v="15332"/>
    <n v="1"/>
    <s v="Y"/>
    <s v="No"/>
    <n v="14"/>
    <n v="3"/>
    <n v="2"/>
    <n v="80"/>
    <n v="1"/>
    <n v="8"/>
    <n v="3"/>
    <n v="2"/>
    <x v="3"/>
    <n v="2"/>
    <n v="7"/>
    <n v="7"/>
    <x v="2"/>
    <x v="0"/>
  </r>
  <r>
    <n v="40"/>
    <x v="1"/>
    <s v="Travel_Rarely"/>
    <n v="118"/>
    <x v="0"/>
    <x v="24"/>
    <n v="2"/>
    <s v="Life Sciences"/>
    <n v="1"/>
    <n v="1598"/>
    <n v="4"/>
    <x v="0"/>
    <n v="84"/>
    <n v="3"/>
    <n v="2"/>
    <x v="0"/>
    <x v="3"/>
    <s v="Married"/>
    <n v="4639"/>
    <n v="11262"/>
    <n v="1"/>
    <s v="Y"/>
    <s v="No"/>
    <n v="15"/>
    <n v="3"/>
    <n v="3"/>
    <n v="80"/>
    <n v="1"/>
    <n v="5"/>
    <n v="2"/>
    <n v="3"/>
    <x v="8"/>
    <n v="4"/>
    <n v="1"/>
    <n v="2"/>
    <x v="0"/>
    <x v="0"/>
  </r>
  <r>
    <n v="43"/>
    <x v="1"/>
    <s v="Travel_Rarely"/>
    <n v="990"/>
    <x v="1"/>
    <x v="6"/>
    <n v="3"/>
    <s v="Technical Degree"/>
    <n v="1"/>
    <n v="1599"/>
    <n v="4"/>
    <x v="1"/>
    <n v="87"/>
    <n v="4"/>
    <n v="1"/>
    <x v="2"/>
    <x v="1"/>
    <s v="Divorced"/>
    <n v="4876"/>
    <n v="5855"/>
    <n v="5"/>
    <s v="Y"/>
    <s v="No"/>
    <n v="12"/>
    <n v="3"/>
    <n v="3"/>
    <n v="80"/>
    <n v="1"/>
    <n v="8"/>
    <n v="0"/>
    <n v="3"/>
    <x v="0"/>
    <n v="4"/>
    <n v="0"/>
    <n v="2"/>
    <x v="0"/>
    <x v="0"/>
  </r>
  <r>
    <n v="35"/>
    <x v="1"/>
    <s v="Travel_Rarely"/>
    <n v="1349"/>
    <x v="1"/>
    <x v="15"/>
    <n v="2"/>
    <s v="Life Sciences"/>
    <n v="1"/>
    <n v="1601"/>
    <n v="3"/>
    <x v="1"/>
    <n v="63"/>
    <n v="2"/>
    <n v="1"/>
    <x v="2"/>
    <x v="0"/>
    <s v="Married"/>
    <n v="2690"/>
    <n v="7713"/>
    <n v="1"/>
    <s v="Y"/>
    <s v="No"/>
    <n v="18"/>
    <n v="3"/>
    <n v="4"/>
    <n v="80"/>
    <n v="1"/>
    <n v="1"/>
    <n v="5"/>
    <n v="2"/>
    <x v="6"/>
    <n v="0"/>
    <n v="0"/>
    <n v="1"/>
    <x v="0"/>
    <x v="1"/>
  </r>
  <r>
    <n v="46"/>
    <x v="1"/>
    <s v="Travel_Rarely"/>
    <n v="563"/>
    <x v="0"/>
    <x v="0"/>
    <n v="4"/>
    <s v="Life Sciences"/>
    <n v="1"/>
    <n v="1602"/>
    <n v="4"/>
    <x v="1"/>
    <n v="56"/>
    <n v="4"/>
    <n v="4"/>
    <x v="5"/>
    <x v="3"/>
    <s v="Single"/>
    <n v="17567"/>
    <n v="3156"/>
    <n v="1"/>
    <s v="Y"/>
    <s v="No"/>
    <n v="15"/>
    <n v="3"/>
    <n v="2"/>
    <n v="80"/>
    <n v="0"/>
    <n v="27"/>
    <n v="5"/>
    <n v="1"/>
    <x v="34"/>
    <n v="0"/>
    <n v="0"/>
    <n v="12"/>
    <x v="1"/>
    <x v="3"/>
  </r>
  <r>
    <n v="28"/>
    <x v="0"/>
    <s v="Travel_Rarely"/>
    <n v="329"/>
    <x v="1"/>
    <x v="4"/>
    <n v="3"/>
    <s v="Medical"/>
    <n v="1"/>
    <n v="1604"/>
    <n v="3"/>
    <x v="1"/>
    <n v="51"/>
    <n v="3"/>
    <n v="1"/>
    <x v="2"/>
    <x v="1"/>
    <s v="Married"/>
    <n v="2408"/>
    <n v="7324"/>
    <n v="1"/>
    <s v="Y"/>
    <s v="Yes"/>
    <n v="17"/>
    <n v="3"/>
    <n v="3"/>
    <n v="80"/>
    <n v="3"/>
    <n v="1"/>
    <n v="3"/>
    <n v="3"/>
    <x v="6"/>
    <n v="1"/>
    <n v="0"/>
    <n v="0"/>
    <x v="2"/>
    <x v="1"/>
  </r>
  <r>
    <n v="22"/>
    <x v="1"/>
    <s v="Non-Travel"/>
    <n v="457"/>
    <x v="1"/>
    <x v="9"/>
    <n v="2"/>
    <s v="Other"/>
    <n v="1"/>
    <n v="1605"/>
    <n v="2"/>
    <x v="0"/>
    <n v="85"/>
    <n v="2"/>
    <n v="1"/>
    <x v="1"/>
    <x v="2"/>
    <s v="Married"/>
    <n v="2814"/>
    <n v="10293"/>
    <n v="1"/>
    <s v="Y"/>
    <s v="Yes"/>
    <n v="14"/>
    <n v="3"/>
    <n v="2"/>
    <n v="80"/>
    <n v="0"/>
    <n v="4"/>
    <n v="2"/>
    <n v="2"/>
    <x v="9"/>
    <n v="2"/>
    <n v="1"/>
    <n v="3"/>
    <x v="4"/>
    <x v="1"/>
  </r>
  <r>
    <n v="50"/>
    <x v="1"/>
    <s v="Travel_Frequently"/>
    <n v="1234"/>
    <x v="1"/>
    <x v="25"/>
    <n v="5"/>
    <s v="Medical"/>
    <n v="1"/>
    <n v="1606"/>
    <n v="2"/>
    <x v="1"/>
    <n v="41"/>
    <n v="3"/>
    <n v="4"/>
    <x v="4"/>
    <x v="2"/>
    <s v="Married"/>
    <n v="11245"/>
    <n v="20689"/>
    <n v="2"/>
    <s v="Y"/>
    <s v="Yes"/>
    <n v="15"/>
    <n v="3"/>
    <n v="3"/>
    <n v="80"/>
    <n v="1"/>
    <n v="32"/>
    <n v="3"/>
    <n v="3"/>
    <x v="35"/>
    <n v="8"/>
    <n v="12"/>
    <n v="13"/>
    <x v="1"/>
    <x v="2"/>
  </r>
  <r>
    <n v="32"/>
    <x v="1"/>
    <s v="Travel_Rarely"/>
    <n v="634"/>
    <x v="1"/>
    <x v="12"/>
    <n v="4"/>
    <s v="Other"/>
    <n v="1"/>
    <n v="1607"/>
    <n v="2"/>
    <x v="0"/>
    <n v="35"/>
    <n v="4"/>
    <n v="1"/>
    <x v="1"/>
    <x v="0"/>
    <s v="Married"/>
    <n v="3312"/>
    <n v="18783"/>
    <n v="3"/>
    <s v="Y"/>
    <s v="No"/>
    <n v="17"/>
    <n v="3"/>
    <n v="4"/>
    <n v="80"/>
    <n v="2"/>
    <n v="6"/>
    <n v="3"/>
    <n v="3"/>
    <x v="11"/>
    <n v="2"/>
    <n v="0"/>
    <n v="2"/>
    <x v="2"/>
    <x v="0"/>
  </r>
  <r>
    <n v="44"/>
    <x v="1"/>
    <s v="Travel_Rarely"/>
    <n v="1313"/>
    <x v="1"/>
    <x v="15"/>
    <n v="3"/>
    <s v="Medical"/>
    <n v="1"/>
    <n v="1608"/>
    <n v="2"/>
    <x v="0"/>
    <n v="31"/>
    <n v="3"/>
    <n v="5"/>
    <x v="7"/>
    <x v="0"/>
    <s v="Divorced"/>
    <n v="19049"/>
    <n v="3549"/>
    <n v="0"/>
    <s v="Y"/>
    <s v="Yes"/>
    <n v="14"/>
    <n v="3"/>
    <n v="4"/>
    <n v="80"/>
    <n v="1"/>
    <n v="23"/>
    <n v="4"/>
    <n v="2"/>
    <x v="14"/>
    <n v="7"/>
    <n v="1"/>
    <n v="10"/>
    <x v="0"/>
    <x v="3"/>
  </r>
  <r>
    <n v="30"/>
    <x v="1"/>
    <s v="Travel_Rarely"/>
    <n v="241"/>
    <x v="1"/>
    <x v="15"/>
    <n v="3"/>
    <s v="Medical"/>
    <n v="1"/>
    <n v="1609"/>
    <n v="2"/>
    <x v="1"/>
    <n v="48"/>
    <n v="2"/>
    <n v="1"/>
    <x v="1"/>
    <x v="1"/>
    <s v="Married"/>
    <n v="2141"/>
    <n v="5348"/>
    <n v="1"/>
    <s v="Y"/>
    <s v="No"/>
    <n v="12"/>
    <n v="3"/>
    <n v="2"/>
    <n v="80"/>
    <n v="1"/>
    <n v="6"/>
    <n v="3"/>
    <n v="2"/>
    <x v="0"/>
    <n v="4"/>
    <n v="1"/>
    <n v="1"/>
    <x v="2"/>
    <x v="1"/>
  </r>
  <r>
    <n v="45"/>
    <x v="1"/>
    <s v="Travel_Rarely"/>
    <n v="1015"/>
    <x v="1"/>
    <x v="12"/>
    <n v="5"/>
    <s v="Medical"/>
    <n v="1"/>
    <n v="1611"/>
    <n v="3"/>
    <x v="0"/>
    <n v="50"/>
    <n v="1"/>
    <n v="2"/>
    <x v="2"/>
    <x v="3"/>
    <s v="Single"/>
    <n v="5769"/>
    <n v="23447"/>
    <n v="1"/>
    <s v="Y"/>
    <s v="Yes"/>
    <n v="14"/>
    <n v="3"/>
    <n v="1"/>
    <n v="80"/>
    <n v="0"/>
    <n v="10"/>
    <n v="3"/>
    <n v="3"/>
    <x v="1"/>
    <n v="7"/>
    <n v="1"/>
    <n v="4"/>
    <x v="1"/>
    <x v="0"/>
  </r>
  <r>
    <n v="45"/>
    <x v="1"/>
    <s v="Non-Travel"/>
    <n v="336"/>
    <x v="0"/>
    <x v="9"/>
    <n v="3"/>
    <s v="Marketing"/>
    <n v="1"/>
    <n v="1612"/>
    <n v="1"/>
    <x v="1"/>
    <n v="52"/>
    <n v="2"/>
    <n v="2"/>
    <x v="0"/>
    <x v="3"/>
    <s v="Married"/>
    <n v="4385"/>
    <n v="24162"/>
    <n v="1"/>
    <s v="Y"/>
    <s v="No"/>
    <n v="15"/>
    <n v="3"/>
    <n v="1"/>
    <n v="80"/>
    <n v="1"/>
    <n v="10"/>
    <n v="2"/>
    <n v="3"/>
    <x v="1"/>
    <n v="7"/>
    <n v="4"/>
    <n v="5"/>
    <x v="1"/>
    <x v="0"/>
  </r>
  <r>
    <n v="31"/>
    <x v="1"/>
    <s v="Travel_Frequently"/>
    <n v="715"/>
    <x v="0"/>
    <x v="2"/>
    <n v="4"/>
    <s v="Other"/>
    <n v="1"/>
    <n v="1613"/>
    <n v="4"/>
    <x v="1"/>
    <n v="54"/>
    <n v="3"/>
    <n v="2"/>
    <x v="0"/>
    <x v="3"/>
    <s v="Single"/>
    <n v="5332"/>
    <n v="21602"/>
    <n v="7"/>
    <s v="Y"/>
    <s v="No"/>
    <n v="13"/>
    <n v="3"/>
    <n v="4"/>
    <n v="80"/>
    <n v="0"/>
    <n v="10"/>
    <n v="3"/>
    <n v="3"/>
    <x v="8"/>
    <n v="2"/>
    <n v="0"/>
    <n v="3"/>
    <x v="2"/>
    <x v="0"/>
  </r>
  <r>
    <n v="36"/>
    <x v="1"/>
    <s v="Travel_Rarely"/>
    <n v="559"/>
    <x v="1"/>
    <x v="20"/>
    <n v="4"/>
    <s v="Life Sciences"/>
    <n v="1"/>
    <n v="1614"/>
    <n v="3"/>
    <x v="0"/>
    <n v="76"/>
    <n v="3"/>
    <n v="2"/>
    <x v="3"/>
    <x v="2"/>
    <s v="Married"/>
    <n v="4663"/>
    <n v="12421"/>
    <n v="9"/>
    <s v="Y"/>
    <s v="Yes"/>
    <n v="12"/>
    <n v="3"/>
    <n v="2"/>
    <n v="80"/>
    <n v="2"/>
    <n v="7"/>
    <n v="2"/>
    <n v="3"/>
    <x v="11"/>
    <n v="2"/>
    <n v="1"/>
    <n v="1"/>
    <x v="0"/>
    <x v="0"/>
  </r>
  <r>
    <n v="34"/>
    <x v="1"/>
    <s v="Travel_Frequently"/>
    <n v="426"/>
    <x v="1"/>
    <x v="17"/>
    <n v="4"/>
    <s v="Life Sciences"/>
    <n v="1"/>
    <n v="1615"/>
    <n v="3"/>
    <x v="1"/>
    <n v="42"/>
    <n v="4"/>
    <n v="2"/>
    <x v="3"/>
    <x v="0"/>
    <s v="Divorced"/>
    <n v="4724"/>
    <n v="17000"/>
    <n v="1"/>
    <s v="Y"/>
    <s v="No"/>
    <n v="13"/>
    <n v="3"/>
    <n v="1"/>
    <n v="80"/>
    <n v="1"/>
    <n v="9"/>
    <n v="3"/>
    <n v="3"/>
    <x v="7"/>
    <n v="7"/>
    <n v="7"/>
    <n v="2"/>
    <x v="2"/>
    <x v="0"/>
  </r>
  <r>
    <n v="49"/>
    <x v="1"/>
    <s v="Travel_Rarely"/>
    <n v="722"/>
    <x v="1"/>
    <x v="19"/>
    <n v="4"/>
    <s v="Life Sciences"/>
    <n v="1"/>
    <n v="1617"/>
    <n v="3"/>
    <x v="0"/>
    <n v="84"/>
    <n v="3"/>
    <n v="1"/>
    <x v="2"/>
    <x v="3"/>
    <s v="Married"/>
    <n v="3211"/>
    <n v="22102"/>
    <n v="1"/>
    <s v="Y"/>
    <s v="No"/>
    <n v="14"/>
    <n v="3"/>
    <n v="4"/>
    <n v="80"/>
    <n v="1"/>
    <n v="10"/>
    <n v="3"/>
    <n v="2"/>
    <x v="7"/>
    <n v="6"/>
    <n v="1"/>
    <n v="4"/>
    <x v="1"/>
    <x v="0"/>
  </r>
  <r>
    <n v="39"/>
    <x v="1"/>
    <s v="Travel_Rarely"/>
    <n v="1387"/>
    <x v="1"/>
    <x v="17"/>
    <n v="5"/>
    <s v="Medical"/>
    <n v="1"/>
    <n v="1618"/>
    <n v="2"/>
    <x v="1"/>
    <n v="76"/>
    <n v="3"/>
    <n v="2"/>
    <x v="3"/>
    <x v="3"/>
    <s v="Married"/>
    <n v="5377"/>
    <n v="3835"/>
    <n v="2"/>
    <s v="Y"/>
    <s v="No"/>
    <n v="13"/>
    <n v="3"/>
    <n v="4"/>
    <n v="80"/>
    <n v="3"/>
    <n v="10"/>
    <n v="3"/>
    <n v="3"/>
    <x v="5"/>
    <n v="7"/>
    <n v="7"/>
    <n v="7"/>
    <x v="0"/>
    <x v="0"/>
  </r>
  <r>
    <n v="27"/>
    <x v="1"/>
    <s v="Travel_Rarely"/>
    <n v="1302"/>
    <x v="1"/>
    <x v="10"/>
    <n v="3"/>
    <s v="Other"/>
    <n v="1"/>
    <n v="1619"/>
    <n v="4"/>
    <x v="1"/>
    <n v="67"/>
    <n v="2"/>
    <n v="1"/>
    <x v="2"/>
    <x v="3"/>
    <s v="Divorced"/>
    <n v="4066"/>
    <n v="16290"/>
    <n v="1"/>
    <s v="Y"/>
    <s v="No"/>
    <n v="11"/>
    <n v="3"/>
    <n v="1"/>
    <n v="80"/>
    <n v="2"/>
    <n v="7"/>
    <n v="3"/>
    <n v="3"/>
    <x v="5"/>
    <n v="7"/>
    <n v="0"/>
    <n v="7"/>
    <x v="2"/>
    <x v="0"/>
  </r>
  <r>
    <n v="35"/>
    <x v="1"/>
    <s v="Travel_Rarely"/>
    <n v="819"/>
    <x v="1"/>
    <x v="21"/>
    <n v="5"/>
    <s v="Life Sciences"/>
    <n v="1"/>
    <n v="1621"/>
    <n v="2"/>
    <x v="1"/>
    <n v="48"/>
    <n v="4"/>
    <n v="2"/>
    <x v="1"/>
    <x v="3"/>
    <s v="Married"/>
    <n v="5208"/>
    <n v="26312"/>
    <n v="1"/>
    <s v="Y"/>
    <s v="No"/>
    <n v="11"/>
    <n v="3"/>
    <n v="4"/>
    <n v="80"/>
    <n v="0"/>
    <n v="16"/>
    <n v="2"/>
    <n v="3"/>
    <x v="22"/>
    <n v="15"/>
    <n v="1"/>
    <n v="10"/>
    <x v="0"/>
    <x v="0"/>
  </r>
  <r>
    <n v="28"/>
    <x v="1"/>
    <s v="Travel_Rarely"/>
    <n v="580"/>
    <x v="1"/>
    <x v="6"/>
    <n v="3"/>
    <s v="Medical"/>
    <n v="1"/>
    <n v="1622"/>
    <n v="2"/>
    <x v="0"/>
    <n v="39"/>
    <n v="1"/>
    <n v="2"/>
    <x v="3"/>
    <x v="3"/>
    <s v="Divorced"/>
    <n v="4877"/>
    <n v="20460"/>
    <n v="0"/>
    <s v="Y"/>
    <s v="No"/>
    <n v="21"/>
    <n v="4"/>
    <n v="2"/>
    <n v="80"/>
    <n v="1"/>
    <n v="6"/>
    <n v="5"/>
    <n v="2"/>
    <x v="8"/>
    <n v="3"/>
    <n v="0"/>
    <n v="0"/>
    <x v="2"/>
    <x v="0"/>
  </r>
  <r>
    <n v="21"/>
    <x v="1"/>
    <s v="Travel_Rarely"/>
    <n v="546"/>
    <x v="1"/>
    <x v="12"/>
    <n v="1"/>
    <s v="Medical"/>
    <n v="1"/>
    <n v="1623"/>
    <n v="3"/>
    <x v="1"/>
    <n v="97"/>
    <n v="3"/>
    <n v="1"/>
    <x v="1"/>
    <x v="0"/>
    <s v="Single"/>
    <n v="3117"/>
    <n v="26009"/>
    <n v="1"/>
    <s v="Y"/>
    <s v="No"/>
    <n v="18"/>
    <n v="3"/>
    <n v="3"/>
    <n v="80"/>
    <n v="0"/>
    <n v="3"/>
    <n v="2"/>
    <n v="3"/>
    <x v="4"/>
    <n v="2"/>
    <n v="2"/>
    <n v="2"/>
    <x v="4"/>
    <x v="0"/>
  </r>
  <r>
    <n v="18"/>
    <x v="0"/>
    <s v="Travel_Frequently"/>
    <n v="544"/>
    <x v="0"/>
    <x v="3"/>
    <n v="2"/>
    <s v="Medical"/>
    <n v="1"/>
    <n v="1624"/>
    <n v="2"/>
    <x v="0"/>
    <n v="70"/>
    <n v="3"/>
    <n v="1"/>
    <x v="6"/>
    <x v="0"/>
    <s v="Single"/>
    <n v="1569"/>
    <n v="18420"/>
    <n v="1"/>
    <s v="Y"/>
    <s v="Yes"/>
    <n v="12"/>
    <n v="3"/>
    <n v="3"/>
    <n v="80"/>
    <n v="0"/>
    <n v="0"/>
    <n v="2"/>
    <n v="4"/>
    <x v="2"/>
    <n v="0"/>
    <n v="0"/>
    <n v="0"/>
    <x v="4"/>
    <x v="1"/>
  </r>
  <r>
    <n v="47"/>
    <x v="1"/>
    <s v="Travel_Rarely"/>
    <n v="1176"/>
    <x v="2"/>
    <x v="9"/>
    <n v="4"/>
    <s v="Life Sciences"/>
    <n v="1"/>
    <n v="1625"/>
    <n v="4"/>
    <x v="0"/>
    <n v="98"/>
    <n v="3"/>
    <n v="5"/>
    <x v="5"/>
    <x v="2"/>
    <s v="Married"/>
    <n v="19658"/>
    <n v="5220"/>
    <n v="3"/>
    <s v="Y"/>
    <s v="No"/>
    <n v="11"/>
    <n v="3"/>
    <n v="3"/>
    <n v="80"/>
    <n v="1"/>
    <n v="27"/>
    <n v="2"/>
    <n v="3"/>
    <x v="8"/>
    <n v="2"/>
    <n v="1"/>
    <n v="0"/>
    <x v="1"/>
    <x v="3"/>
  </r>
  <r>
    <n v="39"/>
    <x v="1"/>
    <s v="Travel_Rarely"/>
    <n v="170"/>
    <x v="1"/>
    <x v="3"/>
    <n v="2"/>
    <s v="Medical"/>
    <n v="1"/>
    <n v="1627"/>
    <n v="3"/>
    <x v="1"/>
    <n v="76"/>
    <n v="2"/>
    <n v="2"/>
    <x v="2"/>
    <x v="2"/>
    <s v="Divorced"/>
    <n v="3069"/>
    <n v="10302"/>
    <n v="0"/>
    <s v="Y"/>
    <s v="No"/>
    <n v="15"/>
    <n v="3"/>
    <n v="4"/>
    <n v="80"/>
    <n v="1"/>
    <n v="11"/>
    <n v="3"/>
    <n v="3"/>
    <x v="1"/>
    <n v="8"/>
    <n v="0"/>
    <n v="7"/>
    <x v="0"/>
    <x v="0"/>
  </r>
  <r>
    <n v="40"/>
    <x v="1"/>
    <s v="Travel_Rarely"/>
    <n v="884"/>
    <x v="1"/>
    <x v="8"/>
    <n v="3"/>
    <s v="Life Sciences"/>
    <n v="1"/>
    <n v="1628"/>
    <n v="1"/>
    <x v="0"/>
    <n v="80"/>
    <n v="2"/>
    <n v="3"/>
    <x v="3"/>
    <x v="2"/>
    <s v="Married"/>
    <n v="10435"/>
    <n v="25800"/>
    <n v="1"/>
    <s v="Y"/>
    <s v="No"/>
    <n v="13"/>
    <n v="3"/>
    <n v="4"/>
    <n v="80"/>
    <n v="2"/>
    <n v="18"/>
    <n v="2"/>
    <n v="3"/>
    <x v="29"/>
    <n v="15"/>
    <n v="14"/>
    <n v="12"/>
    <x v="0"/>
    <x v="2"/>
  </r>
  <r>
    <n v="35"/>
    <x v="1"/>
    <s v="Non-Travel"/>
    <n v="208"/>
    <x v="1"/>
    <x v="1"/>
    <n v="4"/>
    <s v="Life Sciences"/>
    <n v="1"/>
    <n v="1630"/>
    <n v="3"/>
    <x v="0"/>
    <n v="52"/>
    <n v="3"/>
    <n v="2"/>
    <x v="4"/>
    <x v="2"/>
    <s v="Married"/>
    <n v="4148"/>
    <n v="12250"/>
    <n v="1"/>
    <s v="Y"/>
    <s v="No"/>
    <n v="12"/>
    <n v="3"/>
    <n v="4"/>
    <n v="80"/>
    <n v="1"/>
    <n v="15"/>
    <n v="5"/>
    <n v="3"/>
    <x v="13"/>
    <n v="11"/>
    <n v="2"/>
    <n v="9"/>
    <x v="0"/>
    <x v="0"/>
  </r>
  <r>
    <n v="37"/>
    <x v="1"/>
    <s v="Travel_Rarely"/>
    <n v="671"/>
    <x v="1"/>
    <x v="10"/>
    <n v="3"/>
    <s v="Life Sciences"/>
    <n v="1"/>
    <n v="1631"/>
    <n v="3"/>
    <x v="1"/>
    <n v="85"/>
    <n v="3"/>
    <n v="2"/>
    <x v="3"/>
    <x v="2"/>
    <s v="Married"/>
    <n v="5768"/>
    <n v="26493"/>
    <n v="3"/>
    <s v="Y"/>
    <s v="No"/>
    <n v="17"/>
    <n v="3"/>
    <n v="1"/>
    <n v="80"/>
    <n v="3"/>
    <n v="9"/>
    <n v="2"/>
    <n v="2"/>
    <x v="9"/>
    <n v="3"/>
    <n v="0"/>
    <n v="2"/>
    <x v="0"/>
    <x v="0"/>
  </r>
  <r>
    <n v="39"/>
    <x v="1"/>
    <s v="Travel_Frequently"/>
    <n v="711"/>
    <x v="1"/>
    <x v="18"/>
    <n v="3"/>
    <s v="Medical"/>
    <n v="1"/>
    <n v="1633"/>
    <n v="1"/>
    <x v="0"/>
    <n v="81"/>
    <n v="3"/>
    <n v="2"/>
    <x v="3"/>
    <x v="2"/>
    <s v="Single"/>
    <n v="5042"/>
    <n v="3140"/>
    <n v="0"/>
    <s v="Y"/>
    <s v="No"/>
    <n v="13"/>
    <n v="3"/>
    <n v="4"/>
    <n v="80"/>
    <n v="0"/>
    <n v="10"/>
    <n v="2"/>
    <n v="1"/>
    <x v="7"/>
    <n v="2"/>
    <n v="3"/>
    <n v="8"/>
    <x v="0"/>
    <x v="0"/>
  </r>
  <r>
    <n v="45"/>
    <x v="1"/>
    <s v="Travel_Rarely"/>
    <n v="1329"/>
    <x v="1"/>
    <x v="2"/>
    <n v="2"/>
    <s v="Other"/>
    <n v="1"/>
    <n v="1635"/>
    <n v="4"/>
    <x v="0"/>
    <n v="59"/>
    <n v="2"/>
    <n v="2"/>
    <x v="3"/>
    <x v="0"/>
    <s v="Divorced"/>
    <n v="5770"/>
    <n v="5388"/>
    <n v="1"/>
    <s v="Y"/>
    <s v="No"/>
    <n v="19"/>
    <n v="3"/>
    <n v="1"/>
    <n v="80"/>
    <n v="2"/>
    <n v="10"/>
    <n v="3"/>
    <n v="3"/>
    <x v="1"/>
    <n v="7"/>
    <n v="3"/>
    <n v="9"/>
    <x v="1"/>
    <x v="0"/>
  </r>
  <r>
    <n v="38"/>
    <x v="1"/>
    <s v="Travel_Rarely"/>
    <n v="397"/>
    <x v="1"/>
    <x v="2"/>
    <n v="2"/>
    <s v="Medical"/>
    <n v="1"/>
    <n v="1638"/>
    <n v="4"/>
    <x v="0"/>
    <n v="54"/>
    <n v="2"/>
    <n v="3"/>
    <x v="3"/>
    <x v="2"/>
    <s v="Married"/>
    <n v="7756"/>
    <n v="14199"/>
    <n v="3"/>
    <s v="Y"/>
    <s v="Yes"/>
    <n v="19"/>
    <n v="3"/>
    <n v="4"/>
    <n v="80"/>
    <n v="1"/>
    <n v="10"/>
    <n v="6"/>
    <n v="4"/>
    <x v="8"/>
    <n v="4"/>
    <n v="0"/>
    <n v="2"/>
    <x v="0"/>
    <x v="4"/>
  </r>
  <r>
    <n v="35"/>
    <x v="0"/>
    <s v="Travel_Rarely"/>
    <n v="737"/>
    <x v="0"/>
    <x v="17"/>
    <n v="3"/>
    <s v="Medical"/>
    <n v="1"/>
    <n v="1639"/>
    <n v="4"/>
    <x v="1"/>
    <n v="55"/>
    <n v="2"/>
    <n v="3"/>
    <x v="0"/>
    <x v="3"/>
    <s v="Married"/>
    <n v="10306"/>
    <n v="21530"/>
    <n v="9"/>
    <s v="Y"/>
    <s v="No"/>
    <n v="17"/>
    <n v="3"/>
    <n v="3"/>
    <n v="80"/>
    <n v="0"/>
    <n v="15"/>
    <n v="3"/>
    <n v="3"/>
    <x v="20"/>
    <n v="12"/>
    <n v="6"/>
    <n v="0"/>
    <x v="0"/>
    <x v="2"/>
  </r>
  <r>
    <n v="37"/>
    <x v="1"/>
    <s v="Travel_Rarely"/>
    <n v="1470"/>
    <x v="1"/>
    <x v="17"/>
    <n v="3"/>
    <s v="Medical"/>
    <n v="1"/>
    <n v="1640"/>
    <n v="2"/>
    <x v="0"/>
    <n v="71"/>
    <n v="3"/>
    <n v="1"/>
    <x v="1"/>
    <x v="1"/>
    <s v="Married"/>
    <n v="3936"/>
    <n v="9953"/>
    <n v="1"/>
    <s v="Y"/>
    <s v="No"/>
    <n v="11"/>
    <n v="3"/>
    <n v="1"/>
    <n v="80"/>
    <n v="1"/>
    <n v="8"/>
    <n v="2"/>
    <n v="1"/>
    <x v="3"/>
    <n v="4"/>
    <n v="7"/>
    <n v="7"/>
    <x v="0"/>
    <x v="0"/>
  </r>
  <r>
    <n v="40"/>
    <x v="1"/>
    <s v="Travel_Rarely"/>
    <n v="448"/>
    <x v="1"/>
    <x v="7"/>
    <n v="3"/>
    <s v="Life Sciences"/>
    <n v="1"/>
    <n v="1641"/>
    <n v="3"/>
    <x v="0"/>
    <n v="84"/>
    <n v="3"/>
    <n v="3"/>
    <x v="3"/>
    <x v="0"/>
    <s v="Single"/>
    <n v="7945"/>
    <n v="19948"/>
    <n v="6"/>
    <s v="Y"/>
    <s v="Yes"/>
    <n v="15"/>
    <n v="3"/>
    <n v="4"/>
    <n v="80"/>
    <n v="0"/>
    <n v="18"/>
    <n v="2"/>
    <n v="2"/>
    <x v="9"/>
    <n v="2"/>
    <n v="3"/>
    <n v="3"/>
    <x v="0"/>
    <x v="4"/>
  </r>
  <r>
    <n v="44"/>
    <x v="1"/>
    <s v="Travel_Frequently"/>
    <n v="602"/>
    <x v="2"/>
    <x v="0"/>
    <n v="5"/>
    <s v="Human Resources"/>
    <n v="1"/>
    <n v="1642"/>
    <n v="1"/>
    <x v="1"/>
    <n v="37"/>
    <n v="3"/>
    <n v="2"/>
    <x v="8"/>
    <x v="0"/>
    <s v="Married"/>
    <n v="5743"/>
    <n v="10503"/>
    <n v="4"/>
    <s v="Y"/>
    <s v="Yes"/>
    <n v="11"/>
    <n v="3"/>
    <n v="3"/>
    <n v="80"/>
    <n v="0"/>
    <n v="14"/>
    <n v="3"/>
    <n v="3"/>
    <x v="1"/>
    <n v="7"/>
    <n v="0"/>
    <n v="2"/>
    <x v="0"/>
    <x v="0"/>
  </r>
  <r>
    <n v="48"/>
    <x v="1"/>
    <s v="Travel_Frequently"/>
    <n v="365"/>
    <x v="1"/>
    <x v="18"/>
    <n v="5"/>
    <s v="Medical"/>
    <n v="1"/>
    <n v="1644"/>
    <n v="3"/>
    <x v="1"/>
    <n v="89"/>
    <n v="2"/>
    <n v="4"/>
    <x v="5"/>
    <x v="0"/>
    <s v="Married"/>
    <n v="15202"/>
    <n v="5602"/>
    <n v="2"/>
    <s v="Y"/>
    <s v="No"/>
    <n v="25"/>
    <n v="4"/>
    <n v="2"/>
    <n v="80"/>
    <n v="1"/>
    <n v="23"/>
    <n v="3"/>
    <n v="3"/>
    <x v="4"/>
    <n v="2"/>
    <n v="2"/>
    <n v="2"/>
    <x v="1"/>
    <x v="3"/>
  </r>
  <r>
    <n v="35"/>
    <x v="0"/>
    <s v="Travel_Rarely"/>
    <n v="763"/>
    <x v="0"/>
    <x v="8"/>
    <n v="2"/>
    <s v="Medical"/>
    <n v="1"/>
    <n v="1645"/>
    <n v="1"/>
    <x v="1"/>
    <n v="59"/>
    <n v="1"/>
    <n v="2"/>
    <x v="0"/>
    <x v="0"/>
    <s v="Divorced"/>
    <n v="5440"/>
    <n v="22098"/>
    <n v="6"/>
    <s v="Y"/>
    <s v="Yes"/>
    <n v="14"/>
    <n v="3"/>
    <n v="4"/>
    <n v="80"/>
    <n v="2"/>
    <n v="7"/>
    <n v="2"/>
    <n v="2"/>
    <x v="4"/>
    <n v="2"/>
    <n v="2"/>
    <n v="2"/>
    <x v="0"/>
    <x v="0"/>
  </r>
  <r>
    <n v="24"/>
    <x v="1"/>
    <s v="Travel_Frequently"/>
    <n v="567"/>
    <x v="1"/>
    <x v="2"/>
    <n v="1"/>
    <s v="Technical Degree"/>
    <n v="1"/>
    <n v="1646"/>
    <n v="1"/>
    <x v="0"/>
    <n v="32"/>
    <n v="3"/>
    <n v="1"/>
    <x v="1"/>
    <x v="0"/>
    <s v="Single"/>
    <n v="3760"/>
    <n v="17218"/>
    <n v="1"/>
    <s v="Y"/>
    <s v="Yes"/>
    <n v="13"/>
    <n v="3"/>
    <n v="3"/>
    <n v="80"/>
    <n v="0"/>
    <n v="6"/>
    <n v="2"/>
    <n v="3"/>
    <x v="0"/>
    <n v="3"/>
    <n v="1"/>
    <n v="3"/>
    <x v="4"/>
    <x v="0"/>
  </r>
  <r>
    <n v="27"/>
    <x v="1"/>
    <s v="Travel_Rarely"/>
    <n v="486"/>
    <x v="1"/>
    <x v="1"/>
    <n v="3"/>
    <s v="Medical"/>
    <n v="1"/>
    <n v="1647"/>
    <n v="2"/>
    <x v="0"/>
    <n v="86"/>
    <n v="4"/>
    <n v="1"/>
    <x v="1"/>
    <x v="2"/>
    <s v="Married"/>
    <n v="3517"/>
    <n v="22490"/>
    <n v="7"/>
    <s v="Y"/>
    <s v="No"/>
    <n v="17"/>
    <n v="3"/>
    <n v="1"/>
    <n v="80"/>
    <n v="0"/>
    <n v="5"/>
    <n v="0"/>
    <n v="3"/>
    <x v="11"/>
    <n v="2"/>
    <n v="0"/>
    <n v="2"/>
    <x v="2"/>
    <x v="0"/>
  </r>
  <r>
    <n v="27"/>
    <x v="1"/>
    <s v="Travel_Frequently"/>
    <n v="591"/>
    <x v="1"/>
    <x v="2"/>
    <n v="3"/>
    <s v="Medical"/>
    <n v="1"/>
    <n v="1648"/>
    <n v="4"/>
    <x v="1"/>
    <n v="87"/>
    <n v="3"/>
    <n v="1"/>
    <x v="1"/>
    <x v="0"/>
    <s v="Single"/>
    <n v="2580"/>
    <n v="6297"/>
    <n v="2"/>
    <s v="Y"/>
    <s v="No"/>
    <n v="13"/>
    <n v="3"/>
    <n v="3"/>
    <n v="80"/>
    <n v="0"/>
    <n v="6"/>
    <n v="0"/>
    <n v="2"/>
    <x v="9"/>
    <n v="2"/>
    <n v="1"/>
    <n v="2"/>
    <x v="2"/>
    <x v="1"/>
  </r>
  <r>
    <n v="40"/>
    <x v="0"/>
    <s v="Travel_Rarely"/>
    <n v="1329"/>
    <x v="1"/>
    <x v="15"/>
    <n v="3"/>
    <s v="Life Sciences"/>
    <n v="1"/>
    <n v="1649"/>
    <n v="1"/>
    <x v="1"/>
    <n v="73"/>
    <n v="3"/>
    <n v="1"/>
    <x v="2"/>
    <x v="3"/>
    <s v="Single"/>
    <n v="2166"/>
    <n v="3339"/>
    <n v="3"/>
    <s v="Y"/>
    <s v="Yes"/>
    <n v="14"/>
    <n v="3"/>
    <n v="2"/>
    <n v="80"/>
    <n v="0"/>
    <n v="10"/>
    <n v="3"/>
    <n v="1"/>
    <x v="9"/>
    <n v="2"/>
    <n v="0"/>
    <n v="3"/>
    <x v="0"/>
    <x v="1"/>
  </r>
  <r>
    <n v="29"/>
    <x v="1"/>
    <s v="Travel_Rarely"/>
    <n v="469"/>
    <x v="0"/>
    <x v="17"/>
    <n v="3"/>
    <s v="Medical"/>
    <n v="1"/>
    <n v="1650"/>
    <n v="3"/>
    <x v="1"/>
    <n v="42"/>
    <n v="2"/>
    <n v="2"/>
    <x v="0"/>
    <x v="2"/>
    <s v="Single"/>
    <n v="5869"/>
    <n v="23413"/>
    <n v="9"/>
    <s v="Y"/>
    <s v="No"/>
    <n v="11"/>
    <n v="3"/>
    <n v="3"/>
    <n v="80"/>
    <n v="0"/>
    <n v="8"/>
    <n v="2"/>
    <n v="3"/>
    <x v="8"/>
    <n v="2"/>
    <n v="1"/>
    <n v="4"/>
    <x v="2"/>
    <x v="0"/>
  </r>
  <r>
    <n v="36"/>
    <x v="1"/>
    <s v="Travel_Rarely"/>
    <n v="711"/>
    <x v="1"/>
    <x v="12"/>
    <n v="4"/>
    <s v="Life Sciences"/>
    <n v="1"/>
    <n v="1651"/>
    <n v="2"/>
    <x v="0"/>
    <n v="42"/>
    <n v="3"/>
    <n v="3"/>
    <x v="4"/>
    <x v="3"/>
    <s v="Married"/>
    <n v="8008"/>
    <n v="22792"/>
    <n v="4"/>
    <s v="Y"/>
    <s v="No"/>
    <n v="12"/>
    <n v="3"/>
    <n v="3"/>
    <n v="80"/>
    <n v="2"/>
    <n v="9"/>
    <n v="6"/>
    <n v="3"/>
    <x v="11"/>
    <n v="2"/>
    <n v="0"/>
    <n v="2"/>
    <x v="0"/>
    <x v="4"/>
  </r>
  <r>
    <n v="25"/>
    <x v="1"/>
    <s v="Travel_Frequently"/>
    <n v="772"/>
    <x v="1"/>
    <x v="2"/>
    <n v="1"/>
    <s v="Life Sciences"/>
    <n v="1"/>
    <n v="1653"/>
    <n v="4"/>
    <x v="1"/>
    <n v="77"/>
    <n v="4"/>
    <n v="2"/>
    <x v="3"/>
    <x v="2"/>
    <s v="Divorced"/>
    <n v="5206"/>
    <n v="4973"/>
    <n v="1"/>
    <s v="Y"/>
    <s v="No"/>
    <n v="17"/>
    <n v="3"/>
    <n v="3"/>
    <n v="80"/>
    <n v="2"/>
    <n v="7"/>
    <n v="6"/>
    <n v="3"/>
    <x v="5"/>
    <n v="7"/>
    <n v="0"/>
    <n v="7"/>
    <x v="2"/>
    <x v="0"/>
  </r>
  <r>
    <n v="39"/>
    <x v="1"/>
    <s v="Travel_Rarely"/>
    <n v="492"/>
    <x v="1"/>
    <x v="20"/>
    <n v="3"/>
    <s v="Medical"/>
    <n v="1"/>
    <n v="1654"/>
    <n v="4"/>
    <x v="1"/>
    <n v="66"/>
    <n v="3"/>
    <n v="2"/>
    <x v="3"/>
    <x v="1"/>
    <s v="Married"/>
    <n v="5295"/>
    <n v="7693"/>
    <n v="4"/>
    <s v="Y"/>
    <s v="No"/>
    <n v="21"/>
    <n v="4"/>
    <n v="3"/>
    <n v="80"/>
    <n v="0"/>
    <n v="7"/>
    <n v="3"/>
    <n v="3"/>
    <x v="8"/>
    <n v="4"/>
    <n v="1"/>
    <n v="0"/>
    <x v="0"/>
    <x v="0"/>
  </r>
  <r>
    <n v="49"/>
    <x v="1"/>
    <s v="Travel_Rarely"/>
    <n v="301"/>
    <x v="1"/>
    <x v="23"/>
    <n v="4"/>
    <s v="Other"/>
    <n v="1"/>
    <n v="1655"/>
    <n v="1"/>
    <x v="0"/>
    <n v="72"/>
    <n v="3"/>
    <n v="4"/>
    <x v="7"/>
    <x v="1"/>
    <s v="Married"/>
    <n v="16413"/>
    <n v="3498"/>
    <n v="3"/>
    <s v="Y"/>
    <s v="No"/>
    <n v="16"/>
    <n v="3"/>
    <n v="2"/>
    <n v="80"/>
    <n v="2"/>
    <n v="27"/>
    <n v="2"/>
    <n v="3"/>
    <x v="9"/>
    <n v="2"/>
    <n v="1"/>
    <n v="2"/>
    <x v="1"/>
    <x v="3"/>
  </r>
  <r>
    <n v="50"/>
    <x v="1"/>
    <s v="Travel_Rarely"/>
    <n v="813"/>
    <x v="1"/>
    <x v="27"/>
    <n v="5"/>
    <s v="Life Sciences"/>
    <n v="1"/>
    <n v="1656"/>
    <n v="4"/>
    <x v="0"/>
    <n v="50"/>
    <n v="2"/>
    <n v="3"/>
    <x v="7"/>
    <x v="3"/>
    <s v="Divorced"/>
    <n v="13269"/>
    <n v="21981"/>
    <n v="5"/>
    <s v="Y"/>
    <s v="No"/>
    <n v="15"/>
    <n v="3"/>
    <n v="3"/>
    <n v="80"/>
    <n v="3"/>
    <n v="19"/>
    <n v="3"/>
    <n v="3"/>
    <x v="13"/>
    <n v="11"/>
    <n v="1"/>
    <n v="11"/>
    <x v="1"/>
    <x v="3"/>
  </r>
  <r>
    <n v="20"/>
    <x v="1"/>
    <s v="Travel_Rarely"/>
    <n v="1141"/>
    <x v="0"/>
    <x v="2"/>
    <n v="3"/>
    <s v="Medical"/>
    <n v="1"/>
    <n v="1657"/>
    <n v="3"/>
    <x v="0"/>
    <n v="31"/>
    <n v="3"/>
    <n v="1"/>
    <x v="6"/>
    <x v="2"/>
    <s v="Single"/>
    <n v="2783"/>
    <n v="13251"/>
    <n v="1"/>
    <s v="Y"/>
    <s v="No"/>
    <n v="19"/>
    <n v="3"/>
    <n v="1"/>
    <n v="80"/>
    <n v="0"/>
    <n v="2"/>
    <n v="3"/>
    <n v="3"/>
    <x v="4"/>
    <n v="2"/>
    <n v="2"/>
    <n v="2"/>
    <x v="4"/>
    <x v="1"/>
  </r>
  <r>
    <n v="34"/>
    <x v="1"/>
    <s v="Travel_Rarely"/>
    <n v="1130"/>
    <x v="1"/>
    <x v="3"/>
    <n v="3"/>
    <s v="Life Sciences"/>
    <n v="1"/>
    <n v="1658"/>
    <n v="4"/>
    <x v="0"/>
    <n v="66"/>
    <n v="3"/>
    <n v="2"/>
    <x v="1"/>
    <x v="1"/>
    <s v="Divorced"/>
    <n v="5433"/>
    <n v="19332"/>
    <n v="1"/>
    <s v="Y"/>
    <s v="No"/>
    <n v="12"/>
    <n v="3"/>
    <n v="3"/>
    <n v="80"/>
    <n v="1"/>
    <n v="11"/>
    <n v="2"/>
    <n v="3"/>
    <x v="19"/>
    <n v="8"/>
    <n v="7"/>
    <n v="9"/>
    <x v="2"/>
    <x v="0"/>
  </r>
  <r>
    <n v="36"/>
    <x v="1"/>
    <s v="Travel_Rarely"/>
    <n v="311"/>
    <x v="1"/>
    <x v="15"/>
    <n v="3"/>
    <s v="Life Sciences"/>
    <n v="1"/>
    <n v="1659"/>
    <n v="1"/>
    <x v="1"/>
    <n v="77"/>
    <n v="3"/>
    <n v="1"/>
    <x v="2"/>
    <x v="1"/>
    <s v="Single"/>
    <n v="2013"/>
    <n v="10950"/>
    <n v="2"/>
    <s v="Y"/>
    <s v="No"/>
    <n v="11"/>
    <n v="3"/>
    <n v="3"/>
    <n v="80"/>
    <n v="0"/>
    <n v="15"/>
    <n v="4"/>
    <n v="3"/>
    <x v="9"/>
    <n v="3"/>
    <n v="1"/>
    <n v="3"/>
    <x v="0"/>
    <x v="1"/>
  </r>
  <r>
    <n v="49"/>
    <x v="1"/>
    <s v="Travel_Rarely"/>
    <n v="465"/>
    <x v="1"/>
    <x v="16"/>
    <n v="1"/>
    <s v="Life Sciences"/>
    <n v="1"/>
    <n v="1661"/>
    <n v="3"/>
    <x v="0"/>
    <n v="41"/>
    <n v="2"/>
    <n v="4"/>
    <x v="4"/>
    <x v="2"/>
    <s v="Married"/>
    <n v="13966"/>
    <n v="11652"/>
    <n v="2"/>
    <s v="Y"/>
    <s v="Yes"/>
    <n v="19"/>
    <n v="3"/>
    <n v="2"/>
    <n v="80"/>
    <n v="1"/>
    <n v="30"/>
    <n v="3"/>
    <n v="3"/>
    <x v="15"/>
    <n v="11"/>
    <n v="2"/>
    <n v="12"/>
    <x v="1"/>
    <x v="3"/>
  </r>
  <r>
    <n v="36"/>
    <x v="1"/>
    <s v="Non-Travel"/>
    <n v="894"/>
    <x v="1"/>
    <x v="0"/>
    <n v="4"/>
    <s v="Medical"/>
    <n v="1"/>
    <n v="1662"/>
    <n v="4"/>
    <x v="0"/>
    <n v="33"/>
    <n v="2"/>
    <n v="2"/>
    <x v="3"/>
    <x v="2"/>
    <s v="Married"/>
    <n v="4374"/>
    <n v="15411"/>
    <n v="0"/>
    <s v="Y"/>
    <s v="No"/>
    <n v="15"/>
    <n v="3"/>
    <n v="3"/>
    <n v="80"/>
    <n v="0"/>
    <n v="4"/>
    <n v="6"/>
    <n v="3"/>
    <x v="11"/>
    <n v="2"/>
    <n v="1"/>
    <n v="2"/>
    <x v="0"/>
    <x v="0"/>
  </r>
  <r>
    <n v="36"/>
    <x v="1"/>
    <s v="Travel_Rarely"/>
    <n v="1040"/>
    <x v="1"/>
    <x v="3"/>
    <n v="2"/>
    <s v="Life Sciences"/>
    <n v="1"/>
    <n v="1664"/>
    <n v="4"/>
    <x v="1"/>
    <n v="79"/>
    <n v="4"/>
    <n v="2"/>
    <x v="4"/>
    <x v="3"/>
    <s v="Divorced"/>
    <n v="6842"/>
    <n v="26308"/>
    <n v="6"/>
    <s v="Y"/>
    <s v="No"/>
    <n v="20"/>
    <n v="4"/>
    <n v="1"/>
    <n v="80"/>
    <n v="1"/>
    <n v="13"/>
    <n v="3"/>
    <n v="3"/>
    <x v="8"/>
    <n v="4"/>
    <n v="0"/>
    <n v="4"/>
    <x v="0"/>
    <x v="4"/>
  </r>
  <r>
    <n v="54"/>
    <x v="1"/>
    <s v="Travel_Rarely"/>
    <n v="584"/>
    <x v="1"/>
    <x v="23"/>
    <n v="5"/>
    <s v="Medical"/>
    <n v="1"/>
    <n v="1665"/>
    <n v="2"/>
    <x v="0"/>
    <n v="91"/>
    <n v="3"/>
    <n v="4"/>
    <x v="5"/>
    <x v="2"/>
    <s v="Married"/>
    <n v="17426"/>
    <n v="18685"/>
    <n v="3"/>
    <s v="Y"/>
    <s v="No"/>
    <n v="25"/>
    <n v="4"/>
    <n v="3"/>
    <n v="80"/>
    <n v="1"/>
    <n v="36"/>
    <n v="6"/>
    <n v="3"/>
    <x v="1"/>
    <n v="8"/>
    <n v="4"/>
    <n v="7"/>
    <x v="1"/>
    <x v="3"/>
  </r>
  <r>
    <n v="43"/>
    <x v="1"/>
    <s v="Travel_Rarely"/>
    <n v="1291"/>
    <x v="1"/>
    <x v="8"/>
    <n v="2"/>
    <s v="Life Sciences"/>
    <n v="1"/>
    <n v="1666"/>
    <n v="3"/>
    <x v="1"/>
    <n v="65"/>
    <n v="2"/>
    <n v="4"/>
    <x v="7"/>
    <x v="2"/>
    <s v="Married"/>
    <n v="17603"/>
    <n v="3525"/>
    <n v="1"/>
    <s v="Y"/>
    <s v="No"/>
    <n v="24"/>
    <n v="4"/>
    <n v="1"/>
    <n v="80"/>
    <n v="1"/>
    <n v="14"/>
    <n v="3"/>
    <n v="3"/>
    <x v="13"/>
    <n v="10"/>
    <n v="6"/>
    <n v="11"/>
    <x v="0"/>
    <x v="3"/>
  </r>
  <r>
    <n v="35"/>
    <x v="0"/>
    <s v="Travel_Frequently"/>
    <n v="880"/>
    <x v="0"/>
    <x v="20"/>
    <n v="4"/>
    <s v="Other"/>
    <n v="1"/>
    <n v="1667"/>
    <n v="4"/>
    <x v="1"/>
    <n v="36"/>
    <n v="3"/>
    <n v="2"/>
    <x v="0"/>
    <x v="0"/>
    <s v="Single"/>
    <n v="4581"/>
    <n v="10414"/>
    <n v="3"/>
    <s v="Y"/>
    <s v="Yes"/>
    <n v="24"/>
    <n v="4"/>
    <n v="1"/>
    <n v="80"/>
    <n v="0"/>
    <n v="13"/>
    <n v="2"/>
    <n v="4"/>
    <x v="19"/>
    <n v="9"/>
    <n v="6"/>
    <n v="7"/>
    <x v="0"/>
    <x v="0"/>
  </r>
  <r>
    <n v="38"/>
    <x v="1"/>
    <s v="Travel_Frequently"/>
    <n v="1189"/>
    <x v="1"/>
    <x v="0"/>
    <n v="3"/>
    <s v="Life Sciences"/>
    <n v="1"/>
    <n v="1668"/>
    <n v="4"/>
    <x v="1"/>
    <n v="90"/>
    <n v="3"/>
    <n v="2"/>
    <x v="1"/>
    <x v="0"/>
    <s v="Married"/>
    <n v="4735"/>
    <n v="9867"/>
    <n v="7"/>
    <s v="Y"/>
    <s v="No"/>
    <n v="15"/>
    <n v="3"/>
    <n v="4"/>
    <n v="80"/>
    <n v="2"/>
    <n v="19"/>
    <n v="4"/>
    <n v="4"/>
    <x v="20"/>
    <n v="11"/>
    <n v="2"/>
    <n v="9"/>
    <x v="0"/>
    <x v="0"/>
  </r>
  <r>
    <n v="29"/>
    <x v="1"/>
    <s v="Travel_Rarely"/>
    <n v="991"/>
    <x v="0"/>
    <x v="12"/>
    <n v="3"/>
    <s v="Medical"/>
    <n v="1"/>
    <n v="1669"/>
    <n v="1"/>
    <x v="1"/>
    <n v="43"/>
    <n v="2"/>
    <n v="2"/>
    <x v="0"/>
    <x v="1"/>
    <s v="Divorced"/>
    <n v="4187"/>
    <n v="3356"/>
    <n v="1"/>
    <s v="Y"/>
    <s v="Yes"/>
    <n v="13"/>
    <n v="3"/>
    <n v="2"/>
    <n v="80"/>
    <n v="1"/>
    <n v="10"/>
    <n v="3"/>
    <n v="2"/>
    <x v="1"/>
    <n v="0"/>
    <n v="0"/>
    <n v="9"/>
    <x v="2"/>
    <x v="0"/>
  </r>
  <r>
    <n v="33"/>
    <x v="1"/>
    <s v="Travel_Rarely"/>
    <n v="392"/>
    <x v="0"/>
    <x v="2"/>
    <n v="4"/>
    <s v="Medical"/>
    <n v="1"/>
    <n v="1670"/>
    <n v="4"/>
    <x v="1"/>
    <n v="93"/>
    <n v="3"/>
    <n v="2"/>
    <x v="0"/>
    <x v="0"/>
    <s v="Divorced"/>
    <n v="5505"/>
    <n v="3921"/>
    <n v="1"/>
    <s v="Y"/>
    <s v="No"/>
    <n v="14"/>
    <n v="3"/>
    <n v="3"/>
    <n v="80"/>
    <n v="2"/>
    <n v="6"/>
    <n v="5"/>
    <n v="3"/>
    <x v="0"/>
    <n v="2"/>
    <n v="0"/>
    <n v="4"/>
    <x v="2"/>
    <x v="0"/>
  </r>
  <r>
    <n v="32"/>
    <x v="1"/>
    <s v="Travel_Rarely"/>
    <n v="977"/>
    <x v="1"/>
    <x v="2"/>
    <n v="3"/>
    <s v="Medical"/>
    <n v="1"/>
    <n v="1671"/>
    <n v="4"/>
    <x v="1"/>
    <n v="45"/>
    <n v="3"/>
    <n v="2"/>
    <x v="1"/>
    <x v="1"/>
    <s v="Divorced"/>
    <n v="5470"/>
    <n v="25518"/>
    <n v="0"/>
    <s v="Y"/>
    <s v="No"/>
    <n v="13"/>
    <n v="3"/>
    <n v="3"/>
    <n v="80"/>
    <n v="2"/>
    <n v="10"/>
    <n v="4"/>
    <n v="2"/>
    <x v="7"/>
    <n v="5"/>
    <n v="1"/>
    <n v="6"/>
    <x v="2"/>
    <x v="0"/>
  </r>
  <r>
    <n v="31"/>
    <x v="1"/>
    <s v="Travel_Rarely"/>
    <n v="1112"/>
    <x v="0"/>
    <x v="12"/>
    <n v="4"/>
    <s v="Life Sciences"/>
    <n v="1"/>
    <n v="1673"/>
    <n v="1"/>
    <x v="0"/>
    <n v="67"/>
    <n v="3"/>
    <n v="2"/>
    <x v="0"/>
    <x v="0"/>
    <s v="Married"/>
    <n v="5476"/>
    <n v="22589"/>
    <n v="1"/>
    <s v="Y"/>
    <s v="No"/>
    <n v="11"/>
    <n v="3"/>
    <n v="1"/>
    <n v="80"/>
    <n v="2"/>
    <n v="10"/>
    <n v="2"/>
    <n v="3"/>
    <x v="1"/>
    <n v="0"/>
    <n v="0"/>
    <n v="2"/>
    <x v="2"/>
    <x v="0"/>
  </r>
  <r>
    <n v="49"/>
    <x v="1"/>
    <s v="Travel_Rarely"/>
    <n v="464"/>
    <x v="1"/>
    <x v="7"/>
    <n v="3"/>
    <s v="Medical"/>
    <n v="1"/>
    <n v="1674"/>
    <n v="4"/>
    <x v="0"/>
    <n v="74"/>
    <n v="3"/>
    <n v="1"/>
    <x v="2"/>
    <x v="3"/>
    <s v="Divorced"/>
    <n v="2587"/>
    <n v="24941"/>
    <n v="4"/>
    <s v="Y"/>
    <s v="Yes"/>
    <n v="16"/>
    <n v="3"/>
    <n v="2"/>
    <n v="80"/>
    <n v="1"/>
    <n v="17"/>
    <n v="2"/>
    <n v="2"/>
    <x v="4"/>
    <n v="2"/>
    <n v="2"/>
    <n v="2"/>
    <x v="1"/>
    <x v="1"/>
  </r>
  <r>
    <n v="38"/>
    <x v="1"/>
    <s v="Travel_Frequently"/>
    <n v="148"/>
    <x v="1"/>
    <x v="2"/>
    <n v="3"/>
    <s v="Medical"/>
    <n v="1"/>
    <n v="1675"/>
    <n v="4"/>
    <x v="0"/>
    <n v="42"/>
    <n v="2"/>
    <n v="1"/>
    <x v="2"/>
    <x v="1"/>
    <s v="Single"/>
    <n v="2440"/>
    <n v="23826"/>
    <n v="1"/>
    <s v="Y"/>
    <s v="No"/>
    <n v="22"/>
    <n v="4"/>
    <n v="2"/>
    <n v="80"/>
    <n v="0"/>
    <n v="4"/>
    <n v="3"/>
    <n v="3"/>
    <x v="9"/>
    <n v="3"/>
    <n v="3"/>
    <n v="3"/>
    <x v="0"/>
    <x v="1"/>
  </r>
  <r>
    <n v="47"/>
    <x v="1"/>
    <s v="Travel_Rarely"/>
    <n v="1225"/>
    <x v="0"/>
    <x v="2"/>
    <n v="4"/>
    <s v="Life Sciences"/>
    <n v="1"/>
    <n v="1676"/>
    <n v="2"/>
    <x v="0"/>
    <n v="47"/>
    <n v="4"/>
    <n v="4"/>
    <x v="5"/>
    <x v="1"/>
    <s v="Divorced"/>
    <n v="15972"/>
    <n v="21086"/>
    <n v="6"/>
    <s v="Y"/>
    <s v="No"/>
    <n v="14"/>
    <n v="3"/>
    <n v="3"/>
    <n v="80"/>
    <n v="3"/>
    <n v="29"/>
    <n v="2"/>
    <n v="3"/>
    <x v="11"/>
    <n v="2"/>
    <n v="1"/>
    <n v="2"/>
    <x v="1"/>
    <x v="3"/>
  </r>
  <r>
    <n v="49"/>
    <x v="1"/>
    <s v="Travel_Rarely"/>
    <n v="809"/>
    <x v="1"/>
    <x v="0"/>
    <n v="3"/>
    <s v="Life Sciences"/>
    <n v="1"/>
    <n v="1677"/>
    <n v="3"/>
    <x v="1"/>
    <n v="36"/>
    <n v="3"/>
    <n v="4"/>
    <x v="5"/>
    <x v="2"/>
    <s v="Single"/>
    <n v="15379"/>
    <n v="22384"/>
    <n v="4"/>
    <s v="Y"/>
    <s v="No"/>
    <n v="14"/>
    <n v="3"/>
    <n v="1"/>
    <n v="80"/>
    <n v="0"/>
    <n v="23"/>
    <n v="2"/>
    <n v="3"/>
    <x v="3"/>
    <n v="7"/>
    <n v="0"/>
    <n v="0"/>
    <x v="1"/>
    <x v="3"/>
  </r>
  <r>
    <n v="41"/>
    <x v="1"/>
    <s v="Travel_Rarely"/>
    <n v="1206"/>
    <x v="0"/>
    <x v="5"/>
    <n v="2"/>
    <s v="Life Sciences"/>
    <n v="1"/>
    <n v="1678"/>
    <n v="4"/>
    <x v="1"/>
    <n v="80"/>
    <n v="3"/>
    <n v="3"/>
    <x v="0"/>
    <x v="2"/>
    <s v="Single"/>
    <n v="7082"/>
    <n v="11591"/>
    <n v="3"/>
    <s v="Y"/>
    <s v="Yes"/>
    <n v="16"/>
    <n v="3"/>
    <n v="4"/>
    <n v="80"/>
    <n v="0"/>
    <n v="21"/>
    <n v="2"/>
    <n v="3"/>
    <x v="4"/>
    <n v="0"/>
    <n v="0"/>
    <n v="2"/>
    <x v="0"/>
    <x v="4"/>
  </r>
  <r>
    <n v="20"/>
    <x v="1"/>
    <s v="Travel_Rarely"/>
    <n v="727"/>
    <x v="0"/>
    <x v="14"/>
    <n v="1"/>
    <s v="Life Sciences"/>
    <n v="1"/>
    <n v="1680"/>
    <n v="4"/>
    <x v="1"/>
    <n v="54"/>
    <n v="3"/>
    <n v="1"/>
    <x v="6"/>
    <x v="3"/>
    <s v="Single"/>
    <n v="2728"/>
    <n v="21082"/>
    <n v="1"/>
    <s v="Y"/>
    <s v="No"/>
    <n v="11"/>
    <n v="3"/>
    <n v="1"/>
    <n v="80"/>
    <n v="0"/>
    <n v="2"/>
    <n v="3"/>
    <n v="3"/>
    <x v="4"/>
    <n v="2"/>
    <n v="0"/>
    <n v="2"/>
    <x v="4"/>
    <x v="1"/>
  </r>
  <r>
    <n v="33"/>
    <x v="1"/>
    <s v="Non-Travel"/>
    <n v="530"/>
    <x v="0"/>
    <x v="7"/>
    <n v="3"/>
    <s v="Life Sciences"/>
    <n v="1"/>
    <n v="1681"/>
    <n v="3"/>
    <x v="0"/>
    <n v="36"/>
    <n v="3"/>
    <n v="2"/>
    <x v="0"/>
    <x v="0"/>
    <s v="Divorced"/>
    <n v="5368"/>
    <n v="16130"/>
    <n v="1"/>
    <s v="Y"/>
    <s v="Yes"/>
    <n v="25"/>
    <n v="4"/>
    <n v="3"/>
    <n v="80"/>
    <n v="1"/>
    <n v="7"/>
    <n v="2"/>
    <n v="3"/>
    <x v="0"/>
    <n v="5"/>
    <n v="1"/>
    <n v="2"/>
    <x v="2"/>
    <x v="0"/>
  </r>
  <r>
    <n v="36"/>
    <x v="1"/>
    <s v="Travel_Rarely"/>
    <n v="1351"/>
    <x v="1"/>
    <x v="9"/>
    <n v="4"/>
    <s v="Life Sciences"/>
    <n v="1"/>
    <n v="1682"/>
    <n v="1"/>
    <x v="1"/>
    <n v="80"/>
    <n v="3"/>
    <n v="2"/>
    <x v="4"/>
    <x v="2"/>
    <s v="Married"/>
    <n v="5347"/>
    <n v="7419"/>
    <n v="6"/>
    <s v="Y"/>
    <s v="No"/>
    <n v="14"/>
    <n v="3"/>
    <n v="2"/>
    <n v="80"/>
    <n v="2"/>
    <n v="10"/>
    <n v="2"/>
    <n v="2"/>
    <x v="11"/>
    <n v="2"/>
    <n v="0"/>
    <n v="2"/>
    <x v="0"/>
    <x v="0"/>
  </r>
  <r>
    <n v="44"/>
    <x v="1"/>
    <s v="Travel_Rarely"/>
    <n v="528"/>
    <x v="2"/>
    <x v="0"/>
    <n v="3"/>
    <s v="Life Sciences"/>
    <n v="1"/>
    <n v="1683"/>
    <n v="3"/>
    <x v="0"/>
    <n v="44"/>
    <n v="3"/>
    <n v="1"/>
    <x v="8"/>
    <x v="0"/>
    <s v="Divorced"/>
    <n v="3195"/>
    <n v="4167"/>
    <n v="4"/>
    <s v="Y"/>
    <s v="Yes"/>
    <n v="18"/>
    <n v="3"/>
    <n v="1"/>
    <n v="80"/>
    <n v="3"/>
    <n v="8"/>
    <n v="2"/>
    <n v="3"/>
    <x v="4"/>
    <n v="2"/>
    <n v="2"/>
    <n v="2"/>
    <x v="0"/>
    <x v="0"/>
  </r>
  <r>
    <n v="23"/>
    <x v="0"/>
    <s v="Travel_Rarely"/>
    <n v="1320"/>
    <x v="1"/>
    <x v="1"/>
    <n v="1"/>
    <s v="Medical"/>
    <n v="1"/>
    <n v="1684"/>
    <n v="4"/>
    <x v="1"/>
    <n v="93"/>
    <n v="2"/>
    <n v="1"/>
    <x v="2"/>
    <x v="2"/>
    <s v="Single"/>
    <n v="3989"/>
    <n v="20586"/>
    <n v="1"/>
    <s v="Y"/>
    <s v="Yes"/>
    <n v="11"/>
    <n v="3"/>
    <n v="1"/>
    <n v="80"/>
    <n v="0"/>
    <n v="5"/>
    <n v="2"/>
    <n v="3"/>
    <x v="8"/>
    <n v="4"/>
    <n v="1"/>
    <n v="2"/>
    <x v="4"/>
    <x v="0"/>
  </r>
  <r>
    <n v="38"/>
    <x v="1"/>
    <s v="Travel_Rarely"/>
    <n v="1495"/>
    <x v="1"/>
    <x v="18"/>
    <n v="2"/>
    <s v="Medical"/>
    <n v="1"/>
    <n v="1687"/>
    <n v="4"/>
    <x v="0"/>
    <n v="87"/>
    <n v="3"/>
    <n v="1"/>
    <x v="2"/>
    <x v="2"/>
    <s v="Married"/>
    <n v="3306"/>
    <n v="26176"/>
    <n v="7"/>
    <s v="Y"/>
    <s v="No"/>
    <n v="19"/>
    <n v="3"/>
    <n v="4"/>
    <n v="80"/>
    <n v="1"/>
    <n v="7"/>
    <n v="5"/>
    <n v="2"/>
    <x v="2"/>
    <n v="0"/>
    <n v="0"/>
    <n v="0"/>
    <x v="0"/>
    <x v="0"/>
  </r>
  <r>
    <n v="53"/>
    <x v="1"/>
    <s v="Travel_Rarely"/>
    <n v="1395"/>
    <x v="1"/>
    <x v="4"/>
    <n v="4"/>
    <s v="Medical"/>
    <n v="1"/>
    <n v="1689"/>
    <n v="2"/>
    <x v="1"/>
    <n v="48"/>
    <n v="4"/>
    <n v="3"/>
    <x v="4"/>
    <x v="0"/>
    <s v="Married"/>
    <n v="7005"/>
    <n v="3458"/>
    <n v="3"/>
    <s v="Y"/>
    <s v="No"/>
    <n v="15"/>
    <n v="3"/>
    <n v="3"/>
    <n v="80"/>
    <n v="0"/>
    <n v="11"/>
    <n v="2"/>
    <n v="3"/>
    <x v="9"/>
    <n v="3"/>
    <n v="1"/>
    <n v="2"/>
    <x v="1"/>
    <x v="4"/>
  </r>
  <r>
    <n v="48"/>
    <x v="0"/>
    <s v="Travel_Frequently"/>
    <n v="708"/>
    <x v="0"/>
    <x v="15"/>
    <n v="2"/>
    <s v="Medical"/>
    <n v="1"/>
    <n v="1691"/>
    <n v="4"/>
    <x v="0"/>
    <n v="95"/>
    <n v="3"/>
    <n v="1"/>
    <x v="6"/>
    <x v="2"/>
    <s v="Married"/>
    <n v="2655"/>
    <n v="11740"/>
    <n v="2"/>
    <s v="Y"/>
    <s v="Yes"/>
    <n v="11"/>
    <n v="3"/>
    <n v="3"/>
    <n v="80"/>
    <n v="2"/>
    <n v="19"/>
    <n v="3"/>
    <n v="3"/>
    <x v="7"/>
    <n v="7"/>
    <n v="7"/>
    <n v="7"/>
    <x v="1"/>
    <x v="1"/>
  </r>
  <r>
    <n v="32"/>
    <x v="0"/>
    <s v="Travel_Rarely"/>
    <n v="1259"/>
    <x v="1"/>
    <x v="2"/>
    <n v="4"/>
    <s v="Life Sciences"/>
    <n v="1"/>
    <n v="1692"/>
    <n v="4"/>
    <x v="1"/>
    <n v="95"/>
    <n v="3"/>
    <n v="1"/>
    <x v="2"/>
    <x v="1"/>
    <s v="Single"/>
    <n v="1393"/>
    <n v="24852"/>
    <n v="1"/>
    <s v="Y"/>
    <s v="No"/>
    <n v="12"/>
    <n v="3"/>
    <n v="1"/>
    <n v="80"/>
    <n v="0"/>
    <n v="1"/>
    <n v="2"/>
    <n v="3"/>
    <x v="6"/>
    <n v="0"/>
    <n v="0"/>
    <n v="0"/>
    <x v="2"/>
    <x v="1"/>
  </r>
  <r>
    <n v="26"/>
    <x v="1"/>
    <s v="Non-Travel"/>
    <n v="786"/>
    <x v="1"/>
    <x v="15"/>
    <n v="3"/>
    <s v="Medical"/>
    <n v="1"/>
    <n v="1693"/>
    <n v="4"/>
    <x v="1"/>
    <n v="76"/>
    <n v="3"/>
    <n v="1"/>
    <x v="2"/>
    <x v="0"/>
    <s v="Single"/>
    <n v="2570"/>
    <n v="11925"/>
    <n v="1"/>
    <s v="Y"/>
    <s v="No"/>
    <n v="20"/>
    <n v="4"/>
    <n v="3"/>
    <n v="80"/>
    <n v="0"/>
    <n v="7"/>
    <n v="5"/>
    <n v="3"/>
    <x v="5"/>
    <n v="7"/>
    <n v="5"/>
    <n v="7"/>
    <x v="2"/>
    <x v="1"/>
  </r>
  <r>
    <n v="55"/>
    <x v="1"/>
    <s v="Travel_Rarely"/>
    <n v="1441"/>
    <x v="1"/>
    <x v="23"/>
    <n v="3"/>
    <s v="Technical Degree"/>
    <n v="1"/>
    <n v="1694"/>
    <n v="1"/>
    <x v="1"/>
    <n v="94"/>
    <n v="2"/>
    <n v="1"/>
    <x v="1"/>
    <x v="1"/>
    <s v="Divorced"/>
    <n v="3537"/>
    <n v="23737"/>
    <n v="5"/>
    <s v="Y"/>
    <s v="No"/>
    <n v="12"/>
    <n v="3"/>
    <n v="4"/>
    <n v="80"/>
    <n v="1"/>
    <n v="8"/>
    <n v="1"/>
    <n v="3"/>
    <x v="9"/>
    <n v="2"/>
    <n v="1"/>
    <n v="2"/>
    <x v="3"/>
    <x v="0"/>
  </r>
  <r>
    <n v="34"/>
    <x v="1"/>
    <s v="Travel_Rarely"/>
    <n v="1157"/>
    <x v="1"/>
    <x v="12"/>
    <n v="2"/>
    <s v="Medical"/>
    <n v="1"/>
    <n v="1696"/>
    <n v="2"/>
    <x v="1"/>
    <n v="57"/>
    <n v="2"/>
    <n v="2"/>
    <x v="2"/>
    <x v="0"/>
    <s v="Married"/>
    <n v="3986"/>
    <n v="11912"/>
    <n v="1"/>
    <s v="Y"/>
    <s v="No"/>
    <n v="14"/>
    <n v="3"/>
    <n v="3"/>
    <n v="80"/>
    <n v="1"/>
    <n v="15"/>
    <n v="3"/>
    <n v="4"/>
    <x v="15"/>
    <n v="10"/>
    <n v="4"/>
    <n v="13"/>
    <x v="2"/>
    <x v="0"/>
  </r>
  <r>
    <n v="60"/>
    <x v="1"/>
    <s v="Travel_Rarely"/>
    <n v="370"/>
    <x v="1"/>
    <x v="0"/>
    <n v="4"/>
    <s v="Medical"/>
    <n v="1"/>
    <n v="1697"/>
    <n v="3"/>
    <x v="1"/>
    <n v="92"/>
    <n v="1"/>
    <n v="3"/>
    <x v="4"/>
    <x v="0"/>
    <s v="Divorced"/>
    <n v="10883"/>
    <n v="20467"/>
    <n v="3"/>
    <s v="Y"/>
    <s v="No"/>
    <n v="20"/>
    <n v="4"/>
    <n v="3"/>
    <n v="80"/>
    <n v="1"/>
    <n v="19"/>
    <n v="2"/>
    <n v="4"/>
    <x v="6"/>
    <n v="0"/>
    <n v="0"/>
    <n v="0"/>
    <x v="3"/>
    <x v="2"/>
  </r>
  <r>
    <n v="33"/>
    <x v="1"/>
    <s v="Travel_Rarely"/>
    <n v="267"/>
    <x v="1"/>
    <x v="11"/>
    <n v="3"/>
    <s v="Medical"/>
    <n v="1"/>
    <n v="1698"/>
    <n v="2"/>
    <x v="1"/>
    <n v="79"/>
    <n v="4"/>
    <n v="1"/>
    <x v="2"/>
    <x v="1"/>
    <s v="Married"/>
    <n v="2028"/>
    <n v="13637"/>
    <n v="1"/>
    <s v="Y"/>
    <s v="No"/>
    <n v="18"/>
    <n v="3"/>
    <n v="4"/>
    <n v="80"/>
    <n v="3"/>
    <n v="14"/>
    <n v="6"/>
    <n v="3"/>
    <x v="13"/>
    <n v="11"/>
    <n v="2"/>
    <n v="13"/>
    <x v="2"/>
    <x v="1"/>
  </r>
  <r>
    <n v="37"/>
    <x v="1"/>
    <s v="Travel_Frequently"/>
    <n v="1278"/>
    <x v="0"/>
    <x v="0"/>
    <n v="4"/>
    <s v="Medical"/>
    <n v="1"/>
    <n v="1700"/>
    <n v="3"/>
    <x v="1"/>
    <n v="31"/>
    <n v="1"/>
    <n v="2"/>
    <x v="0"/>
    <x v="0"/>
    <s v="Divorced"/>
    <n v="9525"/>
    <n v="7677"/>
    <n v="1"/>
    <s v="Y"/>
    <s v="No"/>
    <n v="14"/>
    <n v="3"/>
    <n v="3"/>
    <n v="80"/>
    <n v="2"/>
    <n v="6"/>
    <n v="2"/>
    <n v="2"/>
    <x v="0"/>
    <n v="3"/>
    <n v="1"/>
    <n v="3"/>
    <x v="0"/>
    <x v="2"/>
  </r>
  <r>
    <n v="34"/>
    <x v="1"/>
    <s v="Travel_Rarely"/>
    <n v="678"/>
    <x v="1"/>
    <x v="10"/>
    <n v="3"/>
    <s v="Life Sciences"/>
    <n v="1"/>
    <n v="1701"/>
    <n v="2"/>
    <x v="0"/>
    <n v="35"/>
    <n v="2"/>
    <n v="1"/>
    <x v="1"/>
    <x v="0"/>
    <s v="Married"/>
    <n v="2929"/>
    <n v="20338"/>
    <n v="1"/>
    <s v="Y"/>
    <s v="No"/>
    <n v="12"/>
    <n v="3"/>
    <n v="2"/>
    <n v="80"/>
    <n v="0"/>
    <n v="10"/>
    <n v="3"/>
    <n v="3"/>
    <x v="1"/>
    <n v="9"/>
    <n v="8"/>
    <n v="7"/>
    <x v="2"/>
    <x v="1"/>
  </r>
  <r>
    <n v="23"/>
    <x v="0"/>
    <s v="Travel_Rarely"/>
    <n v="427"/>
    <x v="0"/>
    <x v="15"/>
    <n v="3"/>
    <s v="Life Sciences"/>
    <n v="1"/>
    <n v="1702"/>
    <n v="3"/>
    <x v="1"/>
    <n v="99"/>
    <n v="3"/>
    <n v="1"/>
    <x v="6"/>
    <x v="0"/>
    <s v="Divorced"/>
    <n v="2275"/>
    <n v="25103"/>
    <n v="1"/>
    <s v="Y"/>
    <s v="Yes"/>
    <n v="21"/>
    <n v="4"/>
    <n v="2"/>
    <n v="80"/>
    <n v="1"/>
    <n v="3"/>
    <n v="2"/>
    <n v="3"/>
    <x v="11"/>
    <n v="2"/>
    <n v="0"/>
    <n v="2"/>
    <x v="4"/>
    <x v="1"/>
  </r>
  <r>
    <n v="44"/>
    <x v="1"/>
    <s v="Travel_Rarely"/>
    <n v="921"/>
    <x v="1"/>
    <x v="2"/>
    <n v="3"/>
    <s v="Life Sciences"/>
    <n v="1"/>
    <n v="1703"/>
    <n v="3"/>
    <x v="0"/>
    <n v="96"/>
    <n v="4"/>
    <n v="3"/>
    <x v="4"/>
    <x v="0"/>
    <s v="Married"/>
    <n v="7879"/>
    <n v="14810"/>
    <n v="1"/>
    <s v="Y"/>
    <s v="Yes"/>
    <n v="19"/>
    <n v="3"/>
    <n v="2"/>
    <n v="80"/>
    <n v="1"/>
    <n v="9"/>
    <n v="2"/>
    <n v="3"/>
    <x v="3"/>
    <n v="7"/>
    <n v="6"/>
    <n v="7"/>
    <x v="0"/>
    <x v="4"/>
  </r>
  <r>
    <n v="35"/>
    <x v="1"/>
    <s v="Travel_Frequently"/>
    <n v="146"/>
    <x v="1"/>
    <x v="2"/>
    <n v="4"/>
    <s v="Medical"/>
    <n v="1"/>
    <n v="1704"/>
    <n v="1"/>
    <x v="1"/>
    <n v="79"/>
    <n v="2"/>
    <n v="1"/>
    <x v="1"/>
    <x v="0"/>
    <s v="Single"/>
    <n v="4930"/>
    <n v="13970"/>
    <n v="0"/>
    <s v="Y"/>
    <s v="Yes"/>
    <n v="14"/>
    <n v="3"/>
    <n v="3"/>
    <n v="80"/>
    <n v="0"/>
    <n v="6"/>
    <n v="2"/>
    <n v="4"/>
    <x v="8"/>
    <n v="4"/>
    <n v="1"/>
    <n v="4"/>
    <x v="0"/>
    <x v="0"/>
  </r>
  <r>
    <n v="43"/>
    <x v="1"/>
    <s v="Travel_Rarely"/>
    <n v="1179"/>
    <x v="0"/>
    <x v="2"/>
    <n v="3"/>
    <s v="Medical"/>
    <n v="1"/>
    <n v="1706"/>
    <n v="4"/>
    <x v="1"/>
    <n v="73"/>
    <n v="3"/>
    <n v="2"/>
    <x v="0"/>
    <x v="0"/>
    <s v="Married"/>
    <n v="7847"/>
    <n v="6069"/>
    <n v="1"/>
    <s v="Y"/>
    <s v="Yes"/>
    <n v="17"/>
    <n v="3"/>
    <n v="1"/>
    <n v="80"/>
    <n v="1"/>
    <n v="10"/>
    <n v="3"/>
    <n v="3"/>
    <x v="1"/>
    <n v="9"/>
    <n v="8"/>
    <n v="8"/>
    <x v="0"/>
    <x v="4"/>
  </r>
  <r>
    <n v="24"/>
    <x v="1"/>
    <s v="Travel_Rarely"/>
    <n v="581"/>
    <x v="1"/>
    <x v="14"/>
    <n v="3"/>
    <s v="Medical"/>
    <n v="1"/>
    <n v="1707"/>
    <n v="3"/>
    <x v="1"/>
    <n v="62"/>
    <n v="4"/>
    <n v="1"/>
    <x v="1"/>
    <x v="2"/>
    <s v="Married"/>
    <n v="4401"/>
    <n v="17616"/>
    <n v="1"/>
    <s v="Y"/>
    <s v="No"/>
    <n v="16"/>
    <n v="3"/>
    <n v="4"/>
    <n v="80"/>
    <n v="1"/>
    <n v="5"/>
    <n v="1"/>
    <n v="3"/>
    <x v="8"/>
    <n v="3"/>
    <n v="0"/>
    <n v="4"/>
    <x v="4"/>
    <x v="0"/>
  </r>
  <r>
    <n v="41"/>
    <x v="1"/>
    <s v="Travel_Rarely"/>
    <n v="918"/>
    <x v="0"/>
    <x v="16"/>
    <n v="3"/>
    <s v="Marketing"/>
    <n v="1"/>
    <n v="1708"/>
    <n v="4"/>
    <x v="1"/>
    <n v="35"/>
    <n v="3"/>
    <n v="3"/>
    <x v="0"/>
    <x v="2"/>
    <s v="Single"/>
    <n v="9241"/>
    <n v="15869"/>
    <n v="1"/>
    <s v="Y"/>
    <s v="No"/>
    <n v="12"/>
    <n v="3"/>
    <n v="2"/>
    <n v="80"/>
    <n v="0"/>
    <n v="10"/>
    <n v="3"/>
    <n v="3"/>
    <x v="1"/>
    <n v="8"/>
    <n v="8"/>
    <n v="7"/>
    <x v="0"/>
    <x v="2"/>
  </r>
  <r>
    <n v="29"/>
    <x v="1"/>
    <s v="Travel_Rarely"/>
    <n v="1082"/>
    <x v="1"/>
    <x v="14"/>
    <n v="4"/>
    <s v="Medical"/>
    <n v="1"/>
    <n v="1709"/>
    <n v="4"/>
    <x v="0"/>
    <n v="43"/>
    <n v="3"/>
    <n v="1"/>
    <x v="2"/>
    <x v="2"/>
    <s v="Married"/>
    <n v="2974"/>
    <n v="25412"/>
    <n v="9"/>
    <s v="Y"/>
    <s v="No"/>
    <n v="17"/>
    <n v="3"/>
    <n v="3"/>
    <n v="80"/>
    <n v="1"/>
    <n v="9"/>
    <n v="2"/>
    <n v="3"/>
    <x v="8"/>
    <n v="3"/>
    <n v="1"/>
    <n v="2"/>
    <x v="2"/>
    <x v="1"/>
  </r>
  <r>
    <n v="36"/>
    <x v="1"/>
    <s v="Travel_Rarely"/>
    <n v="530"/>
    <x v="0"/>
    <x v="2"/>
    <n v="4"/>
    <s v="Life Sciences"/>
    <n v="1"/>
    <n v="1710"/>
    <n v="3"/>
    <x v="0"/>
    <n v="51"/>
    <n v="3"/>
    <n v="2"/>
    <x v="6"/>
    <x v="0"/>
    <s v="Single"/>
    <n v="4502"/>
    <n v="7439"/>
    <n v="3"/>
    <s v="Y"/>
    <s v="No"/>
    <n v="15"/>
    <n v="3"/>
    <n v="3"/>
    <n v="80"/>
    <n v="0"/>
    <n v="17"/>
    <n v="2"/>
    <n v="2"/>
    <x v="20"/>
    <n v="7"/>
    <n v="6"/>
    <n v="7"/>
    <x v="0"/>
    <x v="0"/>
  </r>
  <r>
    <n v="45"/>
    <x v="1"/>
    <s v="Non-Travel"/>
    <n v="1238"/>
    <x v="1"/>
    <x v="0"/>
    <n v="1"/>
    <s v="Life Sciences"/>
    <n v="1"/>
    <n v="1712"/>
    <n v="3"/>
    <x v="1"/>
    <n v="74"/>
    <n v="2"/>
    <n v="3"/>
    <x v="4"/>
    <x v="2"/>
    <s v="Married"/>
    <n v="10748"/>
    <n v="3395"/>
    <n v="3"/>
    <s v="Y"/>
    <s v="No"/>
    <n v="23"/>
    <n v="4"/>
    <n v="4"/>
    <n v="80"/>
    <n v="1"/>
    <n v="25"/>
    <n v="3"/>
    <n v="2"/>
    <x v="36"/>
    <n v="15"/>
    <n v="14"/>
    <n v="4"/>
    <x v="1"/>
    <x v="2"/>
  </r>
  <r>
    <n v="24"/>
    <x v="0"/>
    <s v="Travel_Rarely"/>
    <n v="240"/>
    <x v="2"/>
    <x v="23"/>
    <n v="1"/>
    <s v="Human Resources"/>
    <n v="1"/>
    <n v="1714"/>
    <n v="4"/>
    <x v="1"/>
    <n v="58"/>
    <n v="1"/>
    <n v="1"/>
    <x v="8"/>
    <x v="2"/>
    <s v="Married"/>
    <n v="1555"/>
    <n v="11585"/>
    <n v="1"/>
    <s v="Y"/>
    <s v="No"/>
    <n v="11"/>
    <n v="3"/>
    <n v="3"/>
    <n v="80"/>
    <n v="1"/>
    <n v="1"/>
    <n v="2"/>
    <n v="3"/>
    <x v="6"/>
    <n v="0"/>
    <n v="0"/>
    <n v="0"/>
    <x v="4"/>
    <x v="1"/>
  </r>
  <r>
    <n v="47"/>
    <x v="0"/>
    <s v="Travel_Frequently"/>
    <n v="1093"/>
    <x v="0"/>
    <x v="14"/>
    <n v="3"/>
    <s v="Life Sciences"/>
    <n v="1"/>
    <n v="1716"/>
    <n v="3"/>
    <x v="1"/>
    <n v="82"/>
    <n v="1"/>
    <n v="4"/>
    <x v="0"/>
    <x v="2"/>
    <s v="Married"/>
    <n v="12936"/>
    <n v="24164"/>
    <n v="7"/>
    <s v="Y"/>
    <s v="No"/>
    <n v="11"/>
    <n v="3"/>
    <n v="3"/>
    <n v="80"/>
    <n v="0"/>
    <n v="25"/>
    <n v="3"/>
    <n v="1"/>
    <x v="36"/>
    <n v="5"/>
    <n v="14"/>
    <n v="10"/>
    <x v="1"/>
    <x v="3"/>
  </r>
  <r>
    <n v="26"/>
    <x v="1"/>
    <s v="Travel_Rarely"/>
    <n v="390"/>
    <x v="1"/>
    <x v="27"/>
    <n v="4"/>
    <s v="Medical"/>
    <n v="1"/>
    <n v="1718"/>
    <n v="4"/>
    <x v="1"/>
    <n v="62"/>
    <n v="1"/>
    <n v="1"/>
    <x v="2"/>
    <x v="2"/>
    <s v="Married"/>
    <n v="2305"/>
    <n v="6217"/>
    <n v="1"/>
    <s v="Y"/>
    <s v="No"/>
    <n v="15"/>
    <n v="3"/>
    <n v="3"/>
    <n v="80"/>
    <n v="3"/>
    <n v="3"/>
    <n v="3"/>
    <n v="4"/>
    <x v="11"/>
    <n v="2"/>
    <n v="0"/>
    <n v="2"/>
    <x v="2"/>
    <x v="1"/>
  </r>
  <r>
    <n v="45"/>
    <x v="1"/>
    <s v="Travel_Rarely"/>
    <n v="1005"/>
    <x v="1"/>
    <x v="26"/>
    <n v="2"/>
    <s v="Technical Degree"/>
    <n v="1"/>
    <n v="1719"/>
    <n v="4"/>
    <x v="0"/>
    <n v="48"/>
    <n v="2"/>
    <n v="4"/>
    <x v="7"/>
    <x v="1"/>
    <s v="Single"/>
    <n v="16704"/>
    <n v="17119"/>
    <n v="1"/>
    <s v="Y"/>
    <s v="No"/>
    <n v="11"/>
    <n v="3"/>
    <n v="3"/>
    <n v="80"/>
    <n v="0"/>
    <n v="21"/>
    <n v="2"/>
    <n v="3"/>
    <x v="17"/>
    <n v="6"/>
    <n v="8"/>
    <n v="6"/>
    <x v="1"/>
    <x v="3"/>
  </r>
  <r>
    <n v="32"/>
    <x v="1"/>
    <s v="Travel_Frequently"/>
    <n v="585"/>
    <x v="1"/>
    <x v="17"/>
    <n v="3"/>
    <s v="Life Sciences"/>
    <n v="1"/>
    <n v="1720"/>
    <n v="1"/>
    <x v="1"/>
    <n v="56"/>
    <n v="3"/>
    <n v="1"/>
    <x v="1"/>
    <x v="2"/>
    <s v="Married"/>
    <n v="3433"/>
    <n v="17360"/>
    <n v="6"/>
    <s v="Y"/>
    <s v="No"/>
    <n v="13"/>
    <n v="3"/>
    <n v="1"/>
    <n v="80"/>
    <n v="1"/>
    <n v="10"/>
    <n v="3"/>
    <n v="2"/>
    <x v="8"/>
    <n v="2"/>
    <n v="1"/>
    <n v="3"/>
    <x v="2"/>
    <x v="0"/>
  </r>
  <r>
    <n v="31"/>
    <x v="1"/>
    <s v="Travel_Rarely"/>
    <n v="741"/>
    <x v="1"/>
    <x v="2"/>
    <n v="4"/>
    <s v="Life Sciences"/>
    <n v="1"/>
    <n v="1721"/>
    <n v="2"/>
    <x v="1"/>
    <n v="69"/>
    <n v="3"/>
    <n v="1"/>
    <x v="2"/>
    <x v="2"/>
    <s v="Married"/>
    <n v="3477"/>
    <n v="18103"/>
    <n v="1"/>
    <s v="Y"/>
    <s v="No"/>
    <n v="14"/>
    <n v="3"/>
    <n v="4"/>
    <n v="80"/>
    <n v="1"/>
    <n v="6"/>
    <n v="2"/>
    <n v="4"/>
    <x v="8"/>
    <n v="2"/>
    <n v="0"/>
    <n v="3"/>
    <x v="2"/>
    <x v="0"/>
  </r>
  <r>
    <n v="41"/>
    <x v="1"/>
    <s v="Non-Travel"/>
    <n v="552"/>
    <x v="2"/>
    <x v="18"/>
    <n v="3"/>
    <s v="Human Resources"/>
    <n v="1"/>
    <n v="1722"/>
    <n v="3"/>
    <x v="1"/>
    <n v="60"/>
    <n v="1"/>
    <n v="2"/>
    <x v="8"/>
    <x v="1"/>
    <s v="Married"/>
    <n v="6430"/>
    <n v="20794"/>
    <n v="6"/>
    <s v="Y"/>
    <s v="No"/>
    <n v="19"/>
    <n v="3"/>
    <n v="2"/>
    <n v="80"/>
    <n v="1"/>
    <n v="10"/>
    <n v="4"/>
    <n v="3"/>
    <x v="11"/>
    <n v="2"/>
    <n v="1"/>
    <n v="2"/>
    <x v="0"/>
    <x v="4"/>
  </r>
  <r>
    <n v="40"/>
    <x v="1"/>
    <s v="Travel_Rarely"/>
    <n v="369"/>
    <x v="1"/>
    <x v="1"/>
    <n v="2"/>
    <s v="Life Sciences"/>
    <n v="1"/>
    <n v="1724"/>
    <n v="2"/>
    <x v="0"/>
    <n v="92"/>
    <n v="3"/>
    <n v="2"/>
    <x v="3"/>
    <x v="3"/>
    <s v="Married"/>
    <n v="6516"/>
    <n v="5041"/>
    <n v="2"/>
    <s v="Y"/>
    <s v="Yes"/>
    <n v="16"/>
    <n v="3"/>
    <n v="2"/>
    <n v="80"/>
    <n v="1"/>
    <n v="18"/>
    <n v="3"/>
    <n v="3"/>
    <x v="6"/>
    <n v="0"/>
    <n v="0"/>
    <n v="0"/>
    <x v="0"/>
    <x v="4"/>
  </r>
  <r>
    <n v="24"/>
    <x v="1"/>
    <s v="Travel_Rarely"/>
    <n v="506"/>
    <x v="1"/>
    <x v="22"/>
    <n v="1"/>
    <s v="Medical"/>
    <n v="1"/>
    <n v="1725"/>
    <n v="2"/>
    <x v="1"/>
    <n v="91"/>
    <n v="3"/>
    <n v="1"/>
    <x v="2"/>
    <x v="3"/>
    <s v="Divorced"/>
    <n v="3907"/>
    <n v="3622"/>
    <n v="1"/>
    <s v="Y"/>
    <s v="No"/>
    <n v="13"/>
    <n v="3"/>
    <n v="2"/>
    <n v="80"/>
    <n v="3"/>
    <n v="6"/>
    <n v="2"/>
    <n v="4"/>
    <x v="0"/>
    <n v="2"/>
    <n v="1"/>
    <n v="2"/>
    <x v="4"/>
    <x v="0"/>
  </r>
  <r>
    <n v="46"/>
    <x v="1"/>
    <s v="Travel_Rarely"/>
    <n v="717"/>
    <x v="1"/>
    <x v="28"/>
    <n v="4"/>
    <s v="Life Sciences"/>
    <n v="1"/>
    <n v="1727"/>
    <n v="3"/>
    <x v="1"/>
    <n v="34"/>
    <n v="3"/>
    <n v="2"/>
    <x v="4"/>
    <x v="1"/>
    <s v="Single"/>
    <n v="5562"/>
    <n v="9697"/>
    <n v="6"/>
    <s v="Y"/>
    <s v="No"/>
    <n v="14"/>
    <n v="3"/>
    <n v="4"/>
    <n v="80"/>
    <n v="0"/>
    <n v="19"/>
    <n v="3"/>
    <n v="3"/>
    <x v="1"/>
    <n v="7"/>
    <n v="0"/>
    <n v="9"/>
    <x v="1"/>
    <x v="0"/>
  </r>
  <r>
    <n v="35"/>
    <x v="1"/>
    <s v="Travel_Rarely"/>
    <n v="1370"/>
    <x v="1"/>
    <x v="6"/>
    <n v="4"/>
    <s v="Life Sciences"/>
    <n v="1"/>
    <n v="1728"/>
    <n v="4"/>
    <x v="1"/>
    <n v="49"/>
    <n v="3"/>
    <n v="2"/>
    <x v="3"/>
    <x v="2"/>
    <s v="Married"/>
    <n v="6883"/>
    <n v="5151"/>
    <n v="2"/>
    <s v="Y"/>
    <s v="No"/>
    <n v="16"/>
    <n v="3"/>
    <n v="2"/>
    <n v="80"/>
    <n v="1"/>
    <n v="17"/>
    <n v="3"/>
    <n v="3"/>
    <x v="5"/>
    <n v="7"/>
    <n v="0"/>
    <n v="7"/>
    <x v="0"/>
    <x v="4"/>
  </r>
  <r>
    <n v="30"/>
    <x v="1"/>
    <s v="Travel_Rarely"/>
    <n v="793"/>
    <x v="1"/>
    <x v="7"/>
    <n v="1"/>
    <s v="Life Sciences"/>
    <n v="1"/>
    <n v="1729"/>
    <n v="2"/>
    <x v="1"/>
    <n v="33"/>
    <n v="3"/>
    <n v="1"/>
    <x v="1"/>
    <x v="0"/>
    <s v="Married"/>
    <n v="2862"/>
    <n v="3811"/>
    <n v="1"/>
    <s v="Y"/>
    <s v="No"/>
    <n v="12"/>
    <n v="3"/>
    <n v="2"/>
    <n v="80"/>
    <n v="1"/>
    <n v="10"/>
    <n v="2"/>
    <n v="2"/>
    <x v="1"/>
    <n v="0"/>
    <n v="0"/>
    <n v="8"/>
    <x v="2"/>
    <x v="1"/>
  </r>
  <r>
    <n v="47"/>
    <x v="1"/>
    <s v="Non-Travel"/>
    <n v="543"/>
    <x v="0"/>
    <x v="2"/>
    <n v="4"/>
    <s v="Marketing"/>
    <n v="1"/>
    <n v="1731"/>
    <n v="3"/>
    <x v="1"/>
    <n v="87"/>
    <n v="3"/>
    <n v="2"/>
    <x v="0"/>
    <x v="1"/>
    <s v="Married"/>
    <n v="4978"/>
    <n v="3536"/>
    <n v="7"/>
    <s v="Y"/>
    <s v="No"/>
    <n v="11"/>
    <n v="3"/>
    <n v="4"/>
    <n v="80"/>
    <n v="1"/>
    <n v="4"/>
    <n v="3"/>
    <n v="1"/>
    <x v="6"/>
    <n v="0"/>
    <n v="0"/>
    <n v="0"/>
    <x v="1"/>
    <x v="0"/>
  </r>
  <r>
    <n v="46"/>
    <x v="1"/>
    <s v="Travel_Rarely"/>
    <n v="1277"/>
    <x v="0"/>
    <x v="2"/>
    <n v="3"/>
    <s v="Life Sciences"/>
    <n v="1"/>
    <n v="1732"/>
    <n v="3"/>
    <x v="1"/>
    <n v="74"/>
    <n v="3"/>
    <n v="3"/>
    <x v="0"/>
    <x v="0"/>
    <s v="Divorced"/>
    <n v="10368"/>
    <n v="5596"/>
    <n v="4"/>
    <s v="Y"/>
    <s v="Yes"/>
    <n v="12"/>
    <n v="3"/>
    <n v="2"/>
    <n v="80"/>
    <n v="1"/>
    <n v="13"/>
    <n v="5"/>
    <n v="2"/>
    <x v="1"/>
    <n v="6"/>
    <n v="0"/>
    <n v="3"/>
    <x v="1"/>
    <x v="2"/>
  </r>
  <r>
    <n v="36"/>
    <x v="0"/>
    <s v="Travel_Rarely"/>
    <n v="1456"/>
    <x v="0"/>
    <x v="28"/>
    <n v="5"/>
    <s v="Marketing"/>
    <n v="1"/>
    <n v="1733"/>
    <n v="2"/>
    <x v="1"/>
    <n v="96"/>
    <n v="2"/>
    <n v="2"/>
    <x v="0"/>
    <x v="3"/>
    <s v="Divorced"/>
    <n v="6134"/>
    <n v="8658"/>
    <n v="5"/>
    <s v="Y"/>
    <s v="Yes"/>
    <n v="13"/>
    <n v="3"/>
    <n v="2"/>
    <n v="80"/>
    <n v="3"/>
    <n v="16"/>
    <n v="3"/>
    <n v="3"/>
    <x v="4"/>
    <n v="2"/>
    <n v="2"/>
    <n v="2"/>
    <x v="0"/>
    <x v="4"/>
  </r>
  <r>
    <n v="32"/>
    <x v="0"/>
    <s v="Travel_Rarely"/>
    <n v="964"/>
    <x v="0"/>
    <x v="0"/>
    <n v="2"/>
    <s v="Life Sciences"/>
    <n v="1"/>
    <n v="1734"/>
    <n v="1"/>
    <x v="1"/>
    <n v="34"/>
    <n v="1"/>
    <n v="2"/>
    <x v="0"/>
    <x v="1"/>
    <s v="Single"/>
    <n v="6735"/>
    <n v="12147"/>
    <n v="6"/>
    <s v="Y"/>
    <s v="No"/>
    <n v="15"/>
    <n v="3"/>
    <n v="2"/>
    <n v="80"/>
    <n v="0"/>
    <n v="10"/>
    <n v="2"/>
    <n v="3"/>
    <x v="2"/>
    <n v="0"/>
    <n v="0"/>
    <n v="0"/>
    <x v="2"/>
    <x v="4"/>
  </r>
  <r>
    <n v="23"/>
    <x v="1"/>
    <s v="Travel_Rarely"/>
    <n v="160"/>
    <x v="1"/>
    <x v="18"/>
    <n v="1"/>
    <s v="Medical"/>
    <n v="1"/>
    <n v="1735"/>
    <n v="3"/>
    <x v="0"/>
    <n v="51"/>
    <n v="3"/>
    <n v="1"/>
    <x v="2"/>
    <x v="1"/>
    <s v="Single"/>
    <n v="3295"/>
    <n v="12862"/>
    <n v="1"/>
    <s v="Y"/>
    <s v="No"/>
    <n v="13"/>
    <n v="3"/>
    <n v="3"/>
    <n v="80"/>
    <n v="0"/>
    <n v="3"/>
    <n v="3"/>
    <n v="1"/>
    <x v="11"/>
    <n v="2"/>
    <n v="1"/>
    <n v="2"/>
    <x v="4"/>
    <x v="0"/>
  </r>
  <r>
    <n v="31"/>
    <x v="1"/>
    <s v="Travel_Frequently"/>
    <n v="163"/>
    <x v="1"/>
    <x v="4"/>
    <n v="1"/>
    <s v="Technical Degree"/>
    <n v="1"/>
    <n v="1736"/>
    <n v="4"/>
    <x v="0"/>
    <n v="30"/>
    <n v="3"/>
    <n v="2"/>
    <x v="3"/>
    <x v="0"/>
    <s v="Single"/>
    <n v="5238"/>
    <n v="6670"/>
    <n v="2"/>
    <s v="Y"/>
    <s v="No"/>
    <n v="20"/>
    <n v="4"/>
    <n v="4"/>
    <n v="80"/>
    <n v="0"/>
    <n v="9"/>
    <n v="3"/>
    <n v="2"/>
    <x v="8"/>
    <n v="4"/>
    <n v="1"/>
    <n v="4"/>
    <x v="2"/>
    <x v="0"/>
  </r>
  <r>
    <n v="39"/>
    <x v="1"/>
    <s v="Non-Travel"/>
    <n v="792"/>
    <x v="1"/>
    <x v="0"/>
    <n v="3"/>
    <s v="Life Sciences"/>
    <n v="1"/>
    <n v="1737"/>
    <n v="4"/>
    <x v="1"/>
    <n v="77"/>
    <n v="3"/>
    <n v="2"/>
    <x v="2"/>
    <x v="0"/>
    <s v="Married"/>
    <n v="6472"/>
    <n v="8989"/>
    <n v="1"/>
    <s v="Y"/>
    <s v="Yes"/>
    <n v="15"/>
    <n v="3"/>
    <n v="4"/>
    <n v="80"/>
    <n v="1"/>
    <n v="9"/>
    <n v="2"/>
    <n v="3"/>
    <x v="7"/>
    <n v="8"/>
    <n v="5"/>
    <n v="8"/>
    <x v="0"/>
    <x v="4"/>
  </r>
  <r>
    <n v="32"/>
    <x v="1"/>
    <s v="Travel_Rarely"/>
    <n v="371"/>
    <x v="0"/>
    <x v="10"/>
    <n v="3"/>
    <s v="Life Sciences"/>
    <n v="1"/>
    <n v="1739"/>
    <n v="4"/>
    <x v="1"/>
    <n v="80"/>
    <n v="1"/>
    <n v="3"/>
    <x v="0"/>
    <x v="2"/>
    <s v="Married"/>
    <n v="9610"/>
    <n v="3840"/>
    <n v="3"/>
    <s v="Y"/>
    <s v="No"/>
    <n v="13"/>
    <n v="3"/>
    <n v="3"/>
    <n v="80"/>
    <n v="1"/>
    <n v="10"/>
    <n v="2"/>
    <n v="1"/>
    <x v="9"/>
    <n v="3"/>
    <n v="0"/>
    <n v="2"/>
    <x v="2"/>
    <x v="2"/>
  </r>
  <r>
    <n v="40"/>
    <x v="1"/>
    <s v="Travel_Rarely"/>
    <n v="611"/>
    <x v="0"/>
    <x v="15"/>
    <n v="4"/>
    <s v="Medical"/>
    <n v="1"/>
    <n v="1740"/>
    <n v="2"/>
    <x v="1"/>
    <n v="88"/>
    <n v="3"/>
    <n v="5"/>
    <x v="5"/>
    <x v="1"/>
    <s v="Single"/>
    <n v="19833"/>
    <n v="4349"/>
    <n v="1"/>
    <s v="Y"/>
    <s v="No"/>
    <n v="14"/>
    <n v="3"/>
    <n v="2"/>
    <n v="80"/>
    <n v="0"/>
    <n v="21"/>
    <n v="3"/>
    <n v="2"/>
    <x v="17"/>
    <n v="8"/>
    <n v="12"/>
    <n v="8"/>
    <x v="0"/>
    <x v="3"/>
  </r>
  <r>
    <n v="45"/>
    <x v="1"/>
    <s v="Travel_Rarely"/>
    <n v="176"/>
    <x v="2"/>
    <x v="18"/>
    <n v="3"/>
    <s v="Life Sciences"/>
    <n v="1"/>
    <n v="1744"/>
    <n v="3"/>
    <x v="0"/>
    <n v="56"/>
    <n v="1"/>
    <n v="3"/>
    <x v="8"/>
    <x v="2"/>
    <s v="Married"/>
    <n v="9756"/>
    <n v="6595"/>
    <n v="4"/>
    <s v="Y"/>
    <s v="No"/>
    <n v="21"/>
    <n v="4"/>
    <n v="3"/>
    <n v="80"/>
    <n v="2"/>
    <n v="9"/>
    <n v="2"/>
    <n v="4"/>
    <x v="8"/>
    <n v="0"/>
    <n v="0"/>
    <n v="3"/>
    <x v="1"/>
    <x v="2"/>
  </r>
  <r>
    <n v="30"/>
    <x v="1"/>
    <s v="Travel_Frequently"/>
    <n v="1312"/>
    <x v="1"/>
    <x v="2"/>
    <n v="4"/>
    <s v="Technical Degree"/>
    <n v="1"/>
    <n v="1745"/>
    <n v="4"/>
    <x v="0"/>
    <n v="78"/>
    <n v="2"/>
    <n v="1"/>
    <x v="1"/>
    <x v="3"/>
    <s v="Single"/>
    <n v="4968"/>
    <n v="26427"/>
    <n v="0"/>
    <s v="Y"/>
    <s v="No"/>
    <n v="16"/>
    <n v="3"/>
    <n v="4"/>
    <n v="80"/>
    <n v="0"/>
    <n v="10"/>
    <n v="2"/>
    <n v="3"/>
    <x v="7"/>
    <n v="7"/>
    <n v="0"/>
    <n v="7"/>
    <x v="2"/>
    <x v="0"/>
  </r>
  <r>
    <n v="24"/>
    <x v="1"/>
    <s v="Travel_Frequently"/>
    <n v="897"/>
    <x v="2"/>
    <x v="17"/>
    <n v="3"/>
    <s v="Medical"/>
    <n v="1"/>
    <n v="1746"/>
    <n v="1"/>
    <x v="1"/>
    <n v="59"/>
    <n v="3"/>
    <n v="1"/>
    <x v="8"/>
    <x v="0"/>
    <s v="Married"/>
    <n v="2145"/>
    <n v="2097"/>
    <n v="0"/>
    <s v="Y"/>
    <s v="No"/>
    <n v="14"/>
    <n v="3"/>
    <n v="4"/>
    <n v="80"/>
    <n v="1"/>
    <n v="3"/>
    <n v="2"/>
    <n v="3"/>
    <x v="4"/>
    <n v="2"/>
    <n v="2"/>
    <n v="1"/>
    <x v="4"/>
    <x v="1"/>
  </r>
  <r>
    <n v="30"/>
    <x v="0"/>
    <s v="Travel_Frequently"/>
    <n v="600"/>
    <x v="2"/>
    <x v="1"/>
    <n v="3"/>
    <s v="Human Resources"/>
    <n v="1"/>
    <n v="1747"/>
    <n v="3"/>
    <x v="0"/>
    <n v="66"/>
    <n v="2"/>
    <n v="1"/>
    <x v="8"/>
    <x v="0"/>
    <s v="Divorced"/>
    <n v="2180"/>
    <n v="9732"/>
    <n v="6"/>
    <s v="Y"/>
    <s v="No"/>
    <n v="11"/>
    <n v="3"/>
    <n v="3"/>
    <n v="80"/>
    <n v="1"/>
    <n v="6"/>
    <n v="0"/>
    <n v="2"/>
    <x v="9"/>
    <n v="2"/>
    <n v="1"/>
    <n v="2"/>
    <x v="2"/>
    <x v="1"/>
  </r>
  <r>
    <n v="31"/>
    <x v="1"/>
    <s v="Travel_Rarely"/>
    <n v="1003"/>
    <x v="0"/>
    <x v="12"/>
    <n v="3"/>
    <s v="Technical Degree"/>
    <n v="1"/>
    <n v="1749"/>
    <n v="1"/>
    <x v="1"/>
    <n v="51"/>
    <n v="3"/>
    <n v="2"/>
    <x v="0"/>
    <x v="2"/>
    <s v="Married"/>
    <n v="8346"/>
    <n v="20943"/>
    <n v="1"/>
    <s v="Y"/>
    <s v="No"/>
    <n v="19"/>
    <n v="3"/>
    <n v="3"/>
    <n v="80"/>
    <n v="1"/>
    <n v="6"/>
    <n v="3"/>
    <n v="3"/>
    <x v="8"/>
    <n v="2"/>
    <n v="0"/>
    <n v="2"/>
    <x v="2"/>
    <x v="4"/>
  </r>
  <r>
    <n v="27"/>
    <x v="1"/>
    <s v="Travel_Rarely"/>
    <n v="1054"/>
    <x v="1"/>
    <x v="1"/>
    <n v="3"/>
    <s v="Medical"/>
    <n v="1"/>
    <n v="1751"/>
    <n v="3"/>
    <x v="0"/>
    <n v="67"/>
    <n v="3"/>
    <n v="1"/>
    <x v="1"/>
    <x v="0"/>
    <s v="Single"/>
    <n v="3445"/>
    <n v="6152"/>
    <n v="1"/>
    <s v="Y"/>
    <s v="No"/>
    <n v="11"/>
    <n v="3"/>
    <n v="3"/>
    <n v="80"/>
    <n v="0"/>
    <n v="6"/>
    <n v="5"/>
    <n v="2"/>
    <x v="0"/>
    <n v="2"/>
    <n v="1"/>
    <n v="4"/>
    <x v="2"/>
    <x v="0"/>
  </r>
  <r>
    <n v="29"/>
    <x v="0"/>
    <s v="Travel_Rarely"/>
    <n v="428"/>
    <x v="0"/>
    <x v="14"/>
    <n v="3"/>
    <s v="Marketing"/>
    <n v="1"/>
    <n v="1752"/>
    <n v="2"/>
    <x v="0"/>
    <n v="52"/>
    <n v="1"/>
    <n v="1"/>
    <x v="6"/>
    <x v="1"/>
    <s v="Single"/>
    <n v="2760"/>
    <n v="14630"/>
    <n v="1"/>
    <s v="Y"/>
    <s v="No"/>
    <n v="13"/>
    <n v="3"/>
    <n v="3"/>
    <n v="80"/>
    <n v="0"/>
    <n v="2"/>
    <n v="3"/>
    <n v="3"/>
    <x v="4"/>
    <n v="2"/>
    <n v="2"/>
    <n v="2"/>
    <x v="2"/>
    <x v="1"/>
  </r>
  <r>
    <n v="29"/>
    <x v="1"/>
    <s v="Travel_Frequently"/>
    <n v="461"/>
    <x v="1"/>
    <x v="0"/>
    <n v="3"/>
    <s v="Life Sciences"/>
    <n v="1"/>
    <n v="1753"/>
    <n v="4"/>
    <x v="1"/>
    <n v="70"/>
    <n v="4"/>
    <n v="2"/>
    <x v="4"/>
    <x v="2"/>
    <s v="Single"/>
    <n v="6294"/>
    <n v="23060"/>
    <n v="8"/>
    <s v="Y"/>
    <s v="Yes"/>
    <n v="12"/>
    <n v="3"/>
    <n v="4"/>
    <n v="80"/>
    <n v="0"/>
    <n v="10"/>
    <n v="5"/>
    <n v="4"/>
    <x v="11"/>
    <n v="2"/>
    <n v="0"/>
    <n v="2"/>
    <x v="2"/>
    <x v="4"/>
  </r>
  <r>
    <n v="30"/>
    <x v="1"/>
    <s v="Travel_Rarely"/>
    <n v="979"/>
    <x v="0"/>
    <x v="8"/>
    <n v="2"/>
    <s v="Marketing"/>
    <n v="1"/>
    <n v="1754"/>
    <n v="3"/>
    <x v="1"/>
    <n v="94"/>
    <n v="2"/>
    <n v="3"/>
    <x v="0"/>
    <x v="3"/>
    <s v="Divorced"/>
    <n v="7140"/>
    <n v="3088"/>
    <n v="2"/>
    <s v="Y"/>
    <s v="No"/>
    <n v="11"/>
    <n v="3"/>
    <n v="1"/>
    <n v="80"/>
    <n v="1"/>
    <n v="12"/>
    <n v="2"/>
    <n v="3"/>
    <x v="5"/>
    <n v="7"/>
    <n v="1"/>
    <n v="7"/>
    <x v="2"/>
    <x v="4"/>
  </r>
  <r>
    <n v="34"/>
    <x v="1"/>
    <s v="Travel_Rarely"/>
    <n v="181"/>
    <x v="1"/>
    <x v="2"/>
    <n v="4"/>
    <s v="Medical"/>
    <n v="1"/>
    <n v="1755"/>
    <n v="4"/>
    <x v="1"/>
    <n v="97"/>
    <n v="4"/>
    <n v="1"/>
    <x v="1"/>
    <x v="0"/>
    <s v="Married"/>
    <n v="2932"/>
    <n v="5586"/>
    <n v="0"/>
    <s v="Y"/>
    <s v="Yes"/>
    <n v="14"/>
    <n v="3"/>
    <n v="1"/>
    <n v="80"/>
    <n v="3"/>
    <n v="6"/>
    <n v="3"/>
    <n v="3"/>
    <x v="8"/>
    <n v="0"/>
    <n v="1"/>
    <n v="2"/>
    <x v="2"/>
    <x v="1"/>
  </r>
  <r>
    <n v="33"/>
    <x v="1"/>
    <s v="Non-Travel"/>
    <n v="1283"/>
    <x v="0"/>
    <x v="2"/>
    <n v="3"/>
    <s v="Marketing"/>
    <n v="1"/>
    <n v="1756"/>
    <n v="4"/>
    <x v="0"/>
    <n v="62"/>
    <n v="3"/>
    <n v="2"/>
    <x v="0"/>
    <x v="1"/>
    <s v="Single"/>
    <n v="5147"/>
    <n v="10697"/>
    <n v="8"/>
    <s v="Y"/>
    <s v="No"/>
    <n v="15"/>
    <n v="3"/>
    <n v="4"/>
    <n v="80"/>
    <n v="0"/>
    <n v="13"/>
    <n v="2"/>
    <n v="2"/>
    <x v="19"/>
    <n v="7"/>
    <n v="1"/>
    <n v="7"/>
    <x v="2"/>
    <x v="0"/>
  </r>
  <r>
    <n v="49"/>
    <x v="1"/>
    <s v="Travel_Rarely"/>
    <n v="1313"/>
    <x v="0"/>
    <x v="13"/>
    <n v="4"/>
    <s v="Marketing"/>
    <n v="1"/>
    <n v="1757"/>
    <n v="4"/>
    <x v="0"/>
    <n v="80"/>
    <n v="3"/>
    <n v="2"/>
    <x v="0"/>
    <x v="0"/>
    <s v="Single"/>
    <n v="4507"/>
    <n v="8191"/>
    <n v="3"/>
    <s v="Y"/>
    <s v="No"/>
    <n v="12"/>
    <n v="3"/>
    <n v="3"/>
    <n v="80"/>
    <n v="0"/>
    <n v="8"/>
    <n v="1"/>
    <n v="4"/>
    <x v="8"/>
    <n v="1"/>
    <n v="0"/>
    <n v="4"/>
    <x v="1"/>
    <x v="0"/>
  </r>
  <r>
    <n v="33"/>
    <x v="0"/>
    <s v="Travel_Rarely"/>
    <n v="211"/>
    <x v="0"/>
    <x v="7"/>
    <n v="3"/>
    <s v="Life Sciences"/>
    <n v="1"/>
    <n v="1758"/>
    <n v="1"/>
    <x v="0"/>
    <n v="74"/>
    <n v="3"/>
    <n v="3"/>
    <x v="0"/>
    <x v="3"/>
    <s v="Single"/>
    <n v="8564"/>
    <n v="10092"/>
    <n v="2"/>
    <s v="Y"/>
    <s v="Yes"/>
    <n v="20"/>
    <n v="4"/>
    <n v="3"/>
    <n v="80"/>
    <n v="0"/>
    <n v="11"/>
    <n v="2"/>
    <n v="2"/>
    <x v="2"/>
    <n v="0"/>
    <n v="0"/>
    <n v="0"/>
    <x v="2"/>
    <x v="4"/>
  </r>
  <r>
    <n v="38"/>
    <x v="1"/>
    <s v="Travel_Frequently"/>
    <n v="594"/>
    <x v="1"/>
    <x v="2"/>
    <n v="2"/>
    <s v="Medical"/>
    <n v="1"/>
    <n v="1760"/>
    <n v="3"/>
    <x v="0"/>
    <n v="75"/>
    <n v="2"/>
    <n v="1"/>
    <x v="2"/>
    <x v="1"/>
    <s v="Married"/>
    <n v="2468"/>
    <n v="15963"/>
    <n v="4"/>
    <s v="Y"/>
    <s v="No"/>
    <n v="14"/>
    <n v="3"/>
    <n v="2"/>
    <n v="80"/>
    <n v="1"/>
    <n v="9"/>
    <n v="4"/>
    <n v="2"/>
    <x v="0"/>
    <n v="1"/>
    <n v="0"/>
    <n v="5"/>
    <x v="0"/>
    <x v="1"/>
  </r>
  <r>
    <n v="31"/>
    <x v="0"/>
    <s v="Travel_Rarely"/>
    <n v="1079"/>
    <x v="0"/>
    <x v="7"/>
    <n v="4"/>
    <s v="Marketing"/>
    <n v="1"/>
    <n v="1761"/>
    <n v="1"/>
    <x v="1"/>
    <n v="70"/>
    <n v="3"/>
    <n v="3"/>
    <x v="0"/>
    <x v="2"/>
    <s v="Married"/>
    <n v="8161"/>
    <n v="19002"/>
    <n v="2"/>
    <s v="Y"/>
    <s v="No"/>
    <n v="13"/>
    <n v="3"/>
    <n v="1"/>
    <n v="80"/>
    <n v="3"/>
    <n v="10"/>
    <n v="2"/>
    <n v="3"/>
    <x v="6"/>
    <n v="0"/>
    <n v="0"/>
    <n v="0"/>
    <x v="2"/>
    <x v="4"/>
  </r>
  <r>
    <n v="29"/>
    <x v="1"/>
    <s v="Travel_Rarely"/>
    <n v="590"/>
    <x v="1"/>
    <x v="18"/>
    <n v="3"/>
    <s v="Technical Degree"/>
    <n v="1"/>
    <n v="1762"/>
    <n v="4"/>
    <x v="0"/>
    <n v="91"/>
    <n v="2"/>
    <n v="1"/>
    <x v="1"/>
    <x v="3"/>
    <s v="Divorced"/>
    <n v="2109"/>
    <n v="10007"/>
    <n v="1"/>
    <s v="Y"/>
    <s v="No"/>
    <n v="13"/>
    <n v="3"/>
    <n v="3"/>
    <n v="80"/>
    <n v="1"/>
    <n v="1"/>
    <n v="2"/>
    <n v="3"/>
    <x v="6"/>
    <n v="0"/>
    <n v="0"/>
    <n v="0"/>
    <x v="2"/>
    <x v="1"/>
  </r>
  <r>
    <n v="30"/>
    <x v="1"/>
    <s v="Travel_Rarely"/>
    <n v="305"/>
    <x v="1"/>
    <x v="7"/>
    <n v="3"/>
    <s v="Life Sciences"/>
    <n v="1"/>
    <n v="1763"/>
    <n v="3"/>
    <x v="1"/>
    <n v="58"/>
    <n v="4"/>
    <n v="2"/>
    <x v="4"/>
    <x v="2"/>
    <s v="Married"/>
    <n v="5294"/>
    <n v="9128"/>
    <n v="3"/>
    <s v="Y"/>
    <s v="No"/>
    <n v="16"/>
    <n v="3"/>
    <n v="3"/>
    <n v="80"/>
    <n v="1"/>
    <n v="10"/>
    <n v="3"/>
    <n v="3"/>
    <x v="5"/>
    <n v="0"/>
    <n v="1"/>
    <n v="7"/>
    <x v="2"/>
    <x v="0"/>
  </r>
  <r>
    <n v="32"/>
    <x v="1"/>
    <s v="Non-Travel"/>
    <n v="953"/>
    <x v="1"/>
    <x v="12"/>
    <n v="4"/>
    <s v="Technical Degree"/>
    <n v="1"/>
    <n v="1764"/>
    <n v="2"/>
    <x v="1"/>
    <n v="65"/>
    <n v="3"/>
    <n v="1"/>
    <x v="1"/>
    <x v="1"/>
    <s v="Single"/>
    <n v="2718"/>
    <n v="17674"/>
    <n v="2"/>
    <s v="Y"/>
    <s v="No"/>
    <n v="14"/>
    <n v="3"/>
    <n v="2"/>
    <n v="80"/>
    <n v="0"/>
    <n v="12"/>
    <n v="3"/>
    <n v="3"/>
    <x v="5"/>
    <n v="7"/>
    <n v="0"/>
    <n v="7"/>
    <x v="2"/>
    <x v="1"/>
  </r>
  <r>
    <n v="38"/>
    <x v="1"/>
    <s v="Travel_Rarely"/>
    <n v="833"/>
    <x v="1"/>
    <x v="21"/>
    <n v="3"/>
    <s v="Medical"/>
    <n v="1"/>
    <n v="1766"/>
    <n v="2"/>
    <x v="1"/>
    <n v="60"/>
    <n v="1"/>
    <n v="2"/>
    <x v="4"/>
    <x v="0"/>
    <s v="Married"/>
    <n v="5811"/>
    <n v="24539"/>
    <n v="3"/>
    <s v="Y"/>
    <s v="Yes"/>
    <n v="16"/>
    <n v="3"/>
    <n v="3"/>
    <n v="80"/>
    <n v="1"/>
    <n v="15"/>
    <n v="2"/>
    <n v="3"/>
    <x v="6"/>
    <n v="0"/>
    <n v="1"/>
    <n v="0"/>
    <x v="0"/>
    <x v="0"/>
  </r>
  <r>
    <n v="43"/>
    <x v="0"/>
    <s v="Travel_Frequently"/>
    <n v="807"/>
    <x v="1"/>
    <x v="27"/>
    <n v="3"/>
    <s v="Technical Degree"/>
    <n v="1"/>
    <n v="1767"/>
    <n v="3"/>
    <x v="1"/>
    <n v="38"/>
    <n v="2"/>
    <n v="1"/>
    <x v="1"/>
    <x v="2"/>
    <s v="Married"/>
    <n v="2437"/>
    <n v="15587"/>
    <n v="9"/>
    <s v="Y"/>
    <s v="Yes"/>
    <n v="16"/>
    <n v="3"/>
    <n v="4"/>
    <n v="80"/>
    <n v="1"/>
    <n v="6"/>
    <n v="4"/>
    <n v="3"/>
    <x v="6"/>
    <n v="0"/>
    <n v="0"/>
    <n v="0"/>
    <x v="0"/>
    <x v="1"/>
  </r>
  <r>
    <n v="42"/>
    <x v="1"/>
    <s v="Travel_Rarely"/>
    <n v="855"/>
    <x v="1"/>
    <x v="20"/>
    <n v="3"/>
    <s v="Medical"/>
    <n v="1"/>
    <n v="1768"/>
    <n v="2"/>
    <x v="1"/>
    <n v="57"/>
    <n v="3"/>
    <n v="1"/>
    <x v="2"/>
    <x v="1"/>
    <s v="Divorced"/>
    <n v="2766"/>
    <n v="8952"/>
    <n v="8"/>
    <s v="Y"/>
    <s v="No"/>
    <n v="22"/>
    <n v="4"/>
    <n v="2"/>
    <n v="80"/>
    <n v="3"/>
    <n v="7"/>
    <n v="6"/>
    <n v="2"/>
    <x v="8"/>
    <n v="3"/>
    <n v="0"/>
    <n v="4"/>
    <x v="0"/>
    <x v="1"/>
  </r>
  <r>
    <n v="55"/>
    <x v="1"/>
    <s v="Travel_Rarely"/>
    <n v="478"/>
    <x v="1"/>
    <x v="2"/>
    <n v="3"/>
    <s v="Medical"/>
    <n v="1"/>
    <n v="1770"/>
    <n v="3"/>
    <x v="1"/>
    <n v="60"/>
    <n v="2"/>
    <n v="5"/>
    <x v="7"/>
    <x v="3"/>
    <s v="Married"/>
    <n v="19038"/>
    <n v="19805"/>
    <n v="8"/>
    <s v="Y"/>
    <s v="No"/>
    <n v="12"/>
    <n v="3"/>
    <n v="2"/>
    <n v="80"/>
    <n v="3"/>
    <n v="34"/>
    <n v="2"/>
    <n v="3"/>
    <x v="6"/>
    <n v="0"/>
    <n v="0"/>
    <n v="0"/>
    <x v="3"/>
    <x v="3"/>
  </r>
  <r>
    <n v="33"/>
    <x v="1"/>
    <s v="Non-Travel"/>
    <n v="775"/>
    <x v="1"/>
    <x v="18"/>
    <n v="3"/>
    <s v="Technical Degree"/>
    <n v="1"/>
    <n v="1771"/>
    <n v="4"/>
    <x v="1"/>
    <n v="90"/>
    <n v="3"/>
    <n v="2"/>
    <x v="1"/>
    <x v="1"/>
    <s v="Divorced"/>
    <n v="3055"/>
    <n v="6194"/>
    <n v="5"/>
    <s v="Y"/>
    <s v="No"/>
    <n v="15"/>
    <n v="3"/>
    <n v="4"/>
    <n v="80"/>
    <n v="2"/>
    <n v="11"/>
    <n v="2"/>
    <n v="2"/>
    <x v="7"/>
    <n v="8"/>
    <n v="1"/>
    <n v="7"/>
    <x v="2"/>
    <x v="0"/>
  </r>
  <r>
    <n v="41"/>
    <x v="1"/>
    <s v="Travel_Rarely"/>
    <n v="548"/>
    <x v="1"/>
    <x v="14"/>
    <n v="4"/>
    <s v="Life Sciences"/>
    <n v="1"/>
    <n v="1772"/>
    <n v="3"/>
    <x v="1"/>
    <n v="94"/>
    <n v="3"/>
    <n v="1"/>
    <x v="2"/>
    <x v="3"/>
    <s v="Divorced"/>
    <n v="2289"/>
    <n v="20520"/>
    <n v="1"/>
    <s v="Y"/>
    <s v="No"/>
    <n v="20"/>
    <n v="4"/>
    <n v="2"/>
    <n v="80"/>
    <n v="2"/>
    <n v="5"/>
    <n v="2"/>
    <n v="3"/>
    <x v="8"/>
    <n v="3"/>
    <n v="0"/>
    <n v="4"/>
    <x v="0"/>
    <x v="1"/>
  </r>
  <r>
    <n v="34"/>
    <x v="1"/>
    <s v="Non-Travel"/>
    <n v="1375"/>
    <x v="0"/>
    <x v="17"/>
    <n v="3"/>
    <s v="Life Sciences"/>
    <n v="1"/>
    <n v="1774"/>
    <n v="4"/>
    <x v="1"/>
    <n v="87"/>
    <n v="3"/>
    <n v="2"/>
    <x v="0"/>
    <x v="2"/>
    <s v="Divorced"/>
    <n v="4001"/>
    <n v="12313"/>
    <n v="1"/>
    <s v="Y"/>
    <s v="Yes"/>
    <n v="14"/>
    <n v="3"/>
    <n v="3"/>
    <n v="80"/>
    <n v="1"/>
    <n v="15"/>
    <n v="3"/>
    <n v="3"/>
    <x v="15"/>
    <n v="14"/>
    <n v="0"/>
    <n v="7"/>
    <x v="2"/>
    <x v="0"/>
  </r>
  <r>
    <n v="53"/>
    <x v="1"/>
    <s v="Non-Travel"/>
    <n v="661"/>
    <x v="1"/>
    <x v="0"/>
    <n v="4"/>
    <s v="Medical"/>
    <n v="1"/>
    <n v="1775"/>
    <n v="1"/>
    <x v="0"/>
    <n v="60"/>
    <n v="2"/>
    <n v="4"/>
    <x v="3"/>
    <x v="2"/>
    <s v="Married"/>
    <n v="12965"/>
    <n v="22308"/>
    <n v="4"/>
    <s v="Y"/>
    <s v="Yes"/>
    <n v="20"/>
    <n v="4"/>
    <n v="4"/>
    <n v="80"/>
    <n v="3"/>
    <n v="27"/>
    <n v="2"/>
    <n v="2"/>
    <x v="11"/>
    <n v="2"/>
    <n v="0"/>
    <n v="2"/>
    <x v="1"/>
    <x v="3"/>
  </r>
  <r>
    <n v="43"/>
    <x v="1"/>
    <s v="Travel_Rarely"/>
    <n v="244"/>
    <x v="2"/>
    <x v="2"/>
    <n v="3"/>
    <s v="Life Sciences"/>
    <n v="1"/>
    <n v="1778"/>
    <n v="2"/>
    <x v="1"/>
    <n v="97"/>
    <n v="3"/>
    <n v="1"/>
    <x v="8"/>
    <x v="0"/>
    <s v="Single"/>
    <n v="3539"/>
    <n v="5033"/>
    <n v="0"/>
    <s v="Y"/>
    <s v="No"/>
    <n v="13"/>
    <n v="3"/>
    <n v="2"/>
    <n v="80"/>
    <n v="0"/>
    <n v="10"/>
    <n v="5"/>
    <n v="3"/>
    <x v="7"/>
    <n v="7"/>
    <n v="1"/>
    <n v="8"/>
    <x v="0"/>
    <x v="0"/>
  </r>
  <r>
    <n v="34"/>
    <x v="1"/>
    <s v="Travel_Rarely"/>
    <n v="511"/>
    <x v="0"/>
    <x v="3"/>
    <n v="2"/>
    <s v="Life Sciences"/>
    <n v="1"/>
    <n v="1779"/>
    <n v="4"/>
    <x v="0"/>
    <n v="32"/>
    <n v="1"/>
    <n v="2"/>
    <x v="0"/>
    <x v="0"/>
    <s v="Single"/>
    <n v="6029"/>
    <n v="25353"/>
    <n v="5"/>
    <s v="Y"/>
    <s v="No"/>
    <n v="12"/>
    <n v="3"/>
    <n v="1"/>
    <n v="80"/>
    <n v="0"/>
    <n v="6"/>
    <n v="3"/>
    <n v="3"/>
    <x v="4"/>
    <n v="2"/>
    <n v="2"/>
    <n v="2"/>
    <x v="2"/>
    <x v="4"/>
  </r>
  <r>
    <n v="21"/>
    <x v="0"/>
    <s v="Travel_Rarely"/>
    <n v="337"/>
    <x v="0"/>
    <x v="15"/>
    <n v="1"/>
    <s v="Marketing"/>
    <n v="1"/>
    <n v="1780"/>
    <n v="2"/>
    <x v="1"/>
    <n v="31"/>
    <n v="3"/>
    <n v="1"/>
    <x v="6"/>
    <x v="1"/>
    <s v="Single"/>
    <n v="2679"/>
    <n v="4567"/>
    <n v="1"/>
    <s v="Y"/>
    <s v="No"/>
    <n v="13"/>
    <n v="3"/>
    <n v="2"/>
    <n v="80"/>
    <n v="0"/>
    <n v="1"/>
    <n v="3"/>
    <n v="3"/>
    <x v="6"/>
    <n v="0"/>
    <n v="1"/>
    <n v="0"/>
    <x v="4"/>
    <x v="1"/>
  </r>
  <r>
    <n v="38"/>
    <x v="1"/>
    <s v="Travel_Rarely"/>
    <n v="1153"/>
    <x v="1"/>
    <x v="16"/>
    <n v="2"/>
    <s v="Other"/>
    <n v="1"/>
    <n v="1782"/>
    <n v="4"/>
    <x v="0"/>
    <n v="40"/>
    <n v="2"/>
    <n v="1"/>
    <x v="2"/>
    <x v="2"/>
    <s v="Married"/>
    <n v="3702"/>
    <n v="16376"/>
    <n v="1"/>
    <s v="Y"/>
    <s v="No"/>
    <n v="11"/>
    <n v="3"/>
    <n v="2"/>
    <n v="80"/>
    <n v="1"/>
    <n v="5"/>
    <n v="3"/>
    <n v="3"/>
    <x v="8"/>
    <n v="4"/>
    <n v="0"/>
    <n v="4"/>
    <x v="0"/>
    <x v="0"/>
  </r>
  <r>
    <n v="22"/>
    <x v="0"/>
    <s v="Travel_Rarely"/>
    <n v="1294"/>
    <x v="1"/>
    <x v="1"/>
    <n v="1"/>
    <s v="Medical"/>
    <n v="1"/>
    <n v="1783"/>
    <n v="3"/>
    <x v="0"/>
    <n v="79"/>
    <n v="3"/>
    <n v="1"/>
    <x v="2"/>
    <x v="3"/>
    <s v="Married"/>
    <n v="2398"/>
    <n v="15999"/>
    <n v="1"/>
    <s v="Y"/>
    <s v="Yes"/>
    <n v="17"/>
    <n v="3"/>
    <n v="3"/>
    <n v="80"/>
    <n v="0"/>
    <n v="1"/>
    <n v="6"/>
    <n v="3"/>
    <x v="6"/>
    <n v="0"/>
    <n v="0"/>
    <n v="0"/>
    <x v="4"/>
    <x v="1"/>
  </r>
  <r>
    <n v="31"/>
    <x v="1"/>
    <s v="Travel_Rarely"/>
    <n v="196"/>
    <x v="0"/>
    <x v="22"/>
    <n v="4"/>
    <s v="Marketing"/>
    <n v="1"/>
    <n v="1784"/>
    <n v="1"/>
    <x v="0"/>
    <n v="91"/>
    <n v="2"/>
    <n v="2"/>
    <x v="0"/>
    <x v="0"/>
    <s v="Married"/>
    <n v="5468"/>
    <n v="13402"/>
    <n v="1"/>
    <s v="Y"/>
    <s v="No"/>
    <n v="14"/>
    <n v="3"/>
    <n v="1"/>
    <n v="80"/>
    <n v="2"/>
    <n v="13"/>
    <n v="3"/>
    <n v="3"/>
    <x v="12"/>
    <n v="7"/>
    <n v="5"/>
    <n v="7"/>
    <x v="2"/>
    <x v="0"/>
  </r>
  <r>
    <n v="51"/>
    <x v="1"/>
    <s v="Travel_Rarely"/>
    <n v="942"/>
    <x v="1"/>
    <x v="3"/>
    <n v="3"/>
    <s v="Technical Degree"/>
    <n v="1"/>
    <n v="1786"/>
    <n v="1"/>
    <x v="0"/>
    <n v="53"/>
    <n v="3"/>
    <n v="3"/>
    <x v="5"/>
    <x v="2"/>
    <s v="Married"/>
    <n v="13116"/>
    <n v="22984"/>
    <n v="2"/>
    <s v="Y"/>
    <s v="No"/>
    <n v="11"/>
    <n v="3"/>
    <n v="4"/>
    <n v="80"/>
    <n v="0"/>
    <n v="15"/>
    <n v="2"/>
    <n v="3"/>
    <x v="4"/>
    <n v="2"/>
    <n v="2"/>
    <n v="2"/>
    <x v="1"/>
    <x v="3"/>
  </r>
  <r>
    <n v="37"/>
    <x v="1"/>
    <s v="Travel_Rarely"/>
    <n v="589"/>
    <x v="0"/>
    <x v="14"/>
    <n v="2"/>
    <s v="Marketing"/>
    <n v="1"/>
    <n v="1787"/>
    <n v="2"/>
    <x v="1"/>
    <n v="46"/>
    <n v="2"/>
    <n v="2"/>
    <x v="0"/>
    <x v="1"/>
    <s v="Married"/>
    <n v="4189"/>
    <n v="8800"/>
    <n v="1"/>
    <s v="Y"/>
    <s v="No"/>
    <n v="14"/>
    <n v="3"/>
    <n v="1"/>
    <n v="80"/>
    <n v="2"/>
    <n v="5"/>
    <n v="2"/>
    <n v="3"/>
    <x v="8"/>
    <n v="2"/>
    <n v="0"/>
    <n v="3"/>
    <x v="0"/>
    <x v="0"/>
  </r>
  <r>
    <n v="46"/>
    <x v="1"/>
    <s v="Travel_Rarely"/>
    <n v="734"/>
    <x v="1"/>
    <x v="2"/>
    <n v="4"/>
    <s v="Medical"/>
    <n v="1"/>
    <n v="1789"/>
    <n v="3"/>
    <x v="1"/>
    <n v="46"/>
    <n v="3"/>
    <n v="5"/>
    <x v="7"/>
    <x v="0"/>
    <s v="Divorced"/>
    <n v="19328"/>
    <n v="14218"/>
    <n v="7"/>
    <s v="Y"/>
    <s v="Yes"/>
    <n v="17"/>
    <n v="3"/>
    <n v="3"/>
    <n v="80"/>
    <n v="1"/>
    <n v="24"/>
    <n v="3"/>
    <n v="3"/>
    <x v="4"/>
    <n v="1"/>
    <n v="2"/>
    <n v="2"/>
    <x v="1"/>
    <x v="3"/>
  </r>
  <r>
    <n v="36"/>
    <x v="1"/>
    <s v="Travel_Rarely"/>
    <n v="1383"/>
    <x v="1"/>
    <x v="17"/>
    <n v="3"/>
    <s v="Life Sciences"/>
    <n v="1"/>
    <n v="1790"/>
    <n v="4"/>
    <x v="1"/>
    <n v="90"/>
    <n v="3"/>
    <n v="3"/>
    <x v="4"/>
    <x v="3"/>
    <s v="Married"/>
    <n v="8321"/>
    <n v="25949"/>
    <n v="7"/>
    <s v="Y"/>
    <s v="Yes"/>
    <n v="13"/>
    <n v="3"/>
    <n v="4"/>
    <n v="80"/>
    <n v="1"/>
    <n v="15"/>
    <n v="1"/>
    <n v="3"/>
    <x v="12"/>
    <n v="8"/>
    <n v="5"/>
    <n v="7"/>
    <x v="0"/>
    <x v="4"/>
  </r>
  <r>
    <n v="44"/>
    <x v="0"/>
    <s v="Travel_Frequently"/>
    <n v="429"/>
    <x v="1"/>
    <x v="0"/>
    <n v="2"/>
    <s v="Medical"/>
    <n v="1"/>
    <n v="1792"/>
    <n v="3"/>
    <x v="1"/>
    <n v="99"/>
    <n v="3"/>
    <n v="1"/>
    <x v="1"/>
    <x v="1"/>
    <s v="Divorced"/>
    <n v="2342"/>
    <n v="11092"/>
    <n v="1"/>
    <s v="Y"/>
    <s v="Yes"/>
    <n v="12"/>
    <n v="3"/>
    <n v="3"/>
    <n v="80"/>
    <n v="3"/>
    <n v="6"/>
    <n v="2"/>
    <n v="2"/>
    <x v="8"/>
    <n v="3"/>
    <n v="2"/>
    <n v="3"/>
    <x v="0"/>
    <x v="1"/>
  </r>
  <r>
    <n v="37"/>
    <x v="1"/>
    <s v="Travel_Rarely"/>
    <n v="1239"/>
    <x v="2"/>
    <x v="1"/>
    <n v="2"/>
    <s v="Other"/>
    <n v="1"/>
    <n v="1794"/>
    <n v="3"/>
    <x v="1"/>
    <n v="89"/>
    <n v="3"/>
    <n v="2"/>
    <x v="8"/>
    <x v="1"/>
    <s v="Divorced"/>
    <n v="4071"/>
    <n v="12832"/>
    <n v="2"/>
    <s v="Y"/>
    <s v="No"/>
    <n v="13"/>
    <n v="3"/>
    <n v="3"/>
    <n v="80"/>
    <n v="0"/>
    <n v="19"/>
    <n v="4"/>
    <n v="2"/>
    <x v="1"/>
    <n v="0"/>
    <n v="4"/>
    <n v="7"/>
    <x v="0"/>
    <x v="0"/>
  </r>
  <r>
    <n v="35"/>
    <x v="0"/>
    <s v="Travel_Rarely"/>
    <n v="303"/>
    <x v="0"/>
    <x v="6"/>
    <n v="3"/>
    <s v="Life Sciences"/>
    <n v="1"/>
    <n v="1797"/>
    <n v="3"/>
    <x v="1"/>
    <n v="84"/>
    <n v="3"/>
    <n v="2"/>
    <x v="0"/>
    <x v="0"/>
    <s v="Single"/>
    <n v="5813"/>
    <n v="13492"/>
    <n v="1"/>
    <s v="Y"/>
    <s v="Yes"/>
    <n v="18"/>
    <n v="3"/>
    <n v="4"/>
    <n v="80"/>
    <n v="0"/>
    <n v="10"/>
    <n v="2"/>
    <n v="3"/>
    <x v="1"/>
    <n v="7"/>
    <n v="7"/>
    <n v="7"/>
    <x v="0"/>
    <x v="0"/>
  </r>
  <r>
    <n v="33"/>
    <x v="1"/>
    <s v="Travel_Rarely"/>
    <n v="867"/>
    <x v="1"/>
    <x v="1"/>
    <n v="4"/>
    <s v="Life Sciences"/>
    <n v="1"/>
    <n v="1798"/>
    <n v="4"/>
    <x v="1"/>
    <n v="90"/>
    <n v="4"/>
    <n v="1"/>
    <x v="1"/>
    <x v="3"/>
    <s v="Married"/>
    <n v="3143"/>
    <n v="6076"/>
    <n v="6"/>
    <s v="Y"/>
    <s v="No"/>
    <n v="19"/>
    <n v="3"/>
    <n v="2"/>
    <n v="80"/>
    <n v="1"/>
    <n v="14"/>
    <n v="1"/>
    <n v="3"/>
    <x v="1"/>
    <n v="8"/>
    <n v="7"/>
    <n v="6"/>
    <x v="2"/>
    <x v="0"/>
  </r>
  <r>
    <n v="28"/>
    <x v="1"/>
    <s v="Travel_Rarely"/>
    <n v="1181"/>
    <x v="1"/>
    <x v="0"/>
    <n v="3"/>
    <s v="Life Sciences"/>
    <n v="1"/>
    <n v="1799"/>
    <n v="3"/>
    <x v="1"/>
    <n v="82"/>
    <n v="3"/>
    <n v="1"/>
    <x v="1"/>
    <x v="0"/>
    <s v="Married"/>
    <n v="2044"/>
    <n v="5531"/>
    <n v="1"/>
    <s v="Y"/>
    <s v="No"/>
    <n v="11"/>
    <n v="3"/>
    <n v="3"/>
    <n v="80"/>
    <n v="1"/>
    <n v="5"/>
    <n v="6"/>
    <n v="4"/>
    <x v="8"/>
    <n v="3"/>
    <n v="0"/>
    <n v="3"/>
    <x v="2"/>
    <x v="1"/>
  </r>
  <r>
    <n v="39"/>
    <x v="1"/>
    <s v="Travel_Rarely"/>
    <n v="1253"/>
    <x v="1"/>
    <x v="17"/>
    <n v="1"/>
    <s v="Medical"/>
    <n v="1"/>
    <n v="1800"/>
    <n v="3"/>
    <x v="1"/>
    <n v="65"/>
    <n v="3"/>
    <n v="3"/>
    <x v="7"/>
    <x v="2"/>
    <s v="Single"/>
    <n v="13464"/>
    <n v="7914"/>
    <n v="7"/>
    <s v="Y"/>
    <s v="No"/>
    <n v="21"/>
    <n v="4"/>
    <n v="3"/>
    <n v="80"/>
    <n v="0"/>
    <n v="9"/>
    <n v="3"/>
    <n v="3"/>
    <x v="9"/>
    <n v="3"/>
    <n v="2"/>
    <n v="2"/>
    <x v="0"/>
    <x v="3"/>
  </r>
  <r>
    <n v="46"/>
    <x v="1"/>
    <s v="Non-Travel"/>
    <n v="849"/>
    <x v="0"/>
    <x v="9"/>
    <n v="2"/>
    <s v="Life Sciences"/>
    <n v="1"/>
    <n v="1801"/>
    <n v="2"/>
    <x v="1"/>
    <n v="98"/>
    <n v="2"/>
    <n v="2"/>
    <x v="0"/>
    <x v="1"/>
    <s v="Single"/>
    <n v="7991"/>
    <n v="25166"/>
    <n v="8"/>
    <s v="Y"/>
    <s v="No"/>
    <n v="15"/>
    <n v="3"/>
    <n v="3"/>
    <n v="80"/>
    <n v="0"/>
    <n v="6"/>
    <n v="3"/>
    <n v="3"/>
    <x v="4"/>
    <n v="2"/>
    <n v="2"/>
    <n v="2"/>
    <x v="1"/>
    <x v="4"/>
  </r>
  <r>
    <n v="40"/>
    <x v="1"/>
    <s v="Travel_Rarely"/>
    <n v="616"/>
    <x v="1"/>
    <x v="2"/>
    <n v="2"/>
    <s v="Life Sciences"/>
    <n v="1"/>
    <n v="1802"/>
    <n v="3"/>
    <x v="0"/>
    <n v="99"/>
    <n v="3"/>
    <n v="1"/>
    <x v="2"/>
    <x v="3"/>
    <s v="Married"/>
    <n v="3377"/>
    <n v="25605"/>
    <n v="4"/>
    <s v="Y"/>
    <s v="No"/>
    <n v="17"/>
    <n v="3"/>
    <n v="4"/>
    <n v="80"/>
    <n v="1"/>
    <n v="7"/>
    <n v="5"/>
    <n v="2"/>
    <x v="9"/>
    <n v="3"/>
    <n v="0"/>
    <n v="2"/>
    <x v="0"/>
    <x v="0"/>
  </r>
  <r>
    <n v="42"/>
    <x v="1"/>
    <s v="Travel_Rarely"/>
    <n v="1128"/>
    <x v="1"/>
    <x v="28"/>
    <n v="3"/>
    <s v="Medical"/>
    <n v="1"/>
    <n v="1803"/>
    <n v="2"/>
    <x v="1"/>
    <n v="95"/>
    <n v="4"/>
    <n v="2"/>
    <x v="4"/>
    <x v="3"/>
    <s v="Married"/>
    <n v="5538"/>
    <n v="5696"/>
    <n v="5"/>
    <s v="Y"/>
    <s v="No"/>
    <n v="18"/>
    <n v="3"/>
    <n v="3"/>
    <n v="80"/>
    <n v="2"/>
    <n v="10"/>
    <n v="2"/>
    <n v="2"/>
    <x v="2"/>
    <n v="0"/>
    <n v="0"/>
    <n v="0"/>
    <x v="0"/>
    <x v="0"/>
  </r>
  <r>
    <n v="35"/>
    <x v="1"/>
    <s v="Non-Travel"/>
    <n v="1180"/>
    <x v="1"/>
    <x v="2"/>
    <n v="2"/>
    <s v="Medical"/>
    <n v="1"/>
    <n v="1804"/>
    <n v="2"/>
    <x v="1"/>
    <n v="90"/>
    <n v="3"/>
    <n v="2"/>
    <x v="3"/>
    <x v="0"/>
    <s v="Divorced"/>
    <n v="5762"/>
    <n v="24442"/>
    <n v="2"/>
    <s v="Y"/>
    <s v="No"/>
    <n v="14"/>
    <n v="3"/>
    <n v="3"/>
    <n v="80"/>
    <n v="1"/>
    <n v="15"/>
    <n v="6"/>
    <n v="3"/>
    <x v="5"/>
    <n v="7"/>
    <n v="1"/>
    <n v="7"/>
    <x v="0"/>
    <x v="0"/>
  </r>
  <r>
    <n v="38"/>
    <x v="1"/>
    <s v="Non-Travel"/>
    <n v="1336"/>
    <x v="2"/>
    <x v="2"/>
    <n v="3"/>
    <s v="Human Resources"/>
    <n v="1"/>
    <n v="1805"/>
    <n v="1"/>
    <x v="1"/>
    <n v="100"/>
    <n v="3"/>
    <n v="1"/>
    <x v="8"/>
    <x v="1"/>
    <s v="Divorced"/>
    <n v="2592"/>
    <n v="7129"/>
    <n v="5"/>
    <s v="Y"/>
    <s v="No"/>
    <n v="13"/>
    <n v="3"/>
    <n v="4"/>
    <n v="80"/>
    <n v="3"/>
    <n v="13"/>
    <n v="3"/>
    <n v="3"/>
    <x v="19"/>
    <n v="10"/>
    <n v="3"/>
    <n v="8"/>
    <x v="0"/>
    <x v="1"/>
  </r>
  <r>
    <n v="34"/>
    <x v="0"/>
    <s v="Travel_Frequently"/>
    <n v="234"/>
    <x v="1"/>
    <x v="14"/>
    <n v="4"/>
    <s v="Life Sciences"/>
    <n v="1"/>
    <n v="1807"/>
    <n v="4"/>
    <x v="1"/>
    <n v="93"/>
    <n v="3"/>
    <n v="2"/>
    <x v="2"/>
    <x v="3"/>
    <s v="Married"/>
    <n v="5346"/>
    <n v="6208"/>
    <n v="4"/>
    <s v="Y"/>
    <s v="No"/>
    <n v="17"/>
    <n v="3"/>
    <n v="3"/>
    <n v="80"/>
    <n v="1"/>
    <n v="11"/>
    <n v="3"/>
    <n v="2"/>
    <x v="5"/>
    <n v="1"/>
    <n v="0"/>
    <n v="7"/>
    <x v="2"/>
    <x v="0"/>
  </r>
  <r>
    <n v="37"/>
    <x v="0"/>
    <s v="Travel_Rarely"/>
    <n v="370"/>
    <x v="1"/>
    <x v="17"/>
    <n v="4"/>
    <s v="Medical"/>
    <n v="1"/>
    <n v="1809"/>
    <n v="4"/>
    <x v="1"/>
    <n v="58"/>
    <n v="3"/>
    <n v="2"/>
    <x v="3"/>
    <x v="3"/>
    <s v="Single"/>
    <n v="4213"/>
    <n v="4992"/>
    <n v="1"/>
    <s v="Y"/>
    <s v="No"/>
    <n v="15"/>
    <n v="3"/>
    <n v="2"/>
    <n v="80"/>
    <n v="0"/>
    <n v="10"/>
    <n v="4"/>
    <n v="1"/>
    <x v="1"/>
    <n v="3"/>
    <n v="0"/>
    <n v="8"/>
    <x v="0"/>
    <x v="0"/>
  </r>
  <r>
    <n v="39"/>
    <x v="1"/>
    <s v="Travel_Frequently"/>
    <n v="766"/>
    <x v="0"/>
    <x v="25"/>
    <n v="3"/>
    <s v="Life Sciences"/>
    <n v="1"/>
    <n v="1812"/>
    <n v="3"/>
    <x v="1"/>
    <n v="83"/>
    <n v="3"/>
    <n v="2"/>
    <x v="0"/>
    <x v="0"/>
    <s v="Divorced"/>
    <n v="4127"/>
    <n v="19188"/>
    <n v="2"/>
    <s v="Y"/>
    <s v="No"/>
    <n v="18"/>
    <n v="3"/>
    <n v="4"/>
    <n v="80"/>
    <n v="1"/>
    <n v="7"/>
    <n v="6"/>
    <n v="3"/>
    <x v="4"/>
    <n v="1"/>
    <n v="2"/>
    <n v="2"/>
    <x v="0"/>
    <x v="0"/>
  </r>
  <r>
    <n v="43"/>
    <x v="1"/>
    <s v="Non-Travel"/>
    <n v="343"/>
    <x v="1"/>
    <x v="14"/>
    <n v="3"/>
    <s v="Life Sciences"/>
    <n v="1"/>
    <n v="1813"/>
    <n v="1"/>
    <x v="1"/>
    <n v="52"/>
    <n v="3"/>
    <n v="1"/>
    <x v="1"/>
    <x v="2"/>
    <s v="Single"/>
    <n v="2438"/>
    <n v="24978"/>
    <n v="4"/>
    <s v="Y"/>
    <s v="No"/>
    <n v="13"/>
    <n v="3"/>
    <n v="3"/>
    <n v="80"/>
    <n v="0"/>
    <n v="7"/>
    <n v="2"/>
    <n v="2"/>
    <x v="11"/>
    <n v="2"/>
    <n v="1"/>
    <n v="2"/>
    <x v="0"/>
    <x v="1"/>
  </r>
  <r>
    <n v="41"/>
    <x v="1"/>
    <s v="Travel_Rarely"/>
    <n v="447"/>
    <x v="1"/>
    <x v="12"/>
    <n v="3"/>
    <s v="Life Sciences"/>
    <n v="1"/>
    <n v="1814"/>
    <n v="2"/>
    <x v="1"/>
    <n v="85"/>
    <n v="4"/>
    <n v="2"/>
    <x v="4"/>
    <x v="1"/>
    <s v="Single"/>
    <n v="6870"/>
    <n v="15530"/>
    <n v="3"/>
    <s v="Y"/>
    <s v="No"/>
    <n v="12"/>
    <n v="3"/>
    <n v="1"/>
    <n v="80"/>
    <n v="0"/>
    <n v="11"/>
    <n v="3"/>
    <n v="1"/>
    <x v="11"/>
    <n v="2"/>
    <n v="1"/>
    <n v="2"/>
    <x v="0"/>
    <x v="4"/>
  </r>
  <r>
    <n v="41"/>
    <x v="1"/>
    <s v="Travel_Rarely"/>
    <n v="796"/>
    <x v="0"/>
    <x v="18"/>
    <n v="1"/>
    <s v="Marketing"/>
    <n v="1"/>
    <n v="1815"/>
    <n v="3"/>
    <x v="0"/>
    <n v="81"/>
    <n v="3"/>
    <n v="3"/>
    <x v="0"/>
    <x v="2"/>
    <s v="Divorced"/>
    <n v="10447"/>
    <n v="26458"/>
    <n v="0"/>
    <s v="Y"/>
    <s v="Yes"/>
    <n v="13"/>
    <n v="3"/>
    <n v="4"/>
    <n v="80"/>
    <n v="1"/>
    <n v="23"/>
    <n v="3"/>
    <n v="4"/>
    <x v="14"/>
    <n v="14"/>
    <n v="13"/>
    <n v="5"/>
    <x v="0"/>
    <x v="2"/>
  </r>
  <r>
    <n v="30"/>
    <x v="1"/>
    <s v="Travel_Rarely"/>
    <n v="1092"/>
    <x v="1"/>
    <x v="17"/>
    <n v="3"/>
    <s v="Medical"/>
    <n v="1"/>
    <n v="1816"/>
    <n v="1"/>
    <x v="0"/>
    <n v="64"/>
    <n v="3"/>
    <n v="3"/>
    <x v="3"/>
    <x v="2"/>
    <s v="Single"/>
    <n v="9667"/>
    <n v="2739"/>
    <n v="9"/>
    <s v="Y"/>
    <s v="No"/>
    <n v="14"/>
    <n v="3"/>
    <n v="2"/>
    <n v="80"/>
    <n v="0"/>
    <n v="9"/>
    <n v="3"/>
    <n v="3"/>
    <x v="5"/>
    <n v="7"/>
    <n v="0"/>
    <n v="2"/>
    <x v="2"/>
    <x v="2"/>
  </r>
  <r>
    <n v="26"/>
    <x v="0"/>
    <s v="Travel_Rarely"/>
    <n v="920"/>
    <x v="2"/>
    <x v="25"/>
    <n v="2"/>
    <s v="Medical"/>
    <n v="1"/>
    <n v="1818"/>
    <n v="4"/>
    <x v="0"/>
    <n v="69"/>
    <n v="3"/>
    <n v="1"/>
    <x v="8"/>
    <x v="1"/>
    <s v="Married"/>
    <n v="2148"/>
    <n v="6889"/>
    <n v="0"/>
    <s v="Y"/>
    <s v="Yes"/>
    <n v="11"/>
    <n v="3"/>
    <n v="3"/>
    <n v="80"/>
    <n v="0"/>
    <n v="6"/>
    <n v="3"/>
    <n v="3"/>
    <x v="8"/>
    <n v="1"/>
    <n v="1"/>
    <n v="4"/>
    <x v="2"/>
    <x v="1"/>
  </r>
  <r>
    <n v="46"/>
    <x v="0"/>
    <s v="Travel_Rarely"/>
    <n v="261"/>
    <x v="1"/>
    <x v="11"/>
    <n v="2"/>
    <s v="Medical"/>
    <n v="1"/>
    <n v="1821"/>
    <n v="4"/>
    <x v="0"/>
    <n v="66"/>
    <n v="3"/>
    <n v="2"/>
    <x v="4"/>
    <x v="1"/>
    <s v="Married"/>
    <n v="8926"/>
    <n v="10842"/>
    <n v="4"/>
    <s v="Y"/>
    <s v="No"/>
    <n v="22"/>
    <n v="4"/>
    <n v="4"/>
    <n v="80"/>
    <n v="1"/>
    <n v="13"/>
    <n v="2"/>
    <n v="4"/>
    <x v="7"/>
    <n v="7"/>
    <n v="3"/>
    <n v="7"/>
    <x v="1"/>
    <x v="4"/>
  </r>
  <r>
    <n v="40"/>
    <x v="1"/>
    <s v="Travel_Rarely"/>
    <n v="1194"/>
    <x v="1"/>
    <x v="0"/>
    <n v="3"/>
    <s v="Life Sciences"/>
    <n v="1"/>
    <n v="1822"/>
    <n v="3"/>
    <x v="0"/>
    <n v="52"/>
    <n v="3"/>
    <n v="2"/>
    <x v="4"/>
    <x v="0"/>
    <s v="Divorced"/>
    <n v="6513"/>
    <n v="9060"/>
    <n v="4"/>
    <s v="Y"/>
    <s v="No"/>
    <n v="17"/>
    <n v="3"/>
    <n v="4"/>
    <n v="80"/>
    <n v="1"/>
    <n v="12"/>
    <n v="3"/>
    <n v="3"/>
    <x v="8"/>
    <n v="3"/>
    <n v="0"/>
    <n v="3"/>
    <x v="0"/>
    <x v="4"/>
  </r>
  <r>
    <n v="34"/>
    <x v="1"/>
    <s v="Travel_Rarely"/>
    <n v="810"/>
    <x v="0"/>
    <x v="1"/>
    <n v="2"/>
    <s v="Technical Degree"/>
    <n v="1"/>
    <n v="1823"/>
    <n v="2"/>
    <x v="1"/>
    <n v="92"/>
    <n v="4"/>
    <n v="2"/>
    <x v="0"/>
    <x v="2"/>
    <s v="Married"/>
    <n v="6799"/>
    <n v="22128"/>
    <n v="1"/>
    <s v="Y"/>
    <s v="No"/>
    <n v="21"/>
    <n v="4"/>
    <n v="3"/>
    <n v="80"/>
    <n v="2"/>
    <n v="10"/>
    <n v="5"/>
    <n v="3"/>
    <x v="1"/>
    <n v="8"/>
    <n v="4"/>
    <n v="8"/>
    <x v="2"/>
    <x v="4"/>
  </r>
  <r>
    <n v="58"/>
    <x v="1"/>
    <s v="Non-Travel"/>
    <n v="350"/>
    <x v="0"/>
    <x v="2"/>
    <n v="3"/>
    <s v="Medical"/>
    <n v="1"/>
    <n v="1824"/>
    <n v="2"/>
    <x v="1"/>
    <n v="52"/>
    <n v="3"/>
    <n v="4"/>
    <x v="5"/>
    <x v="1"/>
    <s v="Divorced"/>
    <n v="16291"/>
    <n v="22577"/>
    <n v="4"/>
    <s v="Y"/>
    <s v="No"/>
    <n v="22"/>
    <n v="4"/>
    <n v="4"/>
    <n v="80"/>
    <n v="1"/>
    <n v="37"/>
    <n v="0"/>
    <n v="2"/>
    <x v="22"/>
    <n v="9"/>
    <n v="14"/>
    <n v="14"/>
    <x v="3"/>
    <x v="3"/>
  </r>
  <r>
    <n v="35"/>
    <x v="1"/>
    <s v="Travel_Rarely"/>
    <n v="185"/>
    <x v="1"/>
    <x v="5"/>
    <n v="4"/>
    <s v="Medical"/>
    <n v="1"/>
    <n v="1826"/>
    <n v="2"/>
    <x v="1"/>
    <n v="91"/>
    <n v="1"/>
    <n v="1"/>
    <x v="2"/>
    <x v="2"/>
    <s v="Married"/>
    <n v="2705"/>
    <n v="9696"/>
    <n v="0"/>
    <s v="Y"/>
    <s v="No"/>
    <n v="16"/>
    <n v="3"/>
    <n v="2"/>
    <n v="80"/>
    <n v="1"/>
    <n v="6"/>
    <n v="2"/>
    <n v="4"/>
    <x v="8"/>
    <n v="4"/>
    <n v="0"/>
    <n v="3"/>
    <x v="0"/>
    <x v="1"/>
  </r>
  <r>
    <n v="47"/>
    <x v="1"/>
    <s v="Travel_Rarely"/>
    <n v="1001"/>
    <x v="1"/>
    <x v="18"/>
    <n v="3"/>
    <s v="Life Sciences"/>
    <n v="1"/>
    <n v="1827"/>
    <n v="3"/>
    <x v="0"/>
    <n v="92"/>
    <n v="2"/>
    <n v="3"/>
    <x v="3"/>
    <x v="1"/>
    <s v="Divorced"/>
    <n v="10333"/>
    <n v="19271"/>
    <n v="8"/>
    <s v="Y"/>
    <s v="Yes"/>
    <n v="12"/>
    <n v="3"/>
    <n v="3"/>
    <n v="80"/>
    <n v="1"/>
    <n v="28"/>
    <n v="4"/>
    <n v="3"/>
    <x v="14"/>
    <n v="11"/>
    <n v="14"/>
    <n v="10"/>
    <x v="1"/>
    <x v="2"/>
  </r>
  <r>
    <n v="40"/>
    <x v="1"/>
    <s v="Travel_Rarely"/>
    <n v="750"/>
    <x v="1"/>
    <x v="20"/>
    <n v="3"/>
    <s v="Life Sciences"/>
    <n v="1"/>
    <n v="1829"/>
    <n v="2"/>
    <x v="0"/>
    <n v="47"/>
    <n v="3"/>
    <n v="2"/>
    <x v="4"/>
    <x v="3"/>
    <s v="Divorced"/>
    <n v="4448"/>
    <n v="10748"/>
    <n v="2"/>
    <s v="Y"/>
    <s v="No"/>
    <n v="12"/>
    <n v="3"/>
    <n v="2"/>
    <n v="80"/>
    <n v="1"/>
    <n v="15"/>
    <n v="3"/>
    <n v="3"/>
    <x v="5"/>
    <n v="4"/>
    <n v="7"/>
    <n v="7"/>
    <x v="0"/>
    <x v="0"/>
  </r>
  <r>
    <n v="54"/>
    <x v="1"/>
    <s v="Travel_Rarely"/>
    <n v="431"/>
    <x v="1"/>
    <x v="15"/>
    <n v="4"/>
    <s v="Medical"/>
    <n v="1"/>
    <n v="1830"/>
    <n v="4"/>
    <x v="0"/>
    <n v="68"/>
    <n v="3"/>
    <n v="2"/>
    <x v="1"/>
    <x v="0"/>
    <s v="Married"/>
    <n v="6854"/>
    <n v="15696"/>
    <n v="4"/>
    <s v="Y"/>
    <s v="No"/>
    <n v="15"/>
    <n v="3"/>
    <n v="2"/>
    <n v="80"/>
    <n v="1"/>
    <n v="14"/>
    <n v="2"/>
    <n v="2"/>
    <x v="5"/>
    <n v="1"/>
    <n v="1"/>
    <n v="7"/>
    <x v="1"/>
    <x v="4"/>
  </r>
  <r>
    <n v="31"/>
    <x v="1"/>
    <s v="Travel_Frequently"/>
    <n v="1125"/>
    <x v="0"/>
    <x v="15"/>
    <n v="4"/>
    <s v="Marketing"/>
    <n v="1"/>
    <n v="1833"/>
    <n v="1"/>
    <x v="0"/>
    <n v="68"/>
    <n v="3"/>
    <n v="3"/>
    <x v="0"/>
    <x v="3"/>
    <s v="Married"/>
    <n v="9637"/>
    <n v="8277"/>
    <n v="2"/>
    <s v="Y"/>
    <s v="No"/>
    <n v="14"/>
    <n v="3"/>
    <n v="4"/>
    <n v="80"/>
    <n v="2"/>
    <n v="9"/>
    <n v="3"/>
    <n v="3"/>
    <x v="11"/>
    <n v="2"/>
    <n v="2"/>
    <n v="2"/>
    <x v="2"/>
    <x v="2"/>
  </r>
  <r>
    <n v="28"/>
    <x v="1"/>
    <s v="Travel_Rarely"/>
    <n v="1217"/>
    <x v="1"/>
    <x v="0"/>
    <n v="3"/>
    <s v="Medical"/>
    <n v="1"/>
    <n v="1834"/>
    <n v="3"/>
    <x v="0"/>
    <n v="67"/>
    <n v="3"/>
    <n v="1"/>
    <x v="1"/>
    <x v="3"/>
    <s v="Married"/>
    <n v="3591"/>
    <n v="12719"/>
    <n v="1"/>
    <s v="Y"/>
    <s v="No"/>
    <n v="25"/>
    <n v="4"/>
    <n v="3"/>
    <n v="80"/>
    <n v="1"/>
    <n v="3"/>
    <n v="3"/>
    <n v="3"/>
    <x v="11"/>
    <n v="2"/>
    <n v="1"/>
    <n v="2"/>
    <x v="2"/>
    <x v="0"/>
  </r>
  <r>
    <n v="38"/>
    <x v="1"/>
    <s v="Travel_Rarely"/>
    <n v="723"/>
    <x v="0"/>
    <x v="2"/>
    <n v="4"/>
    <s v="Marketing"/>
    <n v="1"/>
    <n v="1835"/>
    <n v="2"/>
    <x v="0"/>
    <n v="77"/>
    <n v="1"/>
    <n v="2"/>
    <x v="6"/>
    <x v="0"/>
    <s v="Married"/>
    <n v="5405"/>
    <n v="4244"/>
    <n v="2"/>
    <s v="Y"/>
    <s v="Yes"/>
    <n v="20"/>
    <n v="4"/>
    <n v="1"/>
    <n v="80"/>
    <n v="2"/>
    <n v="20"/>
    <n v="4"/>
    <n v="2"/>
    <x v="9"/>
    <n v="2"/>
    <n v="0"/>
    <n v="3"/>
    <x v="0"/>
    <x v="0"/>
  </r>
  <r>
    <n v="26"/>
    <x v="1"/>
    <s v="Travel_Rarely"/>
    <n v="572"/>
    <x v="0"/>
    <x v="17"/>
    <n v="3"/>
    <s v="Medical"/>
    <n v="1"/>
    <n v="1836"/>
    <n v="3"/>
    <x v="1"/>
    <n v="46"/>
    <n v="3"/>
    <n v="2"/>
    <x v="0"/>
    <x v="0"/>
    <s v="Single"/>
    <n v="4684"/>
    <n v="9125"/>
    <n v="1"/>
    <s v="Y"/>
    <s v="No"/>
    <n v="13"/>
    <n v="3"/>
    <n v="1"/>
    <n v="80"/>
    <n v="0"/>
    <n v="5"/>
    <n v="4"/>
    <n v="3"/>
    <x v="8"/>
    <n v="3"/>
    <n v="1"/>
    <n v="2"/>
    <x v="2"/>
    <x v="0"/>
  </r>
  <r>
    <n v="58"/>
    <x v="1"/>
    <s v="Travel_Frequently"/>
    <n v="1216"/>
    <x v="1"/>
    <x v="8"/>
    <n v="4"/>
    <s v="Life Sciences"/>
    <n v="1"/>
    <n v="1837"/>
    <n v="1"/>
    <x v="1"/>
    <n v="87"/>
    <n v="3"/>
    <n v="4"/>
    <x v="7"/>
    <x v="2"/>
    <s v="Married"/>
    <n v="15787"/>
    <n v="21624"/>
    <n v="2"/>
    <s v="Y"/>
    <s v="Yes"/>
    <n v="14"/>
    <n v="3"/>
    <n v="2"/>
    <n v="80"/>
    <n v="0"/>
    <n v="23"/>
    <n v="3"/>
    <n v="3"/>
    <x v="4"/>
    <n v="2"/>
    <n v="2"/>
    <n v="2"/>
    <x v="3"/>
    <x v="3"/>
  </r>
  <r>
    <n v="18"/>
    <x v="1"/>
    <s v="Non-Travel"/>
    <n v="1431"/>
    <x v="1"/>
    <x v="24"/>
    <n v="3"/>
    <s v="Medical"/>
    <n v="1"/>
    <n v="1839"/>
    <n v="2"/>
    <x v="0"/>
    <n v="33"/>
    <n v="3"/>
    <n v="1"/>
    <x v="1"/>
    <x v="2"/>
    <s v="Single"/>
    <n v="1514"/>
    <n v="8018"/>
    <n v="1"/>
    <s v="Y"/>
    <s v="No"/>
    <n v="16"/>
    <n v="3"/>
    <n v="3"/>
    <n v="80"/>
    <n v="0"/>
    <n v="0"/>
    <n v="4"/>
    <n v="1"/>
    <x v="2"/>
    <n v="0"/>
    <n v="0"/>
    <n v="0"/>
    <x v="4"/>
    <x v="1"/>
  </r>
  <r>
    <n v="31"/>
    <x v="0"/>
    <s v="Travel_Rarely"/>
    <n v="359"/>
    <x v="2"/>
    <x v="21"/>
    <n v="5"/>
    <s v="Human Resources"/>
    <n v="1"/>
    <n v="1842"/>
    <n v="4"/>
    <x v="1"/>
    <n v="89"/>
    <n v="4"/>
    <n v="1"/>
    <x v="8"/>
    <x v="3"/>
    <s v="Married"/>
    <n v="2956"/>
    <n v="21495"/>
    <n v="0"/>
    <s v="Y"/>
    <s v="No"/>
    <n v="17"/>
    <n v="3"/>
    <n v="3"/>
    <n v="80"/>
    <n v="0"/>
    <n v="2"/>
    <n v="4"/>
    <n v="3"/>
    <x v="6"/>
    <n v="0"/>
    <n v="0"/>
    <n v="0"/>
    <x v="2"/>
    <x v="1"/>
  </r>
  <r>
    <n v="29"/>
    <x v="0"/>
    <s v="Travel_Rarely"/>
    <n v="350"/>
    <x v="2"/>
    <x v="28"/>
    <n v="3"/>
    <s v="Human Resources"/>
    <n v="1"/>
    <n v="1844"/>
    <n v="1"/>
    <x v="1"/>
    <n v="56"/>
    <n v="2"/>
    <n v="1"/>
    <x v="8"/>
    <x v="3"/>
    <s v="Divorced"/>
    <n v="2335"/>
    <n v="3157"/>
    <n v="4"/>
    <s v="Y"/>
    <s v="Yes"/>
    <n v="15"/>
    <n v="3"/>
    <n v="4"/>
    <n v="80"/>
    <n v="3"/>
    <n v="4"/>
    <n v="3"/>
    <n v="3"/>
    <x v="4"/>
    <n v="2"/>
    <n v="2"/>
    <n v="0"/>
    <x v="2"/>
    <x v="1"/>
  </r>
  <r>
    <n v="45"/>
    <x v="1"/>
    <s v="Non-Travel"/>
    <n v="589"/>
    <x v="0"/>
    <x v="2"/>
    <n v="4"/>
    <s v="Life Sciences"/>
    <n v="1"/>
    <n v="1845"/>
    <n v="3"/>
    <x v="0"/>
    <n v="67"/>
    <n v="3"/>
    <n v="2"/>
    <x v="0"/>
    <x v="2"/>
    <s v="Married"/>
    <n v="5154"/>
    <n v="19665"/>
    <n v="4"/>
    <s v="Y"/>
    <s v="No"/>
    <n v="22"/>
    <n v="4"/>
    <n v="2"/>
    <n v="80"/>
    <n v="2"/>
    <n v="10"/>
    <n v="3"/>
    <n v="4"/>
    <x v="3"/>
    <n v="7"/>
    <n v="5"/>
    <n v="7"/>
    <x v="1"/>
    <x v="0"/>
  </r>
  <r>
    <n v="36"/>
    <x v="1"/>
    <s v="Travel_Rarely"/>
    <n v="430"/>
    <x v="1"/>
    <x v="2"/>
    <n v="4"/>
    <s v="Other"/>
    <n v="1"/>
    <n v="1847"/>
    <n v="4"/>
    <x v="0"/>
    <n v="73"/>
    <n v="3"/>
    <n v="2"/>
    <x v="1"/>
    <x v="1"/>
    <s v="Married"/>
    <n v="6962"/>
    <n v="19573"/>
    <n v="4"/>
    <s v="Y"/>
    <s v="Yes"/>
    <n v="22"/>
    <n v="4"/>
    <n v="4"/>
    <n v="80"/>
    <n v="1"/>
    <n v="15"/>
    <n v="2"/>
    <n v="3"/>
    <x v="6"/>
    <n v="0"/>
    <n v="0"/>
    <n v="0"/>
    <x v="0"/>
    <x v="4"/>
  </r>
  <r>
    <n v="43"/>
    <x v="1"/>
    <s v="Travel_Frequently"/>
    <n v="1422"/>
    <x v="0"/>
    <x v="2"/>
    <n v="4"/>
    <s v="Life Sciences"/>
    <n v="1"/>
    <n v="1849"/>
    <n v="1"/>
    <x v="1"/>
    <n v="92"/>
    <n v="3"/>
    <n v="2"/>
    <x v="0"/>
    <x v="0"/>
    <s v="Married"/>
    <n v="5675"/>
    <n v="19246"/>
    <n v="1"/>
    <s v="Y"/>
    <s v="No"/>
    <n v="20"/>
    <n v="4"/>
    <n v="3"/>
    <n v="80"/>
    <n v="1"/>
    <n v="7"/>
    <n v="5"/>
    <n v="3"/>
    <x v="5"/>
    <n v="7"/>
    <n v="7"/>
    <n v="7"/>
    <x v="0"/>
    <x v="0"/>
  </r>
  <r>
    <n v="27"/>
    <x v="1"/>
    <s v="Travel_Frequently"/>
    <n v="1297"/>
    <x v="1"/>
    <x v="12"/>
    <n v="2"/>
    <s v="Life Sciences"/>
    <n v="1"/>
    <n v="1850"/>
    <n v="4"/>
    <x v="0"/>
    <n v="53"/>
    <n v="3"/>
    <n v="1"/>
    <x v="2"/>
    <x v="0"/>
    <s v="Single"/>
    <n v="2379"/>
    <n v="19826"/>
    <n v="0"/>
    <s v="Y"/>
    <s v="Yes"/>
    <n v="14"/>
    <n v="3"/>
    <n v="3"/>
    <n v="80"/>
    <n v="0"/>
    <n v="6"/>
    <n v="3"/>
    <n v="2"/>
    <x v="8"/>
    <n v="4"/>
    <n v="0"/>
    <n v="2"/>
    <x v="2"/>
    <x v="1"/>
  </r>
  <r>
    <n v="29"/>
    <x v="1"/>
    <s v="Travel_Frequently"/>
    <n v="574"/>
    <x v="1"/>
    <x v="25"/>
    <n v="1"/>
    <s v="Medical"/>
    <n v="1"/>
    <n v="1852"/>
    <n v="4"/>
    <x v="1"/>
    <n v="40"/>
    <n v="3"/>
    <n v="1"/>
    <x v="2"/>
    <x v="0"/>
    <s v="Married"/>
    <n v="3812"/>
    <n v="7003"/>
    <n v="1"/>
    <s v="Y"/>
    <s v="No"/>
    <n v="13"/>
    <n v="3"/>
    <n v="2"/>
    <n v="80"/>
    <n v="0"/>
    <n v="11"/>
    <n v="3"/>
    <n v="4"/>
    <x v="19"/>
    <n v="8"/>
    <n v="3"/>
    <n v="10"/>
    <x v="2"/>
    <x v="0"/>
  </r>
  <r>
    <n v="32"/>
    <x v="1"/>
    <s v="Travel_Frequently"/>
    <n v="1318"/>
    <x v="0"/>
    <x v="17"/>
    <n v="4"/>
    <s v="Marketing"/>
    <n v="1"/>
    <n v="1853"/>
    <n v="4"/>
    <x v="1"/>
    <n v="79"/>
    <n v="3"/>
    <n v="2"/>
    <x v="0"/>
    <x v="0"/>
    <s v="Single"/>
    <n v="4648"/>
    <n v="26075"/>
    <n v="8"/>
    <s v="Y"/>
    <s v="No"/>
    <n v="13"/>
    <n v="3"/>
    <n v="3"/>
    <n v="80"/>
    <n v="0"/>
    <n v="4"/>
    <n v="2"/>
    <n v="4"/>
    <x v="2"/>
    <n v="0"/>
    <n v="0"/>
    <n v="0"/>
    <x v="2"/>
    <x v="0"/>
  </r>
  <r>
    <n v="42"/>
    <x v="1"/>
    <s v="Non-Travel"/>
    <n v="355"/>
    <x v="1"/>
    <x v="17"/>
    <n v="4"/>
    <s v="Technical Degree"/>
    <n v="1"/>
    <n v="1854"/>
    <n v="3"/>
    <x v="1"/>
    <n v="38"/>
    <n v="3"/>
    <n v="1"/>
    <x v="1"/>
    <x v="2"/>
    <s v="Married"/>
    <n v="2936"/>
    <n v="6161"/>
    <n v="3"/>
    <s v="Y"/>
    <s v="No"/>
    <n v="22"/>
    <n v="4"/>
    <n v="2"/>
    <n v="80"/>
    <n v="2"/>
    <n v="10"/>
    <n v="1"/>
    <n v="2"/>
    <x v="0"/>
    <n v="3"/>
    <n v="3"/>
    <n v="3"/>
    <x v="0"/>
    <x v="1"/>
  </r>
  <r>
    <n v="47"/>
    <x v="1"/>
    <s v="Travel_Rarely"/>
    <n v="207"/>
    <x v="1"/>
    <x v="14"/>
    <n v="4"/>
    <s v="Life Sciences"/>
    <n v="1"/>
    <n v="1856"/>
    <n v="2"/>
    <x v="0"/>
    <n v="64"/>
    <n v="3"/>
    <n v="1"/>
    <x v="2"/>
    <x v="2"/>
    <s v="Single"/>
    <n v="2105"/>
    <n v="5411"/>
    <n v="4"/>
    <s v="Y"/>
    <s v="No"/>
    <n v="12"/>
    <n v="3"/>
    <n v="3"/>
    <n v="80"/>
    <n v="0"/>
    <n v="7"/>
    <n v="2"/>
    <n v="3"/>
    <x v="4"/>
    <n v="2"/>
    <n v="2"/>
    <n v="0"/>
    <x v="1"/>
    <x v="1"/>
  </r>
  <r>
    <n v="46"/>
    <x v="1"/>
    <s v="Travel_Rarely"/>
    <n v="706"/>
    <x v="1"/>
    <x v="2"/>
    <n v="2"/>
    <s v="Life Sciences"/>
    <n v="1"/>
    <n v="1857"/>
    <n v="4"/>
    <x v="1"/>
    <n v="82"/>
    <n v="3"/>
    <n v="3"/>
    <x v="3"/>
    <x v="0"/>
    <s v="Divorced"/>
    <n v="8578"/>
    <n v="19989"/>
    <n v="3"/>
    <s v="Y"/>
    <s v="No"/>
    <n v="14"/>
    <n v="3"/>
    <n v="3"/>
    <n v="80"/>
    <n v="1"/>
    <n v="12"/>
    <n v="4"/>
    <n v="2"/>
    <x v="7"/>
    <n v="8"/>
    <n v="4"/>
    <n v="7"/>
    <x v="1"/>
    <x v="4"/>
  </r>
  <r>
    <n v="28"/>
    <x v="1"/>
    <s v="Non-Travel"/>
    <n v="280"/>
    <x v="2"/>
    <x v="0"/>
    <n v="2"/>
    <s v="Life Sciences"/>
    <n v="1"/>
    <n v="1858"/>
    <n v="3"/>
    <x v="1"/>
    <n v="43"/>
    <n v="3"/>
    <n v="1"/>
    <x v="8"/>
    <x v="0"/>
    <s v="Divorced"/>
    <n v="2706"/>
    <n v="10494"/>
    <n v="1"/>
    <s v="Y"/>
    <s v="No"/>
    <n v="15"/>
    <n v="3"/>
    <n v="2"/>
    <n v="80"/>
    <n v="1"/>
    <n v="3"/>
    <n v="2"/>
    <n v="3"/>
    <x v="11"/>
    <n v="2"/>
    <n v="2"/>
    <n v="2"/>
    <x v="2"/>
    <x v="1"/>
  </r>
  <r>
    <n v="29"/>
    <x v="1"/>
    <s v="Travel_Rarely"/>
    <n v="726"/>
    <x v="1"/>
    <x v="22"/>
    <n v="1"/>
    <s v="Life Sciences"/>
    <n v="1"/>
    <n v="1859"/>
    <n v="4"/>
    <x v="1"/>
    <n v="93"/>
    <n v="1"/>
    <n v="2"/>
    <x v="4"/>
    <x v="2"/>
    <s v="Divorced"/>
    <n v="6384"/>
    <n v="21143"/>
    <n v="8"/>
    <s v="Y"/>
    <s v="No"/>
    <n v="17"/>
    <n v="3"/>
    <n v="4"/>
    <n v="80"/>
    <n v="2"/>
    <n v="11"/>
    <n v="3"/>
    <n v="3"/>
    <x v="5"/>
    <n v="0"/>
    <n v="1"/>
    <n v="6"/>
    <x v="2"/>
    <x v="4"/>
  </r>
  <r>
    <n v="42"/>
    <x v="1"/>
    <s v="Travel_Rarely"/>
    <n v="1142"/>
    <x v="1"/>
    <x v="1"/>
    <n v="3"/>
    <s v="Life Sciences"/>
    <n v="1"/>
    <n v="1860"/>
    <n v="4"/>
    <x v="1"/>
    <n v="81"/>
    <n v="3"/>
    <n v="1"/>
    <x v="2"/>
    <x v="2"/>
    <s v="Single"/>
    <n v="3968"/>
    <n v="13624"/>
    <n v="4"/>
    <s v="Y"/>
    <s v="No"/>
    <n v="13"/>
    <n v="3"/>
    <n v="4"/>
    <n v="80"/>
    <n v="0"/>
    <n v="8"/>
    <n v="3"/>
    <n v="3"/>
    <x v="2"/>
    <n v="0"/>
    <n v="0"/>
    <n v="0"/>
    <x v="0"/>
    <x v="0"/>
  </r>
  <r>
    <n v="32"/>
    <x v="0"/>
    <s v="Travel_Rarely"/>
    <n v="414"/>
    <x v="0"/>
    <x v="2"/>
    <n v="4"/>
    <s v="Marketing"/>
    <n v="1"/>
    <n v="1862"/>
    <n v="3"/>
    <x v="1"/>
    <n v="82"/>
    <n v="2"/>
    <n v="2"/>
    <x v="0"/>
    <x v="1"/>
    <s v="Single"/>
    <n v="9907"/>
    <n v="26186"/>
    <n v="7"/>
    <s v="Y"/>
    <s v="Yes"/>
    <n v="12"/>
    <n v="3"/>
    <n v="3"/>
    <n v="80"/>
    <n v="0"/>
    <n v="7"/>
    <n v="3"/>
    <n v="2"/>
    <x v="4"/>
    <n v="2"/>
    <n v="2"/>
    <n v="2"/>
    <x v="2"/>
    <x v="2"/>
  </r>
  <r>
    <n v="46"/>
    <x v="1"/>
    <s v="Travel_Rarely"/>
    <n v="1319"/>
    <x v="0"/>
    <x v="3"/>
    <n v="3"/>
    <s v="Technical Degree"/>
    <n v="1"/>
    <n v="1863"/>
    <n v="1"/>
    <x v="0"/>
    <n v="45"/>
    <n v="4"/>
    <n v="4"/>
    <x v="0"/>
    <x v="3"/>
    <s v="Divorced"/>
    <n v="13225"/>
    <n v="7739"/>
    <n v="2"/>
    <s v="Y"/>
    <s v="No"/>
    <n v="12"/>
    <n v="3"/>
    <n v="4"/>
    <n v="80"/>
    <n v="1"/>
    <n v="25"/>
    <n v="5"/>
    <n v="3"/>
    <x v="27"/>
    <n v="17"/>
    <n v="2"/>
    <n v="8"/>
    <x v="1"/>
    <x v="3"/>
  </r>
  <r>
    <n v="27"/>
    <x v="1"/>
    <s v="Travel_Rarely"/>
    <n v="728"/>
    <x v="0"/>
    <x v="5"/>
    <n v="1"/>
    <s v="Medical"/>
    <n v="1"/>
    <n v="1864"/>
    <n v="2"/>
    <x v="0"/>
    <n v="36"/>
    <n v="2"/>
    <n v="2"/>
    <x v="6"/>
    <x v="2"/>
    <s v="Married"/>
    <n v="3540"/>
    <n v="7018"/>
    <n v="1"/>
    <s v="Y"/>
    <s v="No"/>
    <n v="21"/>
    <n v="4"/>
    <n v="4"/>
    <n v="80"/>
    <n v="1"/>
    <n v="9"/>
    <n v="5"/>
    <n v="3"/>
    <x v="7"/>
    <n v="8"/>
    <n v="5"/>
    <n v="8"/>
    <x v="2"/>
    <x v="0"/>
  </r>
  <r>
    <n v="29"/>
    <x v="1"/>
    <s v="Travel_Rarely"/>
    <n v="352"/>
    <x v="2"/>
    <x v="16"/>
    <n v="1"/>
    <s v="Medical"/>
    <n v="1"/>
    <n v="1865"/>
    <n v="4"/>
    <x v="1"/>
    <n v="87"/>
    <n v="2"/>
    <n v="1"/>
    <x v="8"/>
    <x v="1"/>
    <s v="Married"/>
    <n v="2804"/>
    <n v="15434"/>
    <n v="1"/>
    <s v="Y"/>
    <s v="No"/>
    <n v="11"/>
    <n v="3"/>
    <n v="4"/>
    <n v="80"/>
    <n v="0"/>
    <n v="1"/>
    <n v="3"/>
    <n v="3"/>
    <x v="6"/>
    <n v="0"/>
    <n v="0"/>
    <n v="0"/>
    <x v="2"/>
    <x v="1"/>
  </r>
  <r>
    <n v="43"/>
    <x v="1"/>
    <s v="Travel_Rarely"/>
    <n v="823"/>
    <x v="1"/>
    <x v="16"/>
    <n v="3"/>
    <s v="Medical"/>
    <n v="1"/>
    <n v="1866"/>
    <n v="1"/>
    <x v="0"/>
    <n v="81"/>
    <n v="2"/>
    <n v="5"/>
    <x v="5"/>
    <x v="2"/>
    <s v="Married"/>
    <n v="19392"/>
    <n v="22539"/>
    <n v="7"/>
    <s v="Y"/>
    <s v="No"/>
    <n v="13"/>
    <n v="3"/>
    <n v="4"/>
    <n v="80"/>
    <n v="0"/>
    <n v="21"/>
    <n v="2"/>
    <n v="3"/>
    <x v="22"/>
    <n v="12"/>
    <n v="6"/>
    <n v="14"/>
    <x v="0"/>
    <x v="3"/>
  </r>
  <r>
    <n v="48"/>
    <x v="1"/>
    <s v="Travel_Rarely"/>
    <n v="1224"/>
    <x v="1"/>
    <x v="17"/>
    <n v="3"/>
    <s v="Life Sciences"/>
    <n v="1"/>
    <n v="1867"/>
    <n v="4"/>
    <x v="1"/>
    <n v="91"/>
    <n v="2"/>
    <n v="5"/>
    <x v="7"/>
    <x v="1"/>
    <s v="Married"/>
    <n v="19665"/>
    <n v="13583"/>
    <n v="4"/>
    <s v="Y"/>
    <s v="No"/>
    <n v="12"/>
    <n v="3"/>
    <n v="4"/>
    <n v="80"/>
    <n v="0"/>
    <n v="29"/>
    <n v="3"/>
    <n v="3"/>
    <x v="14"/>
    <n v="10"/>
    <n v="12"/>
    <n v="9"/>
    <x v="1"/>
    <x v="3"/>
  </r>
  <r>
    <n v="29"/>
    <x v="0"/>
    <s v="Travel_Frequently"/>
    <n v="459"/>
    <x v="1"/>
    <x v="4"/>
    <n v="2"/>
    <s v="Life Sciences"/>
    <n v="1"/>
    <n v="1868"/>
    <n v="4"/>
    <x v="1"/>
    <n v="73"/>
    <n v="2"/>
    <n v="1"/>
    <x v="1"/>
    <x v="0"/>
    <s v="Single"/>
    <n v="2439"/>
    <n v="14753"/>
    <n v="1"/>
    <s v="Y"/>
    <s v="Yes"/>
    <n v="24"/>
    <n v="4"/>
    <n v="2"/>
    <n v="80"/>
    <n v="0"/>
    <n v="1"/>
    <n v="3"/>
    <n v="2"/>
    <x v="6"/>
    <n v="0"/>
    <n v="1"/>
    <n v="0"/>
    <x v="2"/>
    <x v="1"/>
  </r>
  <r>
    <n v="46"/>
    <x v="0"/>
    <s v="Travel_Rarely"/>
    <n v="1254"/>
    <x v="0"/>
    <x v="17"/>
    <n v="3"/>
    <s v="Life Sciences"/>
    <n v="1"/>
    <n v="1869"/>
    <n v="3"/>
    <x v="0"/>
    <n v="64"/>
    <n v="3"/>
    <n v="3"/>
    <x v="0"/>
    <x v="1"/>
    <s v="Married"/>
    <n v="7314"/>
    <n v="14011"/>
    <n v="5"/>
    <s v="Y"/>
    <s v="No"/>
    <n v="21"/>
    <n v="4"/>
    <n v="3"/>
    <n v="80"/>
    <n v="3"/>
    <n v="14"/>
    <n v="2"/>
    <n v="3"/>
    <x v="3"/>
    <n v="7"/>
    <n v="0"/>
    <n v="7"/>
    <x v="1"/>
    <x v="4"/>
  </r>
  <r>
    <n v="27"/>
    <x v="1"/>
    <s v="Travel_Frequently"/>
    <n v="1131"/>
    <x v="1"/>
    <x v="8"/>
    <n v="3"/>
    <s v="Life Sciences"/>
    <n v="1"/>
    <n v="1870"/>
    <n v="4"/>
    <x v="0"/>
    <n v="77"/>
    <n v="2"/>
    <n v="1"/>
    <x v="1"/>
    <x v="3"/>
    <s v="Married"/>
    <n v="4774"/>
    <n v="23844"/>
    <n v="0"/>
    <s v="Y"/>
    <s v="No"/>
    <n v="19"/>
    <n v="3"/>
    <n v="4"/>
    <n v="80"/>
    <n v="1"/>
    <n v="8"/>
    <n v="2"/>
    <n v="2"/>
    <x v="5"/>
    <n v="6"/>
    <n v="7"/>
    <n v="3"/>
    <x v="2"/>
    <x v="0"/>
  </r>
  <r>
    <n v="39"/>
    <x v="1"/>
    <s v="Travel_Rarely"/>
    <n v="835"/>
    <x v="1"/>
    <x v="10"/>
    <n v="4"/>
    <s v="Other"/>
    <n v="1"/>
    <n v="1871"/>
    <n v="4"/>
    <x v="1"/>
    <n v="41"/>
    <n v="3"/>
    <n v="2"/>
    <x v="1"/>
    <x v="0"/>
    <s v="Divorced"/>
    <n v="3902"/>
    <n v="5141"/>
    <n v="8"/>
    <s v="Y"/>
    <s v="No"/>
    <n v="14"/>
    <n v="3"/>
    <n v="2"/>
    <n v="80"/>
    <n v="3"/>
    <n v="7"/>
    <n v="2"/>
    <n v="3"/>
    <x v="4"/>
    <n v="2"/>
    <n v="2"/>
    <n v="2"/>
    <x v="0"/>
    <x v="0"/>
  </r>
  <r>
    <n v="55"/>
    <x v="1"/>
    <s v="Travel_Rarely"/>
    <n v="836"/>
    <x v="1"/>
    <x v="2"/>
    <n v="4"/>
    <s v="Technical Degree"/>
    <n v="1"/>
    <n v="1873"/>
    <n v="2"/>
    <x v="1"/>
    <n v="98"/>
    <n v="2"/>
    <n v="1"/>
    <x v="1"/>
    <x v="0"/>
    <s v="Married"/>
    <n v="2662"/>
    <n v="7975"/>
    <n v="8"/>
    <s v="Y"/>
    <s v="No"/>
    <n v="20"/>
    <n v="4"/>
    <n v="2"/>
    <n v="80"/>
    <n v="1"/>
    <n v="19"/>
    <n v="2"/>
    <n v="4"/>
    <x v="8"/>
    <n v="2"/>
    <n v="0"/>
    <n v="4"/>
    <x v="3"/>
    <x v="1"/>
  </r>
  <r>
    <n v="28"/>
    <x v="1"/>
    <s v="Travel_Rarely"/>
    <n v="1172"/>
    <x v="0"/>
    <x v="3"/>
    <n v="3"/>
    <s v="Medical"/>
    <n v="1"/>
    <n v="1875"/>
    <n v="2"/>
    <x v="0"/>
    <n v="78"/>
    <n v="3"/>
    <n v="1"/>
    <x v="6"/>
    <x v="1"/>
    <s v="Married"/>
    <n v="2856"/>
    <n v="3692"/>
    <n v="1"/>
    <s v="Y"/>
    <s v="No"/>
    <n v="19"/>
    <n v="3"/>
    <n v="4"/>
    <n v="80"/>
    <n v="1"/>
    <n v="1"/>
    <n v="3"/>
    <n v="3"/>
    <x v="6"/>
    <n v="0"/>
    <n v="0"/>
    <n v="0"/>
    <x v="2"/>
    <x v="1"/>
  </r>
  <r>
    <n v="30"/>
    <x v="0"/>
    <s v="Travel_Rarely"/>
    <n v="945"/>
    <x v="0"/>
    <x v="14"/>
    <n v="3"/>
    <s v="Medical"/>
    <n v="1"/>
    <n v="1876"/>
    <n v="2"/>
    <x v="1"/>
    <n v="89"/>
    <n v="3"/>
    <n v="1"/>
    <x v="6"/>
    <x v="0"/>
    <s v="Single"/>
    <n v="1081"/>
    <n v="16019"/>
    <n v="1"/>
    <s v="Y"/>
    <s v="No"/>
    <n v="13"/>
    <n v="3"/>
    <n v="3"/>
    <n v="80"/>
    <n v="0"/>
    <n v="1"/>
    <n v="3"/>
    <n v="2"/>
    <x v="6"/>
    <n v="0"/>
    <n v="0"/>
    <n v="0"/>
    <x v="2"/>
    <x v="1"/>
  </r>
  <r>
    <n v="22"/>
    <x v="0"/>
    <s v="Travel_Rarely"/>
    <n v="391"/>
    <x v="1"/>
    <x v="15"/>
    <n v="1"/>
    <s v="Life Sciences"/>
    <n v="1"/>
    <n v="1878"/>
    <n v="4"/>
    <x v="1"/>
    <n v="75"/>
    <n v="3"/>
    <n v="1"/>
    <x v="1"/>
    <x v="1"/>
    <s v="Single"/>
    <n v="2472"/>
    <n v="26092"/>
    <n v="1"/>
    <s v="Y"/>
    <s v="Yes"/>
    <n v="23"/>
    <n v="4"/>
    <n v="1"/>
    <n v="80"/>
    <n v="0"/>
    <n v="1"/>
    <n v="2"/>
    <n v="3"/>
    <x v="6"/>
    <n v="0"/>
    <n v="0"/>
    <n v="0"/>
    <x v="4"/>
    <x v="1"/>
  </r>
  <r>
    <n v="36"/>
    <x v="1"/>
    <s v="Travel_Rarely"/>
    <n v="1266"/>
    <x v="0"/>
    <x v="17"/>
    <n v="4"/>
    <s v="Technical Degree"/>
    <n v="1"/>
    <n v="1880"/>
    <n v="2"/>
    <x v="0"/>
    <n v="63"/>
    <n v="2"/>
    <n v="2"/>
    <x v="0"/>
    <x v="2"/>
    <s v="Married"/>
    <n v="5673"/>
    <n v="6060"/>
    <n v="1"/>
    <s v="Y"/>
    <s v="Yes"/>
    <n v="13"/>
    <n v="3"/>
    <n v="1"/>
    <n v="80"/>
    <n v="1"/>
    <n v="10"/>
    <n v="4"/>
    <n v="3"/>
    <x v="1"/>
    <n v="9"/>
    <n v="1"/>
    <n v="7"/>
    <x v="0"/>
    <x v="0"/>
  </r>
  <r>
    <n v="31"/>
    <x v="1"/>
    <s v="Travel_Rarely"/>
    <n v="311"/>
    <x v="1"/>
    <x v="25"/>
    <n v="3"/>
    <s v="Life Sciences"/>
    <n v="1"/>
    <n v="1881"/>
    <n v="2"/>
    <x v="1"/>
    <n v="89"/>
    <n v="3"/>
    <n v="2"/>
    <x v="2"/>
    <x v="2"/>
    <s v="Divorced"/>
    <n v="4197"/>
    <n v="18624"/>
    <n v="1"/>
    <s v="Y"/>
    <s v="No"/>
    <n v="11"/>
    <n v="3"/>
    <n v="1"/>
    <n v="80"/>
    <n v="1"/>
    <n v="10"/>
    <n v="2"/>
    <n v="3"/>
    <x v="1"/>
    <n v="8"/>
    <n v="0"/>
    <n v="2"/>
    <x v="2"/>
    <x v="0"/>
  </r>
  <r>
    <n v="34"/>
    <x v="1"/>
    <s v="Travel_Rarely"/>
    <n v="1480"/>
    <x v="0"/>
    <x v="18"/>
    <n v="3"/>
    <s v="Life Sciences"/>
    <n v="1"/>
    <n v="1882"/>
    <n v="3"/>
    <x v="1"/>
    <n v="64"/>
    <n v="3"/>
    <n v="3"/>
    <x v="0"/>
    <x v="0"/>
    <s v="Married"/>
    <n v="9713"/>
    <n v="24444"/>
    <n v="2"/>
    <s v="Y"/>
    <s v="Yes"/>
    <n v="13"/>
    <n v="3"/>
    <n v="4"/>
    <n v="80"/>
    <n v="3"/>
    <n v="9"/>
    <n v="3"/>
    <n v="3"/>
    <x v="8"/>
    <n v="3"/>
    <n v="1"/>
    <n v="0"/>
    <x v="2"/>
    <x v="2"/>
  </r>
  <r>
    <n v="29"/>
    <x v="1"/>
    <s v="Travel_Rarely"/>
    <n v="592"/>
    <x v="1"/>
    <x v="15"/>
    <n v="3"/>
    <s v="Life Sciences"/>
    <n v="1"/>
    <n v="1883"/>
    <n v="4"/>
    <x v="1"/>
    <n v="59"/>
    <n v="3"/>
    <n v="1"/>
    <x v="2"/>
    <x v="3"/>
    <s v="Single"/>
    <n v="2062"/>
    <n v="19384"/>
    <n v="3"/>
    <s v="Y"/>
    <s v="No"/>
    <n v="14"/>
    <n v="3"/>
    <n v="2"/>
    <n v="80"/>
    <n v="0"/>
    <n v="11"/>
    <n v="2"/>
    <n v="3"/>
    <x v="11"/>
    <n v="2"/>
    <n v="1"/>
    <n v="2"/>
    <x v="2"/>
    <x v="1"/>
  </r>
  <r>
    <n v="37"/>
    <x v="1"/>
    <s v="Travel_Rarely"/>
    <n v="783"/>
    <x v="1"/>
    <x v="15"/>
    <n v="4"/>
    <s v="Medical"/>
    <n v="1"/>
    <n v="1885"/>
    <n v="4"/>
    <x v="1"/>
    <n v="78"/>
    <n v="3"/>
    <n v="2"/>
    <x v="1"/>
    <x v="3"/>
    <s v="Married"/>
    <n v="4284"/>
    <n v="13588"/>
    <n v="5"/>
    <s v="Y"/>
    <s v="Yes"/>
    <n v="22"/>
    <n v="4"/>
    <n v="3"/>
    <n v="80"/>
    <n v="1"/>
    <n v="16"/>
    <n v="2"/>
    <n v="3"/>
    <x v="8"/>
    <n v="3"/>
    <n v="0"/>
    <n v="4"/>
    <x v="0"/>
    <x v="0"/>
  </r>
  <r>
    <n v="35"/>
    <x v="1"/>
    <s v="Travel_Rarely"/>
    <n v="219"/>
    <x v="1"/>
    <x v="7"/>
    <n v="2"/>
    <s v="Other"/>
    <n v="1"/>
    <n v="1886"/>
    <n v="4"/>
    <x v="0"/>
    <n v="44"/>
    <n v="2"/>
    <n v="2"/>
    <x v="3"/>
    <x v="1"/>
    <s v="Married"/>
    <n v="4788"/>
    <n v="25388"/>
    <n v="0"/>
    <s v="Y"/>
    <s v="Yes"/>
    <n v="11"/>
    <n v="3"/>
    <n v="4"/>
    <n v="80"/>
    <n v="0"/>
    <n v="4"/>
    <n v="2"/>
    <n v="3"/>
    <x v="11"/>
    <n v="2"/>
    <n v="0"/>
    <n v="2"/>
    <x v="0"/>
    <x v="0"/>
  </r>
  <r>
    <n v="45"/>
    <x v="1"/>
    <s v="Travel_Rarely"/>
    <n v="556"/>
    <x v="1"/>
    <x v="19"/>
    <n v="2"/>
    <s v="Life Sciences"/>
    <n v="1"/>
    <n v="1888"/>
    <n v="2"/>
    <x v="0"/>
    <n v="93"/>
    <n v="2"/>
    <n v="2"/>
    <x v="3"/>
    <x v="0"/>
    <s v="Married"/>
    <n v="5906"/>
    <n v="23888"/>
    <n v="0"/>
    <s v="Y"/>
    <s v="No"/>
    <n v="13"/>
    <n v="3"/>
    <n v="4"/>
    <n v="80"/>
    <n v="2"/>
    <n v="10"/>
    <n v="2"/>
    <n v="2"/>
    <x v="7"/>
    <n v="8"/>
    <n v="3"/>
    <n v="8"/>
    <x v="1"/>
    <x v="0"/>
  </r>
  <r>
    <n v="36"/>
    <x v="1"/>
    <s v="Travel_Frequently"/>
    <n v="1213"/>
    <x v="2"/>
    <x v="2"/>
    <n v="1"/>
    <s v="Human Resources"/>
    <n v="1"/>
    <n v="1890"/>
    <n v="2"/>
    <x v="1"/>
    <n v="94"/>
    <n v="2"/>
    <n v="2"/>
    <x v="8"/>
    <x v="0"/>
    <s v="Single"/>
    <n v="3886"/>
    <n v="4223"/>
    <n v="1"/>
    <s v="Y"/>
    <s v="No"/>
    <n v="21"/>
    <n v="4"/>
    <n v="4"/>
    <n v="80"/>
    <n v="0"/>
    <n v="10"/>
    <n v="2"/>
    <n v="2"/>
    <x v="1"/>
    <n v="1"/>
    <n v="0"/>
    <n v="8"/>
    <x v="0"/>
    <x v="0"/>
  </r>
  <r>
    <n v="40"/>
    <x v="1"/>
    <s v="Travel_Rarely"/>
    <n v="1137"/>
    <x v="1"/>
    <x v="0"/>
    <n v="4"/>
    <s v="Life Sciences"/>
    <n v="1"/>
    <n v="1892"/>
    <n v="1"/>
    <x v="1"/>
    <n v="98"/>
    <n v="3"/>
    <n v="4"/>
    <x v="5"/>
    <x v="3"/>
    <s v="Divorced"/>
    <n v="16823"/>
    <n v="18991"/>
    <n v="2"/>
    <s v="Y"/>
    <s v="No"/>
    <n v="11"/>
    <n v="3"/>
    <n v="1"/>
    <n v="80"/>
    <n v="1"/>
    <n v="22"/>
    <n v="3"/>
    <n v="3"/>
    <x v="27"/>
    <n v="7"/>
    <n v="11"/>
    <n v="16"/>
    <x v="0"/>
    <x v="3"/>
  </r>
  <r>
    <n v="26"/>
    <x v="1"/>
    <s v="Travel_Rarely"/>
    <n v="482"/>
    <x v="1"/>
    <x v="0"/>
    <n v="2"/>
    <s v="Life Sciences"/>
    <n v="1"/>
    <n v="1893"/>
    <n v="2"/>
    <x v="0"/>
    <n v="90"/>
    <n v="2"/>
    <n v="1"/>
    <x v="1"/>
    <x v="2"/>
    <s v="Married"/>
    <n v="2933"/>
    <n v="14908"/>
    <n v="1"/>
    <s v="Y"/>
    <s v="Yes"/>
    <n v="13"/>
    <n v="3"/>
    <n v="3"/>
    <n v="80"/>
    <n v="1"/>
    <n v="1"/>
    <n v="3"/>
    <n v="2"/>
    <x v="6"/>
    <n v="0"/>
    <n v="1"/>
    <n v="0"/>
    <x v="2"/>
    <x v="1"/>
  </r>
  <r>
    <n v="27"/>
    <x v="1"/>
    <s v="Travel_Rarely"/>
    <n v="511"/>
    <x v="0"/>
    <x v="2"/>
    <n v="2"/>
    <s v="Medical"/>
    <n v="1"/>
    <n v="1898"/>
    <n v="1"/>
    <x v="0"/>
    <n v="89"/>
    <n v="4"/>
    <n v="2"/>
    <x v="0"/>
    <x v="2"/>
    <s v="Single"/>
    <n v="6500"/>
    <n v="26997"/>
    <n v="0"/>
    <s v="Y"/>
    <s v="No"/>
    <n v="14"/>
    <n v="3"/>
    <n v="2"/>
    <n v="80"/>
    <n v="0"/>
    <n v="9"/>
    <n v="5"/>
    <n v="2"/>
    <x v="3"/>
    <n v="7"/>
    <n v="0"/>
    <n v="7"/>
    <x v="2"/>
    <x v="4"/>
  </r>
  <r>
    <n v="48"/>
    <x v="1"/>
    <s v="Travel_Frequently"/>
    <n v="117"/>
    <x v="1"/>
    <x v="23"/>
    <n v="3"/>
    <s v="Medical"/>
    <n v="1"/>
    <n v="1900"/>
    <n v="4"/>
    <x v="0"/>
    <n v="58"/>
    <n v="3"/>
    <n v="4"/>
    <x v="5"/>
    <x v="0"/>
    <s v="Divorced"/>
    <n v="17174"/>
    <n v="2437"/>
    <n v="3"/>
    <s v="Y"/>
    <s v="No"/>
    <n v="11"/>
    <n v="3"/>
    <n v="2"/>
    <n v="80"/>
    <n v="1"/>
    <n v="24"/>
    <n v="3"/>
    <n v="3"/>
    <x v="14"/>
    <n v="17"/>
    <n v="4"/>
    <n v="7"/>
    <x v="1"/>
    <x v="3"/>
  </r>
  <r>
    <n v="44"/>
    <x v="1"/>
    <s v="Travel_Rarely"/>
    <n v="170"/>
    <x v="1"/>
    <x v="0"/>
    <n v="4"/>
    <s v="Life Sciences"/>
    <n v="1"/>
    <n v="1903"/>
    <n v="2"/>
    <x v="1"/>
    <n v="78"/>
    <n v="4"/>
    <n v="2"/>
    <x v="4"/>
    <x v="3"/>
    <s v="Married"/>
    <n v="5033"/>
    <n v="9364"/>
    <n v="2"/>
    <s v="Y"/>
    <s v="No"/>
    <n v="15"/>
    <n v="3"/>
    <n v="4"/>
    <n v="80"/>
    <n v="1"/>
    <n v="10"/>
    <n v="5"/>
    <n v="3"/>
    <x v="4"/>
    <n v="0"/>
    <n v="2"/>
    <n v="2"/>
    <x v="0"/>
    <x v="0"/>
  </r>
  <r>
    <n v="34"/>
    <x v="0"/>
    <s v="Non-Travel"/>
    <n v="967"/>
    <x v="1"/>
    <x v="7"/>
    <n v="4"/>
    <s v="Technical Degree"/>
    <n v="1"/>
    <n v="1905"/>
    <n v="4"/>
    <x v="1"/>
    <n v="85"/>
    <n v="1"/>
    <n v="1"/>
    <x v="1"/>
    <x v="3"/>
    <s v="Married"/>
    <n v="2307"/>
    <n v="14460"/>
    <n v="1"/>
    <s v="Y"/>
    <s v="Yes"/>
    <n v="23"/>
    <n v="4"/>
    <n v="2"/>
    <n v="80"/>
    <n v="1"/>
    <n v="5"/>
    <n v="2"/>
    <n v="3"/>
    <x v="8"/>
    <n v="2"/>
    <n v="3"/>
    <n v="0"/>
    <x v="2"/>
    <x v="1"/>
  </r>
  <r>
    <n v="56"/>
    <x v="0"/>
    <s v="Travel_Rarely"/>
    <n v="1162"/>
    <x v="1"/>
    <x v="4"/>
    <n v="2"/>
    <s v="Life Sciences"/>
    <n v="1"/>
    <n v="1907"/>
    <n v="1"/>
    <x v="1"/>
    <n v="97"/>
    <n v="3"/>
    <n v="1"/>
    <x v="2"/>
    <x v="0"/>
    <s v="Single"/>
    <n v="2587"/>
    <n v="10261"/>
    <n v="1"/>
    <s v="Y"/>
    <s v="No"/>
    <n v="16"/>
    <n v="3"/>
    <n v="4"/>
    <n v="80"/>
    <n v="0"/>
    <n v="5"/>
    <n v="3"/>
    <n v="3"/>
    <x v="9"/>
    <n v="2"/>
    <n v="1"/>
    <n v="0"/>
    <x v="3"/>
    <x v="1"/>
  </r>
  <r>
    <n v="36"/>
    <x v="1"/>
    <s v="Travel_Rarely"/>
    <n v="335"/>
    <x v="0"/>
    <x v="27"/>
    <n v="2"/>
    <s v="Marketing"/>
    <n v="1"/>
    <n v="1908"/>
    <n v="3"/>
    <x v="1"/>
    <n v="33"/>
    <n v="2"/>
    <n v="2"/>
    <x v="0"/>
    <x v="1"/>
    <s v="Married"/>
    <n v="5507"/>
    <n v="16822"/>
    <n v="2"/>
    <s v="Y"/>
    <s v="No"/>
    <n v="16"/>
    <n v="3"/>
    <n v="3"/>
    <n v="80"/>
    <n v="2"/>
    <n v="12"/>
    <n v="1"/>
    <n v="1"/>
    <x v="9"/>
    <n v="2"/>
    <n v="1"/>
    <n v="3"/>
    <x v="0"/>
    <x v="0"/>
  </r>
  <r>
    <n v="41"/>
    <x v="1"/>
    <s v="Travel_Rarely"/>
    <n v="337"/>
    <x v="0"/>
    <x v="1"/>
    <n v="3"/>
    <s v="Marketing"/>
    <n v="1"/>
    <n v="1909"/>
    <n v="3"/>
    <x v="0"/>
    <n v="54"/>
    <n v="3"/>
    <n v="2"/>
    <x v="0"/>
    <x v="1"/>
    <s v="Married"/>
    <n v="4393"/>
    <n v="26841"/>
    <n v="5"/>
    <s v="Y"/>
    <s v="No"/>
    <n v="21"/>
    <n v="4"/>
    <n v="3"/>
    <n v="80"/>
    <n v="1"/>
    <n v="14"/>
    <n v="3"/>
    <n v="3"/>
    <x v="8"/>
    <n v="4"/>
    <n v="1"/>
    <n v="4"/>
    <x v="0"/>
    <x v="0"/>
  </r>
  <r>
    <n v="42"/>
    <x v="1"/>
    <s v="Travel_Rarely"/>
    <n v="1396"/>
    <x v="1"/>
    <x v="16"/>
    <n v="3"/>
    <s v="Medical"/>
    <n v="1"/>
    <n v="1911"/>
    <n v="3"/>
    <x v="1"/>
    <n v="83"/>
    <n v="3"/>
    <n v="3"/>
    <x v="7"/>
    <x v="3"/>
    <s v="Married"/>
    <n v="13348"/>
    <n v="14842"/>
    <n v="9"/>
    <s v="Y"/>
    <s v="No"/>
    <n v="13"/>
    <n v="3"/>
    <n v="2"/>
    <n v="80"/>
    <n v="1"/>
    <n v="18"/>
    <n v="3"/>
    <n v="4"/>
    <x v="20"/>
    <n v="7"/>
    <n v="5"/>
    <n v="7"/>
    <x v="0"/>
    <x v="3"/>
  </r>
  <r>
    <n v="31"/>
    <x v="1"/>
    <s v="Travel_Rarely"/>
    <n v="1079"/>
    <x v="0"/>
    <x v="17"/>
    <n v="2"/>
    <s v="Medical"/>
    <n v="1"/>
    <n v="1912"/>
    <n v="3"/>
    <x v="0"/>
    <n v="86"/>
    <n v="3"/>
    <n v="2"/>
    <x v="0"/>
    <x v="0"/>
    <s v="Divorced"/>
    <n v="6583"/>
    <n v="20115"/>
    <n v="2"/>
    <s v="Y"/>
    <s v="Yes"/>
    <n v="11"/>
    <n v="3"/>
    <n v="4"/>
    <n v="80"/>
    <n v="1"/>
    <n v="8"/>
    <n v="2"/>
    <n v="3"/>
    <x v="8"/>
    <n v="2"/>
    <n v="1"/>
    <n v="4"/>
    <x v="2"/>
    <x v="4"/>
  </r>
  <r>
    <n v="34"/>
    <x v="1"/>
    <s v="Travel_Rarely"/>
    <n v="735"/>
    <x v="0"/>
    <x v="3"/>
    <n v="1"/>
    <s v="Medical"/>
    <n v="1"/>
    <n v="1915"/>
    <n v="4"/>
    <x v="0"/>
    <n v="75"/>
    <n v="2"/>
    <n v="2"/>
    <x v="0"/>
    <x v="0"/>
    <s v="Married"/>
    <n v="8103"/>
    <n v="16495"/>
    <n v="3"/>
    <s v="Y"/>
    <s v="Yes"/>
    <n v="12"/>
    <n v="3"/>
    <n v="3"/>
    <n v="80"/>
    <n v="0"/>
    <n v="9"/>
    <n v="3"/>
    <n v="2"/>
    <x v="9"/>
    <n v="2"/>
    <n v="0"/>
    <n v="1"/>
    <x v="2"/>
    <x v="4"/>
  </r>
  <r>
    <n v="31"/>
    <x v="1"/>
    <s v="Travel_Rarely"/>
    <n v="471"/>
    <x v="1"/>
    <x v="18"/>
    <n v="3"/>
    <s v="Medical"/>
    <n v="1"/>
    <n v="1916"/>
    <n v="1"/>
    <x v="0"/>
    <n v="62"/>
    <n v="4"/>
    <n v="1"/>
    <x v="2"/>
    <x v="2"/>
    <s v="Divorced"/>
    <n v="3978"/>
    <n v="16031"/>
    <n v="8"/>
    <s v="Y"/>
    <s v="No"/>
    <n v="12"/>
    <n v="3"/>
    <n v="2"/>
    <n v="80"/>
    <n v="1"/>
    <n v="4"/>
    <n v="0"/>
    <n v="2"/>
    <x v="4"/>
    <n v="2"/>
    <n v="2"/>
    <n v="2"/>
    <x v="2"/>
    <x v="0"/>
  </r>
  <r>
    <n v="26"/>
    <x v="1"/>
    <s v="Travel_Frequently"/>
    <n v="1096"/>
    <x v="1"/>
    <x v="16"/>
    <n v="3"/>
    <s v="Other"/>
    <n v="1"/>
    <n v="1918"/>
    <n v="3"/>
    <x v="1"/>
    <n v="61"/>
    <n v="4"/>
    <n v="1"/>
    <x v="2"/>
    <x v="0"/>
    <s v="Married"/>
    <n v="2544"/>
    <n v="7102"/>
    <n v="0"/>
    <s v="Y"/>
    <s v="No"/>
    <n v="18"/>
    <n v="3"/>
    <n v="1"/>
    <n v="80"/>
    <n v="1"/>
    <n v="8"/>
    <n v="3"/>
    <n v="3"/>
    <x v="5"/>
    <n v="7"/>
    <n v="7"/>
    <n v="7"/>
    <x v="2"/>
    <x v="1"/>
  </r>
  <r>
    <n v="45"/>
    <x v="1"/>
    <s v="Travel_Frequently"/>
    <n v="1297"/>
    <x v="1"/>
    <x v="0"/>
    <n v="4"/>
    <s v="Medical"/>
    <n v="1"/>
    <n v="1922"/>
    <n v="2"/>
    <x v="1"/>
    <n v="44"/>
    <n v="3"/>
    <n v="2"/>
    <x v="4"/>
    <x v="2"/>
    <s v="Single"/>
    <n v="5399"/>
    <n v="14511"/>
    <n v="4"/>
    <s v="Y"/>
    <s v="No"/>
    <n v="12"/>
    <n v="3"/>
    <n v="3"/>
    <n v="80"/>
    <n v="0"/>
    <n v="12"/>
    <n v="3"/>
    <n v="3"/>
    <x v="9"/>
    <n v="2"/>
    <n v="0"/>
    <n v="3"/>
    <x v="1"/>
    <x v="0"/>
  </r>
  <r>
    <n v="33"/>
    <x v="1"/>
    <s v="Travel_Rarely"/>
    <n v="217"/>
    <x v="0"/>
    <x v="17"/>
    <n v="4"/>
    <s v="Marketing"/>
    <n v="1"/>
    <n v="1924"/>
    <n v="2"/>
    <x v="1"/>
    <n v="43"/>
    <n v="3"/>
    <n v="2"/>
    <x v="0"/>
    <x v="2"/>
    <s v="Single"/>
    <n v="5487"/>
    <n v="10410"/>
    <n v="1"/>
    <s v="Y"/>
    <s v="No"/>
    <n v="14"/>
    <n v="3"/>
    <n v="2"/>
    <n v="80"/>
    <n v="0"/>
    <n v="10"/>
    <n v="2"/>
    <n v="2"/>
    <x v="1"/>
    <n v="4"/>
    <n v="0"/>
    <n v="9"/>
    <x v="2"/>
    <x v="0"/>
  </r>
  <r>
    <n v="28"/>
    <x v="1"/>
    <s v="Travel_Frequently"/>
    <n v="783"/>
    <x v="0"/>
    <x v="0"/>
    <n v="2"/>
    <s v="Life Sciences"/>
    <n v="1"/>
    <n v="1927"/>
    <n v="3"/>
    <x v="1"/>
    <n v="42"/>
    <n v="2"/>
    <n v="2"/>
    <x v="0"/>
    <x v="0"/>
    <s v="Married"/>
    <n v="6834"/>
    <n v="19255"/>
    <n v="1"/>
    <s v="Y"/>
    <s v="Yes"/>
    <n v="12"/>
    <n v="3"/>
    <n v="3"/>
    <n v="80"/>
    <n v="1"/>
    <n v="7"/>
    <n v="2"/>
    <n v="3"/>
    <x v="5"/>
    <n v="7"/>
    <n v="0"/>
    <n v="7"/>
    <x v="2"/>
    <x v="4"/>
  </r>
  <r>
    <n v="29"/>
    <x v="0"/>
    <s v="Travel_Frequently"/>
    <n v="746"/>
    <x v="0"/>
    <x v="4"/>
    <n v="3"/>
    <s v="Technical Degree"/>
    <n v="1"/>
    <n v="1928"/>
    <n v="3"/>
    <x v="1"/>
    <n v="45"/>
    <n v="4"/>
    <n v="1"/>
    <x v="6"/>
    <x v="3"/>
    <s v="Single"/>
    <n v="1091"/>
    <n v="10642"/>
    <n v="1"/>
    <s v="Y"/>
    <s v="No"/>
    <n v="17"/>
    <n v="3"/>
    <n v="4"/>
    <n v="80"/>
    <n v="0"/>
    <n v="1"/>
    <n v="3"/>
    <n v="3"/>
    <x v="6"/>
    <n v="0"/>
    <n v="0"/>
    <n v="0"/>
    <x v="2"/>
    <x v="1"/>
  </r>
  <r>
    <n v="39"/>
    <x v="1"/>
    <s v="Non-Travel"/>
    <n v="1251"/>
    <x v="0"/>
    <x v="11"/>
    <n v="4"/>
    <s v="Life Sciences"/>
    <n v="1"/>
    <n v="1929"/>
    <n v="1"/>
    <x v="0"/>
    <n v="32"/>
    <n v="1"/>
    <n v="2"/>
    <x v="0"/>
    <x v="2"/>
    <s v="Married"/>
    <n v="5736"/>
    <n v="3987"/>
    <n v="6"/>
    <s v="Y"/>
    <s v="No"/>
    <n v="19"/>
    <n v="3"/>
    <n v="3"/>
    <n v="80"/>
    <n v="1"/>
    <n v="10"/>
    <n v="1"/>
    <n v="3"/>
    <x v="11"/>
    <n v="2"/>
    <n v="1"/>
    <n v="2"/>
    <x v="0"/>
    <x v="0"/>
  </r>
  <r>
    <n v="27"/>
    <x v="1"/>
    <s v="Travel_Rarely"/>
    <n v="1354"/>
    <x v="1"/>
    <x v="2"/>
    <n v="4"/>
    <s v="Technical Degree"/>
    <n v="1"/>
    <n v="1931"/>
    <n v="2"/>
    <x v="1"/>
    <n v="41"/>
    <n v="3"/>
    <n v="1"/>
    <x v="1"/>
    <x v="1"/>
    <s v="Married"/>
    <n v="2226"/>
    <n v="6073"/>
    <n v="1"/>
    <s v="Y"/>
    <s v="No"/>
    <n v="11"/>
    <n v="3"/>
    <n v="3"/>
    <n v="80"/>
    <n v="1"/>
    <n v="6"/>
    <n v="3"/>
    <n v="2"/>
    <x v="8"/>
    <n v="3"/>
    <n v="1"/>
    <n v="2"/>
    <x v="2"/>
    <x v="1"/>
  </r>
  <r>
    <n v="34"/>
    <x v="1"/>
    <s v="Travel_Frequently"/>
    <n v="735"/>
    <x v="1"/>
    <x v="23"/>
    <n v="4"/>
    <s v="Other"/>
    <n v="1"/>
    <n v="1932"/>
    <n v="3"/>
    <x v="1"/>
    <n v="86"/>
    <n v="2"/>
    <n v="2"/>
    <x v="1"/>
    <x v="0"/>
    <s v="Married"/>
    <n v="5747"/>
    <n v="26496"/>
    <n v="1"/>
    <s v="Y"/>
    <s v="Yes"/>
    <n v="15"/>
    <n v="3"/>
    <n v="2"/>
    <n v="80"/>
    <n v="0"/>
    <n v="16"/>
    <n v="3"/>
    <n v="3"/>
    <x v="15"/>
    <n v="10"/>
    <n v="6"/>
    <n v="11"/>
    <x v="2"/>
    <x v="0"/>
  </r>
  <r>
    <n v="28"/>
    <x v="0"/>
    <s v="Travel_Rarely"/>
    <n v="1475"/>
    <x v="0"/>
    <x v="28"/>
    <n v="2"/>
    <s v="Marketing"/>
    <n v="1"/>
    <n v="1933"/>
    <n v="4"/>
    <x v="0"/>
    <n v="84"/>
    <n v="3"/>
    <n v="2"/>
    <x v="0"/>
    <x v="2"/>
    <s v="Single"/>
    <n v="9854"/>
    <n v="23352"/>
    <n v="3"/>
    <s v="Y"/>
    <s v="Yes"/>
    <n v="11"/>
    <n v="3"/>
    <n v="4"/>
    <n v="80"/>
    <n v="0"/>
    <n v="6"/>
    <n v="0"/>
    <n v="3"/>
    <x v="4"/>
    <n v="0"/>
    <n v="2"/>
    <n v="2"/>
    <x v="2"/>
    <x v="2"/>
  </r>
  <r>
    <n v="47"/>
    <x v="1"/>
    <s v="Non-Travel"/>
    <n v="1169"/>
    <x v="1"/>
    <x v="24"/>
    <n v="4"/>
    <s v="Technical Degree"/>
    <n v="1"/>
    <n v="1934"/>
    <n v="3"/>
    <x v="1"/>
    <n v="64"/>
    <n v="3"/>
    <n v="2"/>
    <x v="1"/>
    <x v="1"/>
    <s v="Married"/>
    <n v="5467"/>
    <n v="2125"/>
    <n v="8"/>
    <s v="Y"/>
    <s v="No"/>
    <n v="18"/>
    <n v="3"/>
    <n v="3"/>
    <n v="80"/>
    <n v="1"/>
    <n v="16"/>
    <n v="4"/>
    <n v="4"/>
    <x v="3"/>
    <n v="7"/>
    <n v="1"/>
    <n v="7"/>
    <x v="1"/>
    <x v="0"/>
  </r>
  <r>
    <n v="56"/>
    <x v="1"/>
    <s v="Travel_Rarely"/>
    <n v="1443"/>
    <x v="0"/>
    <x v="13"/>
    <n v="5"/>
    <s v="Marketing"/>
    <n v="1"/>
    <n v="1935"/>
    <n v="4"/>
    <x v="0"/>
    <n v="89"/>
    <n v="2"/>
    <n v="2"/>
    <x v="0"/>
    <x v="3"/>
    <s v="Married"/>
    <n v="5380"/>
    <n v="20328"/>
    <n v="4"/>
    <s v="Y"/>
    <s v="No"/>
    <n v="16"/>
    <n v="3"/>
    <n v="3"/>
    <n v="80"/>
    <n v="1"/>
    <n v="6"/>
    <n v="3"/>
    <n v="3"/>
    <x v="2"/>
    <n v="0"/>
    <n v="0"/>
    <n v="0"/>
    <x v="3"/>
    <x v="0"/>
  </r>
  <r>
    <n v="39"/>
    <x v="1"/>
    <s v="Travel_Rarely"/>
    <n v="867"/>
    <x v="1"/>
    <x v="14"/>
    <n v="2"/>
    <s v="Medical"/>
    <n v="1"/>
    <n v="1936"/>
    <n v="1"/>
    <x v="1"/>
    <n v="87"/>
    <n v="3"/>
    <n v="2"/>
    <x v="3"/>
    <x v="3"/>
    <s v="Married"/>
    <n v="5151"/>
    <n v="12315"/>
    <n v="1"/>
    <s v="Y"/>
    <s v="No"/>
    <n v="25"/>
    <n v="4"/>
    <n v="4"/>
    <n v="80"/>
    <n v="1"/>
    <n v="10"/>
    <n v="3"/>
    <n v="3"/>
    <x v="1"/>
    <n v="0"/>
    <n v="7"/>
    <n v="9"/>
    <x v="0"/>
    <x v="0"/>
  </r>
  <r>
    <n v="38"/>
    <x v="1"/>
    <s v="Travel_Frequently"/>
    <n v="1394"/>
    <x v="1"/>
    <x v="1"/>
    <n v="3"/>
    <s v="Medical"/>
    <n v="1"/>
    <n v="1937"/>
    <n v="4"/>
    <x v="0"/>
    <n v="58"/>
    <n v="2"/>
    <n v="2"/>
    <x v="1"/>
    <x v="1"/>
    <s v="Divorced"/>
    <n v="2133"/>
    <n v="18115"/>
    <n v="1"/>
    <s v="Y"/>
    <s v="Yes"/>
    <n v="16"/>
    <n v="3"/>
    <n v="3"/>
    <n v="80"/>
    <n v="1"/>
    <n v="20"/>
    <n v="3"/>
    <n v="3"/>
    <x v="23"/>
    <n v="11"/>
    <n v="0"/>
    <n v="7"/>
    <x v="0"/>
    <x v="1"/>
  </r>
  <r>
    <n v="58"/>
    <x v="1"/>
    <s v="Travel_Rarely"/>
    <n v="605"/>
    <x v="0"/>
    <x v="11"/>
    <n v="3"/>
    <s v="Life Sciences"/>
    <n v="1"/>
    <n v="1938"/>
    <n v="4"/>
    <x v="0"/>
    <n v="72"/>
    <n v="3"/>
    <n v="4"/>
    <x v="5"/>
    <x v="0"/>
    <s v="Married"/>
    <n v="17875"/>
    <n v="11761"/>
    <n v="4"/>
    <s v="Y"/>
    <s v="Yes"/>
    <n v="13"/>
    <n v="3"/>
    <n v="3"/>
    <n v="80"/>
    <n v="1"/>
    <n v="29"/>
    <n v="2"/>
    <n v="2"/>
    <x v="6"/>
    <n v="0"/>
    <n v="0"/>
    <n v="0"/>
    <x v="3"/>
    <x v="3"/>
  </r>
  <r>
    <n v="32"/>
    <x v="0"/>
    <s v="Travel_Frequently"/>
    <n v="238"/>
    <x v="1"/>
    <x v="12"/>
    <n v="2"/>
    <s v="Life Sciences"/>
    <n v="1"/>
    <n v="1939"/>
    <n v="1"/>
    <x v="0"/>
    <n v="47"/>
    <n v="4"/>
    <n v="1"/>
    <x v="1"/>
    <x v="2"/>
    <s v="Single"/>
    <n v="2432"/>
    <n v="15318"/>
    <n v="3"/>
    <s v="Y"/>
    <s v="Yes"/>
    <n v="14"/>
    <n v="3"/>
    <n v="1"/>
    <n v="80"/>
    <n v="0"/>
    <n v="8"/>
    <n v="2"/>
    <n v="3"/>
    <x v="9"/>
    <n v="1"/>
    <n v="0"/>
    <n v="3"/>
    <x v="2"/>
    <x v="1"/>
  </r>
  <r>
    <n v="38"/>
    <x v="1"/>
    <s v="Travel_Rarely"/>
    <n v="1206"/>
    <x v="1"/>
    <x v="14"/>
    <n v="2"/>
    <s v="Life Sciences"/>
    <n v="1"/>
    <n v="1940"/>
    <n v="2"/>
    <x v="1"/>
    <n v="71"/>
    <n v="3"/>
    <n v="1"/>
    <x v="1"/>
    <x v="0"/>
    <s v="Divorced"/>
    <n v="4771"/>
    <n v="14293"/>
    <n v="2"/>
    <s v="Y"/>
    <s v="No"/>
    <n v="19"/>
    <n v="3"/>
    <n v="4"/>
    <n v="80"/>
    <n v="2"/>
    <n v="10"/>
    <n v="0"/>
    <n v="4"/>
    <x v="8"/>
    <n v="2"/>
    <n v="0"/>
    <n v="3"/>
    <x v="0"/>
    <x v="0"/>
  </r>
  <r>
    <n v="49"/>
    <x v="1"/>
    <s v="Travel_Frequently"/>
    <n v="1064"/>
    <x v="1"/>
    <x v="2"/>
    <n v="1"/>
    <s v="Life Sciences"/>
    <n v="1"/>
    <n v="1941"/>
    <n v="2"/>
    <x v="1"/>
    <n v="42"/>
    <n v="3"/>
    <n v="5"/>
    <x v="7"/>
    <x v="0"/>
    <s v="Married"/>
    <n v="19161"/>
    <n v="13738"/>
    <n v="3"/>
    <s v="Y"/>
    <s v="No"/>
    <n v="15"/>
    <n v="3"/>
    <n v="4"/>
    <n v="80"/>
    <n v="0"/>
    <n v="28"/>
    <n v="3"/>
    <n v="3"/>
    <x v="8"/>
    <n v="4"/>
    <n v="4"/>
    <n v="3"/>
    <x v="1"/>
    <x v="3"/>
  </r>
  <r>
    <n v="42"/>
    <x v="1"/>
    <s v="Travel_Rarely"/>
    <n v="419"/>
    <x v="0"/>
    <x v="20"/>
    <n v="4"/>
    <s v="Marketing"/>
    <n v="1"/>
    <n v="1943"/>
    <n v="2"/>
    <x v="1"/>
    <n v="77"/>
    <n v="3"/>
    <n v="2"/>
    <x v="0"/>
    <x v="0"/>
    <s v="Divorced"/>
    <n v="5087"/>
    <n v="2900"/>
    <n v="3"/>
    <s v="Y"/>
    <s v="Yes"/>
    <n v="12"/>
    <n v="3"/>
    <n v="3"/>
    <n v="80"/>
    <n v="2"/>
    <n v="14"/>
    <n v="4"/>
    <n v="3"/>
    <x v="2"/>
    <n v="0"/>
    <n v="0"/>
    <n v="0"/>
    <x v="0"/>
    <x v="0"/>
  </r>
  <r>
    <n v="27"/>
    <x v="0"/>
    <s v="Travel_Frequently"/>
    <n v="1337"/>
    <x v="2"/>
    <x v="23"/>
    <n v="3"/>
    <s v="Human Resources"/>
    <n v="1"/>
    <n v="1944"/>
    <n v="1"/>
    <x v="0"/>
    <n v="58"/>
    <n v="2"/>
    <n v="1"/>
    <x v="8"/>
    <x v="1"/>
    <s v="Married"/>
    <n v="2863"/>
    <n v="19555"/>
    <n v="1"/>
    <s v="Y"/>
    <s v="No"/>
    <n v="12"/>
    <n v="3"/>
    <n v="1"/>
    <n v="80"/>
    <n v="0"/>
    <n v="1"/>
    <n v="2"/>
    <n v="3"/>
    <x v="6"/>
    <n v="0"/>
    <n v="0"/>
    <n v="0"/>
    <x v="2"/>
    <x v="1"/>
  </r>
  <r>
    <n v="35"/>
    <x v="1"/>
    <s v="Travel_Rarely"/>
    <n v="682"/>
    <x v="0"/>
    <x v="21"/>
    <n v="4"/>
    <s v="Medical"/>
    <n v="1"/>
    <n v="1945"/>
    <n v="2"/>
    <x v="1"/>
    <n v="71"/>
    <n v="3"/>
    <n v="2"/>
    <x v="0"/>
    <x v="3"/>
    <s v="Married"/>
    <n v="5561"/>
    <n v="15975"/>
    <n v="0"/>
    <s v="Y"/>
    <s v="No"/>
    <n v="16"/>
    <n v="3"/>
    <n v="4"/>
    <n v="80"/>
    <n v="1"/>
    <n v="6"/>
    <n v="2"/>
    <n v="1"/>
    <x v="8"/>
    <n v="3"/>
    <n v="0"/>
    <n v="4"/>
    <x v="0"/>
    <x v="0"/>
  </r>
  <r>
    <n v="28"/>
    <x v="1"/>
    <s v="Non-Travel"/>
    <n v="1103"/>
    <x v="1"/>
    <x v="7"/>
    <n v="3"/>
    <s v="Medical"/>
    <n v="1"/>
    <n v="1947"/>
    <n v="3"/>
    <x v="1"/>
    <n v="49"/>
    <n v="3"/>
    <n v="1"/>
    <x v="1"/>
    <x v="2"/>
    <s v="Single"/>
    <n v="2144"/>
    <n v="2122"/>
    <n v="1"/>
    <s v="Y"/>
    <s v="No"/>
    <n v="14"/>
    <n v="3"/>
    <n v="3"/>
    <n v="80"/>
    <n v="0"/>
    <n v="5"/>
    <n v="3"/>
    <n v="2"/>
    <x v="8"/>
    <n v="3"/>
    <n v="1"/>
    <n v="4"/>
    <x v="2"/>
    <x v="1"/>
  </r>
  <r>
    <n v="31"/>
    <x v="1"/>
    <s v="Non-Travel"/>
    <n v="976"/>
    <x v="1"/>
    <x v="3"/>
    <n v="2"/>
    <s v="Medical"/>
    <n v="1"/>
    <n v="1948"/>
    <n v="3"/>
    <x v="1"/>
    <n v="48"/>
    <n v="3"/>
    <n v="1"/>
    <x v="1"/>
    <x v="3"/>
    <s v="Divorced"/>
    <n v="3065"/>
    <n v="3995"/>
    <n v="1"/>
    <s v="Y"/>
    <s v="Yes"/>
    <n v="13"/>
    <n v="3"/>
    <n v="4"/>
    <n v="80"/>
    <n v="1"/>
    <n v="4"/>
    <n v="3"/>
    <n v="4"/>
    <x v="9"/>
    <n v="2"/>
    <n v="2"/>
    <n v="3"/>
    <x v="2"/>
    <x v="0"/>
  </r>
  <r>
    <n v="36"/>
    <x v="1"/>
    <s v="Non-Travel"/>
    <n v="1351"/>
    <x v="1"/>
    <x v="14"/>
    <n v="4"/>
    <s v="Life Sciences"/>
    <n v="1"/>
    <n v="1949"/>
    <n v="1"/>
    <x v="1"/>
    <n v="66"/>
    <n v="4"/>
    <n v="1"/>
    <x v="2"/>
    <x v="1"/>
    <s v="Married"/>
    <n v="2810"/>
    <n v="9238"/>
    <n v="1"/>
    <s v="Y"/>
    <s v="No"/>
    <n v="22"/>
    <n v="4"/>
    <n v="2"/>
    <n v="80"/>
    <n v="0"/>
    <n v="5"/>
    <n v="3"/>
    <n v="3"/>
    <x v="8"/>
    <n v="4"/>
    <n v="0"/>
    <n v="2"/>
    <x v="0"/>
    <x v="1"/>
  </r>
  <r>
    <n v="34"/>
    <x v="1"/>
    <s v="Travel_Rarely"/>
    <n v="937"/>
    <x v="0"/>
    <x v="0"/>
    <n v="3"/>
    <s v="Marketing"/>
    <n v="1"/>
    <n v="1950"/>
    <n v="1"/>
    <x v="1"/>
    <n v="32"/>
    <n v="3"/>
    <n v="3"/>
    <x v="0"/>
    <x v="0"/>
    <s v="Single"/>
    <n v="9888"/>
    <n v="6770"/>
    <n v="1"/>
    <s v="Y"/>
    <s v="No"/>
    <n v="21"/>
    <n v="4"/>
    <n v="1"/>
    <n v="80"/>
    <n v="0"/>
    <n v="14"/>
    <n v="3"/>
    <n v="2"/>
    <x v="13"/>
    <n v="8"/>
    <n v="2"/>
    <n v="1"/>
    <x v="2"/>
    <x v="2"/>
  </r>
  <r>
    <n v="34"/>
    <x v="1"/>
    <s v="Travel_Rarely"/>
    <n v="1239"/>
    <x v="0"/>
    <x v="28"/>
    <n v="4"/>
    <s v="Medical"/>
    <n v="1"/>
    <n v="1951"/>
    <n v="4"/>
    <x v="1"/>
    <n v="39"/>
    <n v="3"/>
    <n v="3"/>
    <x v="0"/>
    <x v="2"/>
    <s v="Divorced"/>
    <n v="8628"/>
    <n v="22914"/>
    <n v="1"/>
    <s v="Y"/>
    <s v="No"/>
    <n v="18"/>
    <n v="3"/>
    <n v="3"/>
    <n v="80"/>
    <n v="1"/>
    <n v="9"/>
    <n v="2"/>
    <n v="2"/>
    <x v="3"/>
    <n v="7"/>
    <n v="1"/>
    <n v="1"/>
    <x v="2"/>
    <x v="4"/>
  </r>
  <r>
    <n v="26"/>
    <x v="1"/>
    <s v="Travel_Rarely"/>
    <n v="157"/>
    <x v="1"/>
    <x v="0"/>
    <n v="3"/>
    <s v="Medical"/>
    <n v="1"/>
    <n v="1952"/>
    <n v="3"/>
    <x v="1"/>
    <n v="95"/>
    <n v="3"/>
    <n v="1"/>
    <x v="2"/>
    <x v="3"/>
    <s v="Single"/>
    <n v="2867"/>
    <n v="20006"/>
    <n v="0"/>
    <s v="Y"/>
    <s v="No"/>
    <n v="13"/>
    <n v="3"/>
    <n v="4"/>
    <n v="80"/>
    <n v="0"/>
    <n v="8"/>
    <n v="6"/>
    <n v="2"/>
    <x v="5"/>
    <n v="7"/>
    <n v="7"/>
    <n v="6"/>
    <x v="2"/>
    <x v="1"/>
  </r>
  <r>
    <n v="29"/>
    <x v="1"/>
    <s v="Travel_Rarely"/>
    <n v="136"/>
    <x v="1"/>
    <x v="0"/>
    <n v="3"/>
    <s v="Life Sciences"/>
    <n v="1"/>
    <n v="1954"/>
    <n v="1"/>
    <x v="1"/>
    <n v="89"/>
    <n v="3"/>
    <n v="2"/>
    <x v="4"/>
    <x v="3"/>
    <s v="Married"/>
    <n v="5373"/>
    <n v="6225"/>
    <n v="0"/>
    <s v="Y"/>
    <s v="No"/>
    <n v="12"/>
    <n v="3"/>
    <n v="1"/>
    <n v="80"/>
    <n v="1"/>
    <n v="6"/>
    <n v="5"/>
    <n v="2"/>
    <x v="8"/>
    <n v="3"/>
    <n v="0"/>
    <n v="2"/>
    <x v="2"/>
    <x v="0"/>
  </r>
  <r>
    <n v="32"/>
    <x v="1"/>
    <s v="Non-Travel"/>
    <n v="1146"/>
    <x v="1"/>
    <x v="8"/>
    <n v="4"/>
    <s v="Medical"/>
    <n v="1"/>
    <n v="1955"/>
    <n v="3"/>
    <x v="0"/>
    <n v="34"/>
    <n v="3"/>
    <n v="2"/>
    <x v="4"/>
    <x v="0"/>
    <s v="Divorced"/>
    <n v="6667"/>
    <n v="16542"/>
    <n v="5"/>
    <s v="Y"/>
    <s v="No"/>
    <n v="18"/>
    <n v="3"/>
    <n v="2"/>
    <n v="80"/>
    <n v="1"/>
    <n v="9"/>
    <n v="6"/>
    <n v="3"/>
    <x v="8"/>
    <n v="1"/>
    <n v="1"/>
    <n v="2"/>
    <x v="2"/>
    <x v="4"/>
  </r>
  <r>
    <n v="31"/>
    <x v="1"/>
    <s v="Travel_Frequently"/>
    <n v="1125"/>
    <x v="1"/>
    <x v="0"/>
    <n v="3"/>
    <s v="Life Sciences"/>
    <n v="1"/>
    <n v="1956"/>
    <n v="4"/>
    <x v="1"/>
    <n v="48"/>
    <n v="1"/>
    <n v="2"/>
    <x v="1"/>
    <x v="3"/>
    <s v="Married"/>
    <n v="5003"/>
    <n v="5771"/>
    <n v="1"/>
    <s v="Y"/>
    <s v="No"/>
    <n v="21"/>
    <n v="4"/>
    <n v="2"/>
    <n v="80"/>
    <n v="0"/>
    <n v="10"/>
    <n v="6"/>
    <n v="3"/>
    <x v="1"/>
    <n v="8"/>
    <n v="8"/>
    <n v="7"/>
    <x v="2"/>
    <x v="0"/>
  </r>
  <r>
    <n v="28"/>
    <x v="0"/>
    <s v="Travel_Rarely"/>
    <n v="1404"/>
    <x v="1"/>
    <x v="27"/>
    <n v="3"/>
    <s v="Technical Degree"/>
    <n v="1"/>
    <n v="1960"/>
    <n v="3"/>
    <x v="1"/>
    <n v="32"/>
    <n v="2"/>
    <n v="1"/>
    <x v="2"/>
    <x v="0"/>
    <s v="Divorced"/>
    <n v="2367"/>
    <n v="18779"/>
    <n v="5"/>
    <s v="Y"/>
    <s v="No"/>
    <n v="12"/>
    <n v="3"/>
    <n v="1"/>
    <n v="80"/>
    <n v="1"/>
    <n v="6"/>
    <n v="2"/>
    <n v="2"/>
    <x v="9"/>
    <n v="1"/>
    <n v="0"/>
    <n v="3"/>
    <x v="2"/>
    <x v="1"/>
  </r>
  <r>
    <n v="38"/>
    <x v="1"/>
    <s v="Travel_Rarely"/>
    <n v="1404"/>
    <x v="0"/>
    <x v="0"/>
    <n v="3"/>
    <s v="Life Sciences"/>
    <n v="1"/>
    <n v="1961"/>
    <n v="1"/>
    <x v="1"/>
    <n v="59"/>
    <n v="2"/>
    <n v="1"/>
    <x v="6"/>
    <x v="3"/>
    <s v="Single"/>
    <n v="2858"/>
    <n v="11473"/>
    <n v="4"/>
    <s v="Y"/>
    <s v="No"/>
    <n v="14"/>
    <n v="3"/>
    <n v="1"/>
    <n v="80"/>
    <n v="0"/>
    <n v="20"/>
    <n v="3"/>
    <n v="2"/>
    <x v="6"/>
    <n v="0"/>
    <n v="0"/>
    <n v="0"/>
    <x v="0"/>
    <x v="1"/>
  </r>
  <r>
    <n v="35"/>
    <x v="1"/>
    <s v="Travel_Rarely"/>
    <n v="1224"/>
    <x v="0"/>
    <x v="15"/>
    <n v="4"/>
    <s v="Life Sciences"/>
    <n v="1"/>
    <n v="1962"/>
    <n v="3"/>
    <x v="0"/>
    <n v="55"/>
    <n v="3"/>
    <n v="2"/>
    <x v="0"/>
    <x v="0"/>
    <s v="Married"/>
    <n v="5204"/>
    <n v="13586"/>
    <n v="1"/>
    <s v="Y"/>
    <s v="Yes"/>
    <n v="11"/>
    <n v="3"/>
    <n v="4"/>
    <n v="80"/>
    <n v="0"/>
    <n v="10"/>
    <n v="2"/>
    <n v="3"/>
    <x v="1"/>
    <n v="8"/>
    <n v="0"/>
    <n v="9"/>
    <x v="0"/>
    <x v="0"/>
  </r>
  <r>
    <n v="27"/>
    <x v="1"/>
    <s v="Travel_Rarely"/>
    <n v="954"/>
    <x v="0"/>
    <x v="14"/>
    <n v="3"/>
    <s v="Marketing"/>
    <n v="1"/>
    <n v="1965"/>
    <n v="4"/>
    <x v="1"/>
    <n v="44"/>
    <n v="3"/>
    <n v="2"/>
    <x v="0"/>
    <x v="0"/>
    <s v="Single"/>
    <n v="4105"/>
    <n v="5099"/>
    <n v="1"/>
    <s v="Y"/>
    <s v="No"/>
    <n v="14"/>
    <n v="3"/>
    <n v="1"/>
    <n v="80"/>
    <n v="0"/>
    <n v="7"/>
    <n v="5"/>
    <n v="3"/>
    <x v="5"/>
    <n v="7"/>
    <n v="0"/>
    <n v="7"/>
    <x v="2"/>
    <x v="0"/>
  </r>
  <r>
    <n v="32"/>
    <x v="1"/>
    <s v="Travel_Rarely"/>
    <n v="1373"/>
    <x v="1"/>
    <x v="12"/>
    <n v="4"/>
    <s v="Life Sciences"/>
    <n v="1"/>
    <n v="1966"/>
    <n v="4"/>
    <x v="1"/>
    <n v="56"/>
    <n v="2"/>
    <n v="2"/>
    <x v="3"/>
    <x v="0"/>
    <s v="Single"/>
    <n v="9679"/>
    <n v="10138"/>
    <n v="8"/>
    <s v="Y"/>
    <s v="No"/>
    <n v="24"/>
    <n v="4"/>
    <n v="2"/>
    <n v="80"/>
    <n v="0"/>
    <n v="8"/>
    <n v="1"/>
    <n v="3"/>
    <x v="6"/>
    <n v="0"/>
    <n v="0"/>
    <n v="0"/>
    <x v="2"/>
    <x v="2"/>
  </r>
  <r>
    <n v="31"/>
    <x v="0"/>
    <s v="Travel_Frequently"/>
    <n v="754"/>
    <x v="0"/>
    <x v="9"/>
    <n v="4"/>
    <s v="Marketing"/>
    <n v="1"/>
    <n v="1967"/>
    <n v="1"/>
    <x v="1"/>
    <n v="63"/>
    <n v="3"/>
    <n v="2"/>
    <x v="0"/>
    <x v="0"/>
    <s v="Married"/>
    <n v="5617"/>
    <n v="21075"/>
    <n v="1"/>
    <s v="Y"/>
    <s v="Yes"/>
    <n v="11"/>
    <n v="3"/>
    <n v="3"/>
    <n v="80"/>
    <n v="0"/>
    <n v="10"/>
    <n v="4"/>
    <n v="3"/>
    <x v="1"/>
    <n v="7"/>
    <n v="0"/>
    <n v="8"/>
    <x v="2"/>
    <x v="0"/>
  </r>
  <r>
    <n v="53"/>
    <x v="0"/>
    <s v="Travel_Rarely"/>
    <n v="1168"/>
    <x v="0"/>
    <x v="4"/>
    <n v="4"/>
    <s v="Life Sciences"/>
    <n v="1"/>
    <n v="1968"/>
    <n v="1"/>
    <x v="1"/>
    <n v="66"/>
    <n v="3"/>
    <n v="3"/>
    <x v="0"/>
    <x v="3"/>
    <s v="Single"/>
    <n v="10448"/>
    <n v="5843"/>
    <n v="6"/>
    <s v="Y"/>
    <s v="Yes"/>
    <n v="13"/>
    <n v="3"/>
    <n v="2"/>
    <n v="80"/>
    <n v="0"/>
    <n v="15"/>
    <n v="2"/>
    <n v="2"/>
    <x v="4"/>
    <n v="2"/>
    <n v="2"/>
    <n v="2"/>
    <x v="1"/>
    <x v="2"/>
  </r>
  <r>
    <n v="54"/>
    <x v="1"/>
    <s v="Travel_Rarely"/>
    <n v="155"/>
    <x v="1"/>
    <x v="14"/>
    <n v="2"/>
    <s v="Life Sciences"/>
    <n v="1"/>
    <n v="1969"/>
    <n v="1"/>
    <x v="0"/>
    <n v="67"/>
    <n v="3"/>
    <n v="2"/>
    <x v="1"/>
    <x v="2"/>
    <s v="Married"/>
    <n v="2897"/>
    <n v="22474"/>
    <n v="3"/>
    <s v="Y"/>
    <s v="No"/>
    <n v="11"/>
    <n v="3"/>
    <n v="3"/>
    <n v="80"/>
    <n v="2"/>
    <n v="9"/>
    <n v="6"/>
    <n v="2"/>
    <x v="9"/>
    <n v="3"/>
    <n v="2"/>
    <n v="3"/>
    <x v="1"/>
    <x v="1"/>
  </r>
  <r>
    <n v="33"/>
    <x v="1"/>
    <s v="Travel_Frequently"/>
    <n v="1303"/>
    <x v="1"/>
    <x v="15"/>
    <n v="2"/>
    <s v="Life Sciences"/>
    <n v="1"/>
    <n v="1970"/>
    <n v="4"/>
    <x v="1"/>
    <n v="36"/>
    <n v="3"/>
    <n v="2"/>
    <x v="4"/>
    <x v="2"/>
    <s v="Divorced"/>
    <n v="5968"/>
    <n v="18079"/>
    <n v="1"/>
    <s v="Y"/>
    <s v="No"/>
    <n v="20"/>
    <n v="4"/>
    <n v="3"/>
    <n v="80"/>
    <n v="3"/>
    <n v="9"/>
    <n v="2"/>
    <n v="3"/>
    <x v="7"/>
    <n v="7"/>
    <n v="2"/>
    <n v="8"/>
    <x v="2"/>
    <x v="0"/>
  </r>
  <r>
    <n v="43"/>
    <x v="1"/>
    <s v="Travel_Rarely"/>
    <n v="574"/>
    <x v="1"/>
    <x v="13"/>
    <n v="3"/>
    <s v="Life Sciences"/>
    <n v="1"/>
    <n v="1971"/>
    <n v="1"/>
    <x v="1"/>
    <n v="30"/>
    <n v="3"/>
    <n v="3"/>
    <x v="4"/>
    <x v="2"/>
    <s v="Married"/>
    <n v="7510"/>
    <n v="16873"/>
    <n v="1"/>
    <s v="Y"/>
    <s v="No"/>
    <n v="17"/>
    <n v="3"/>
    <n v="2"/>
    <n v="80"/>
    <n v="1"/>
    <n v="10"/>
    <n v="1"/>
    <n v="3"/>
    <x v="1"/>
    <n v="9"/>
    <n v="0"/>
    <n v="9"/>
    <x v="0"/>
    <x v="4"/>
  </r>
  <r>
    <n v="38"/>
    <x v="1"/>
    <s v="Travel_Frequently"/>
    <n v="1444"/>
    <x v="2"/>
    <x v="0"/>
    <n v="4"/>
    <s v="Other"/>
    <n v="1"/>
    <n v="1972"/>
    <n v="4"/>
    <x v="1"/>
    <n v="88"/>
    <n v="3"/>
    <n v="1"/>
    <x v="8"/>
    <x v="1"/>
    <s v="Married"/>
    <n v="2991"/>
    <n v="5224"/>
    <n v="0"/>
    <s v="Y"/>
    <s v="Yes"/>
    <n v="11"/>
    <n v="3"/>
    <n v="2"/>
    <n v="80"/>
    <n v="1"/>
    <n v="7"/>
    <n v="2"/>
    <n v="3"/>
    <x v="0"/>
    <n v="2"/>
    <n v="1"/>
    <n v="2"/>
    <x v="0"/>
    <x v="1"/>
  </r>
  <r>
    <n v="55"/>
    <x v="1"/>
    <s v="Travel_Rarely"/>
    <n v="189"/>
    <x v="2"/>
    <x v="9"/>
    <n v="4"/>
    <s v="Human Resources"/>
    <n v="1"/>
    <n v="1973"/>
    <n v="3"/>
    <x v="1"/>
    <n v="71"/>
    <n v="4"/>
    <n v="5"/>
    <x v="5"/>
    <x v="1"/>
    <s v="Married"/>
    <n v="19636"/>
    <n v="25811"/>
    <n v="4"/>
    <s v="Y"/>
    <s v="Yes"/>
    <n v="18"/>
    <n v="3"/>
    <n v="1"/>
    <n v="80"/>
    <n v="1"/>
    <n v="35"/>
    <n v="0"/>
    <n v="3"/>
    <x v="1"/>
    <n v="9"/>
    <n v="1"/>
    <n v="4"/>
    <x v="3"/>
    <x v="3"/>
  </r>
  <r>
    <n v="31"/>
    <x v="1"/>
    <s v="Travel_Rarely"/>
    <n v="1276"/>
    <x v="1"/>
    <x v="2"/>
    <n v="1"/>
    <s v="Medical"/>
    <n v="1"/>
    <n v="1974"/>
    <n v="4"/>
    <x v="0"/>
    <n v="59"/>
    <n v="1"/>
    <n v="1"/>
    <x v="2"/>
    <x v="0"/>
    <s v="Divorced"/>
    <n v="1129"/>
    <n v="17536"/>
    <n v="1"/>
    <s v="Y"/>
    <s v="Yes"/>
    <n v="11"/>
    <n v="3"/>
    <n v="3"/>
    <n v="80"/>
    <n v="3"/>
    <n v="1"/>
    <n v="4"/>
    <n v="3"/>
    <x v="6"/>
    <n v="0"/>
    <n v="0"/>
    <n v="0"/>
    <x v="2"/>
    <x v="1"/>
  </r>
  <r>
    <n v="39"/>
    <x v="1"/>
    <s v="Travel_Rarely"/>
    <n v="119"/>
    <x v="0"/>
    <x v="8"/>
    <n v="4"/>
    <s v="Marketing"/>
    <n v="1"/>
    <n v="1975"/>
    <n v="2"/>
    <x v="1"/>
    <n v="77"/>
    <n v="3"/>
    <n v="4"/>
    <x v="0"/>
    <x v="3"/>
    <s v="Single"/>
    <n v="13341"/>
    <n v="25098"/>
    <n v="0"/>
    <s v="Y"/>
    <s v="No"/>
    <n v="12"/>
    <n v="3"/>
    <n v="1"/>
    <n v="80"/>
    <n v="0"/>
    <n v="21"/>
    <n v="3"/>
    <n v="3"/>
    <x v="23"/>
    <n v="8"/>
    <n v="11"/>
    <n v="10"/>
    <x v="0"/>
    <x v="3"/>
  </r>
  <r>
    <n v="42"/>
    <x v="1"/>
    <s v="Non-Travel"/>
    <n v="335"/>
    <x v="1"/>
    <x v="5"/>
    <n v="2"/>
    <s v="Life Sciences"/>
    <n v="1"/>
    <n v="1976"/>
    <n v="4"/>
    <x v="1"/>
    <n v="37"/>
    <n v="2"/>
    <n v="2"/>
    <x v="1"/>
    <x v="2"/>
    <s v="Single"/>
    <n v="4332"/>
    <n v="14811"/>
    <n v="1"/>
    <s v="Y"/>
    <s v="No"/>
    <n v="12"/>
    <n v="3"/>
    <n v="4"/>
    <n v="80"/>
    <n v="0"/>
    <n v="20"/>
    <n v="2"/>
    <n v="3"/>
    <x v="23"/>
    <n v="9"/>
    <n v="3"/>
    <n v="7"/>
    <x v="0"/>
    <x v="0"/>
  </r>
  <r>
    <n v="31"/>
    <x v="1"/>
    <s v="Non-Travel"/>
    <n v="697"/>
    <x v="1"/>
    <x v="17"/>
    <n v="3"/>
    <s v="Medical"/>
    <n v="1"/>
    <n v="1979"/>
    <n v="3"/>
    <x v="0"/>
    <n v="40"/>
    <n v="3"/>
    <n v="3"/>
    <x v="7"/>
    <x v="2"/>
    <s v="Married"/>
    <n v="11031"/>
    <n v="26862"/>
    <n v="4"/>
    <s v="Y"/>
    <s v="No"/>
    <n v="20"/>
    <n v="4"/>
    <n v="3"/>
    <n v="80"/>
    <n v="1"/>
    <n v="13"/>
    <n v="2"/>
    <n v="4"/>
    <x v="19"/>
    <n v="7"/>
    <n v="4"/>
    <n v="8"/>
    <x v="2"/>
    <x v="2"/>
  </r>
  <r>
    <n v="54"/>
    <x v="1"/>
    <s v="Travel_Rarely"/>
    <n v="157"/>
    <x v="1"/>
    <x v="17"/>
    <n v="3"/>
    <s v="Medical"/>
    <n v="1"/>
    <n v="1980"/>
    <n v="3"/>
    <x v="0"/>
    <n v="77"/>
    <n v="3"/>
    <n v="2"/>
    <x v="3"/>
    <x v="3"/>
    <s v="Single"/>
    <n v="4440"/>
    <n v="25198"/>
    <n v="6"/>
    <s v="Y"/>
    <s v="Yes"/>
    <n v="19"/>
    <n v="3"/>
    <n v="4"/>
    <n v="80"/>
    <n v="0"/>
    <n v="9"/>
    <n v="3"/>
    <n v="3"/>
    <x v="8"/>
    <n v="2"/>
    <n v="1"/>
    <n v="4"/>
    <x v="1"/>
    <x v="0"/>
  </r>
  <r>
    <n v="24"/>
    <x v="1"/>
    <s v="Travel_Rarely"/>
    <n v="771"/>
    <x v="1"/>
    <x v="0"/>
    <n v="2"/>
    <s v="Life Sciences"/>
    <n v="1"/>
    <n v="1981"/>
    <n v="2"/>
    <x v="1"/>
    <n v="45"/>
    <n v="2"/>
    <n v="2"/>
    <x v="4"/>
    <x v="2"/>
    <s v="Single"/>
    <n v="4617"/>
    <n v="14120"/>
    <n v="1"/>
    <s v="Y"/>
    <s v="No"/>
    <n v="12"/>
    <n v="3"/>
    <n v="2"/>
    <n v="80"/>
    <n v="0"/>
    <n v="4"/>
    <n v="2"/>
    <n v="2"/>
    <x v="9"/>
    <n v="3"/>
    <n v="1"/>
    <n v="2"/>
    <x v="4"/>
    <x v="0"/>
  </r>
  <r>
    <n v="23"/>
    <x v="1"/>
    <s v="Travel_Rarely"/>
    <n v="571"/>
    <x v="1"/>
    <x v="20"/>
    <n v="2"/>
    <s v="Other"/>
    <n v="1"/>
    <n v="1982"/>
    <n v="4"/>
    <x v="1"/>
    <n v="78"/>
    <n v="3"/>
    <n v="1"/>
    <x v="2"/>
    <x v="0"/>
    <s v="Single"/>
    <n v="2647"/>
    <n v="13672"/>
    <n v="1"/>
    <s v="Y"/>
    <s v="No"/>
    <n v="13"/>
    <n v="3"/>
    <n v="3"/>
    <n v="80"/>
    <n v="0"/>
    <n v="5"/>
    <n v="6"/>
    <n v="4"/>
    <x v="8"/>
    <n v="2"/>
    <n v="1"/>
    <n v="4"/>
    <x v="4"/>
    <x v="1"/>
  </r>
  <r>
    <n v="40"/>
    <x v="1"/>
    <s v="Travel_Frequently"/>
    <n v="692"/>
    <x v="1"/>
    <x v="13"/>
    <n v="3"/>
    <s v="Technical Degree"/>
    <n v="1"/>
    <n v="1985"/>
    <n v="4"/>
    <x v="0"/>
    <n v="73"/>
    <n v="3"/>
    <n v="2"/>
    <x v="2"/>
    <x v="2"/>
    <s v="Married"/>
    <n v="6323"/>
    <n v="26849"/>
    <n v="1"/>
    <s v="Y"/>
    <s v="No"/>
    <n v="11"/>
    <n v="3"/>
    <n v="1"/>
    <n v="80"/>
    <n v="1"/>
    <n v="10"/>
    <n v="2"/>
    <n v="4"/>
    <x v="1"/>
    <n v="9"/>
    <n v="9"/>
    <n v="4"/>
    <x v="0"/>
    <x v="4"/>
  </r>
  <r>
    <n v="40"/>
    <x v="1"/>
    <s v="Travel_Rarely"/>
    <n v="444"/>
    <x v="0"/>
    <x v="2"/>
    <n v="2"/>
    <s v="Marketing"/>
    <n v="1"/>
    <n v="1986"/>
    <n v="2"/>
    <x v="0"/>
    <n v="92"/>
    <n v="3"/>
    <n v="2"/>
    <x v="0"/>
    <x v="1"/>
    <s v="Married"/>
    <n v="5677"/>
    <n v="4258"/>
    <n v="3"/>
    <s v="Y"/>
    <s v="No"/>
    <n v="14"/>
    <n v="3"/>
    <n v="3"/>
    <n v="80"/>
    <n v="1"/>
    <n v="15"/>
    <n v="4"/>
    <n v="3"/>
    <x v="19"/>
    <n v="8"/>
    <n v="5"/>
    <n v="10"/>
    <x v="0"/>
    <x v="0"/>
  </r>
  <r>
    <n v="25"/>
    <x v="1"/>
    <s v="Travel_Rarely"/>
    <n v="309"/>
    <x v="2"/>
    <x v="2"/>
    <n v="3"/>
    <s v="Human Resources"/>
    <n v="1"/>
    <n v="1987"/>
    <n v="3"/>
    <x v="0"/>
    <n v="82"/>
    <n v="3"/>
    <n v="1"/>
    <x v="8"/>
    <x v="1"/>
    <s v="Married"/>
    <n v="2187"/>
    <n v="19655"/>
    <n v="4"/>
    <s v="Y"/>
    <s v="No"/>
    <n v="14"/>
    <n v="3"/>
    <n v="3"/>
    <n v="80"/>
    <n v="0"/>
    <n v="6"/>
    <n v="3"/>
    <n v="3"/>
    <x v="4"/>
    <n v="0"/>
    <n v="1"/>
    <n v="2"/>
    <x v="2"/>
    <x v="1"/>
  </r>
  <r>
    <n v="30"/>
    <x v="1"/>
    <s v="Travel_Rarely"/>
    <n v="911"/>
    <x v="1"/>
    <x v="0"/>
    <n v="2"/>
    <s v="Medical"/>
    <n v="1"/>
    <n v="1989"/>
    <n v="4"/>
    <x v="1"/>
    <n v="76"/>
    <n v="3"/>
    <n v="1"/>
    <x v="2"/>
    <x v="1"/>
    <s v="Married"/>
    <n v="3748"/>
    <n v="4077"/>
    <n v="1"/>
    <s v="Y"/>
    <s v="No"/>
    <n v="13"/>
    <n v="3"/>
    <n v="3"/>
    <n v="80"/>
    <n v="0"/>
    <n v="12"/>
    <n v="6"/>
    <n v="2"/>
    <x v="12"/>
    <n v="8"/>
    <n v="1"/>
    <n v="7"/>
    <x v="2"/>
    <x v="0"/>
  </r>
  <r>
    <n v="25"/>
    <x v="1"/>
    <s v="Travel_Rarely"/>
    <n v="977"/>
    <x v="1"/>
    <x v="2"/>
    <n v="1"/>
    <s v="Other"/>
    <n v="1"/>
    <n v="1992"/>
    <n v="4"/>
    <x v="1"/>
    <n v="57"/>
    <n v="3"/>
    <n v="1"/>
    <x v="2"/>
    <x v="2"/>
    <s v="Divorced"/>
    <n v="3977"/>
    <n v="7298"/>
    <n v="6"/>
    <s v="Y"/>
    <s v="Yes"/>
    <n v="19"/>
    <n v="3"/>
    <n v="3"/>
    <n v="80"/>
    <n v="1"/>
    <n v="7"/>
    <n v="2"/>
    <n v="2"/>
    <x v="4"/>
    <n v="2"/>
    <n v="0"/>
    <n v="2"/>
    <x v="2"/>
    <x v="0"/>
  </r>
  <r>
    <n v="47"/>
    <x v="1"/>
    <s v="Travel_Rarely"/>
    <n v="1180"/>
    <x v="1"/>
    <x v="19"/>
    <n v="3"/>
    <s v="Medical"/>
    <n v="1"/>
    <n v="1993"/>
    <n v="1"/>
    <x v="1"/>
    <n v="84"/>
    <n v="3"/>
    <n v="3"/>
    <x v="4"/>
    <x v="2"/>
    <s v="Single"/>
    <n v="8633"/>
    <n v="13084"/>
    <n v="2"/>
    <s v="Y"/>
    <s v="No"/>
    <n v="23"/>
    <n v="4"/>
    <n v="2"/>
    <n v="80"/>
    <n v="0"/>
    <n v="25"/>
    <n v="3"/>
    <n v="3"/>
    <x v="18"/>
    <n v="14"/>
    <n v="12"/>
    <n v="11"/>
    <x v="1"/>
    <x v="4"/>
  </r>
  <r>
    <n v="33"/>
    <x v="1"/>
    <s v="Non-Travel"/>
    <n v="1313"/>
    <x v="1"/>
    <x v="0"/>
    <n v="2"/>
    <s v="Medical"/>
    <n v="1"/>
    <n v="1994"/>
    <n v="2"/>
    <x v="1"/>
    <n v="59"/>
    <n v="2"/>
    <n v="1"/>
    <x v="2"/>
    <x v="2"/>
    <s v="Divorced"/>
    <n v="2008"/>
    <n v="20439"/>
    <n v="1"/>
    <s v="Y"/>
    <s v="No"/>
    <n v="12"/>
    <n v="3"/>
    <n v="3"/>
    <n v="80"/>
    <n v="3"/>
    <n v="1"/>
    <n v="2"/>
    <n v="2"/>
    <x v="6"/>
    <n v="1"/>
    <n v="0"/>
    <n v="0"/>
    <x v="2"/>
    <x v="1"/>
  </r>
  <r>
    <n v="38"/>
    <x v="1"/>
    <s v="Travel_Rarely"/>
    <n v="1321"/>
    <x v="0"/>
    <x v="0"/>
    <n v="4"/>
    <s v="Life Sciences"/>
    <n v="1"/>
    <n v="1995"/>
    <n v="4"/>
    <x v="1"/>
    <n v="86"/>
    <n v="3"/>
    <n v="2"/>
    <x v="0"/>
    <x v="1"/>
    <s v="Married"/>
    <n v="4440"/>
    <n v="7636"/>
    <n v="0"/>
    <s v="Y"/>
    <s v="No"/>
    <n v="15"/>
    <n v="3"/>
    <n v="1"/>
    <n v="80"/>
    <n v="2"/>
    <n v="16"/>
    <n v="3"/>
    <n v="3"/>
    <x v="15"/>
    <n v="13"/>
    <n v="5"/>
    <n v="8"/>
    <x v="0"/>
    <x v="0"/>
  </r>
  <r>
    <n v="31"/>
    <x v="1"/>
    <s v="Travel_Rarely"/>
    <n v="1154"/>
    <x v="0"/>
    <x v="2"/>
    <n v="2"/>
    <s v="Life Sciences"/>
    <n v="1"/>
    <n v="1996"/>
    <n v="1"/>
    <x v="1"/>
    <n v="54"/>
    <n v="3"/>
    <n v="1"/>
    <x v="6"/>
    <x v="2"/>
    <s v="Married"/>
    <n v="3067"/>
    <n v="6393"/>
    <n v="0"/>
    <s v="Y"/>
    <s v="No"/>
    <n v="19"/>
    <n v="3"/>
    <n v="3"/>
    <n v="80"/>
    <n v="1"/>
    <n v="3"/>
    <n v="1"/>
    <n v="3"/>
    <x v="4"/>
    <n v="2"/>
    <n v="1"/>
    <n v="2"/>
    <x v="2"/>
    <x v="0"/>
  </r>
  <r>
    <n v="38"/>
    <x v="1"/>
    <s v="Travel_Frequently"/>
    <n v="508"/>
    <x v="1"/>
    <x v="16"/>
    <n v="4"/>
    <s v="Life Sciences"/>
    <n v="1"/>
    <n v="1997"/>
    <n v="1"/>
    <x v="1"/>
    <n v="72"/>
    <n v="2"/>
    <n v="2"/>
    <x v="3"/>
    <x v="2"/>
    <s v="Married"/>
    <n v="5321"/>
    <n v="14284"/>
    <n v="2"/>
    <s v="Y"/>
    <s v="No"/>
    <n v="11"/>
    <n v="3"/>
    <n v="4"/>
    <n v="80"/>
    <n v="1"/>
    <n v="10"/>
    <n v="1"/>
    <n v="3"/>
    <x v="3"/>
    <n v="3"/>
    <n v="7"/>
    <n v="7"/>
    <x v="0"/>
    <x v="0"/>
  </r>
  <r>
    <n v="42"/>
    <x v="1"/>
    <s v="Travel_Rarely"/>
    <n v="557"/>
    <x v="1"/>
    <x v="21"/>
    <n v="4"/>
    <s v="Life Sciences"/>
    <n v="1"/>
    <n v="1998"/>
    <n v="4"/>
    <x v="1"/>
    <n v="35"/>
    <n v="3"/>
    <n v="2"/>
    <x v="1"/>
    <x v="3"/>
    <s v="Divorced"/>
    <n v="5410"/>
    <n v="11189"/>
    <n v="6"/>
    <s v="Y"/>
    <s v="Yes"/>
    <n v="17"/>
    <n v="3"/>
    <n v="3"/>
    <n v="80"/>
    <n v="1"/>
    <n v="9"/>
    <n v="3"/>
    <n v="2"/>
    <x v="9"/>
    <n v="3"/>
    <n v="1"/>
    <n v="2"/>
    <x v="0"/>
    <x v="0"/>
  </r>
  <r>
    <n v="41"/>
    <x v="1"/>
    <s v="Travel_Rarely"/>
    <n v="642"/>
    <x v="1"/>
    <x v="0"/>
    <n v="3"/>
    <s v="Life Sciences"/>
    <n v="1"/>
    <n v="1999"/>
    <n v="4"/>
    <x v="1"/>
    <n v="76"/>
    <n v="3"/>
    <n v="1"/>
    <x v="1"/>
    <x v="0"/>
    <s v="Married"/>
    <n v="2782"/>
    <n v="21412"/>
    <n v="3"/>
    <s v="Y"/>
    <s v="No"/>
    <n v="22"/>
    <n v="4"/>
    <n v="1"/>
    <n v="80"/>
    <n v="1"/>
    <n v="12"/>
    <n v="3"/>
    <n v="3"/>
    <x v="8"/>
    <n v="3"/>
    <n v="1"/>
    <n v="0"/>
    <x v="0"/>
    <x v="1"/>
  </r>
  <r>
    <n v="47"/>
    <x v="1"/>
    <s v="Non-Travel"/>
    <n v="1162"/>
    <x v="1"/>
    <x v="0"/>
    <n v="1"/>
    <s v="Medical"/>
    <n v="1"/>
    <n v="2000"/>
    <n v="3"/>
    <x v="0"/>
    <n v="98"/>
    <n v="3"/>
    <n v="3"/>
    <x v="7"/>
    <x v="1"/>
    <s v="Married"/>
    <n v="11957"/>
    <n v="17231"/>
    <n v="0"/>
    <s v="Y"/>
    <s v="No"/>
    <n v="18"/>
    <n v="3"/>
    <n v="1"/>
    <n v="80"/>
    <n v="2"/>
    <n v="14"/>
    <n v="3"/>
    <n v="1"/>
    <x v="20"/>
    <n v="8"/>
    <n v="5"/>
    <n v="12"/>
    <x v="1"/>
    <x v="2"/>
  </r>
  <r>
    <n v="35"/>
    <x v="1"/>
    <s v="Travel_Rarely"/>
    <n v="1490"/>
    <x v="1"/>
    <x v="13"/>
    <n v="4"/>
    <s v="Medical"/>
    <n v="1"/>
    <n v="2003"/>
    <n v="4"/>
    <x v="1"/>
    <n v="43"/>
    <n v="3"/>
    <n v="1"/>
    <x v="2"/>
    <x v="2"/>
    <s v="Married"/>
    <n v="2660"/>
    <n v="20232"/>
    <n v="7"/>
    <s v="Y"/>
    <s v="Yes"/>
    <n v="11"/>
    <n v="3"/>
    <n v="3"/>
    <n v="80"/>
    <n v="1"/>
    <n v="5"/>
    <n v="3"/>
    <n v="3"/>
    <x v="4"/>
    <n v="2"/>
    <n v="2"/>
    <n v="2"/>
    <x v="0"/>
    <x v="1"/>
  </r>
  <r>
    <n v="22"/>
    <x v="1"/>
    <s v="Travel_Rarely"/>
    <n v="581"/>
    <x v="1"/>
    <x v="0"/>
    <n v="2"/>
    <s v="Life Sciences"/>
    <n v="1"/>
    <n v="2007"/>
    <n v="4"/>
    <x v="1"/>
    <n v="63"/>
    <n v="3"/>
    <n v="1"/>
    <x v="1"/>
    <x v="2"/>
    <s v="Single"/>
    <n v="3375"/>
    <n v="17624"/>
    <n v="0"/>
    <s v="Y"/>
    <s v="No"/>
    <n v="12"/>
    <n v="3"/>
    <n v="4"/>
    <n v="80"/>
    <n v="0"/>
    <n v="4"/>
    <n v="2"/>
    <n v="4"/>
    <x v="11"/>
    <n v="2"/>
    <n v="1"/>
    <n v="2"/>
    <x v="4"/>
    <x v="0"/>
  </r>
  <r>
    <n v="35"/>
    <x v="1"/>
    <s v="Travel_Rarely"/>
    <n v="1395"/>
    <x v="1"/>
    <x v="14"/>
    <n v="4"/>
    <s v="Medical"/>
    <n v="1"/>
    <n v="2008"/>
    <n v="2"/>
    <x v="1"/>
    <n v="48"/>
    <n v="3"/>
    <n v="2"/>
    <x v="1"/>
    <x v="2"/>
    <s v="Single"/>
    <n v="5098"/>
    <n v="18698"/>
    <n v="1"/>
    <s v="Y"/>
    <s v="No"/>
    <n v="19"/>
    <n v="3"/>
    <n v="2"/>
    <n v="80"/>
    <n v="0"/>
    <n v="10"/>
    <n v="5"/>
    <n v="3"/>
    <x v="1"/>
    <n v="7"/>
    <n v="0"/>
    <n v="8"/>
    <x v="0"/>
    <x v="0"/>
  </r>
  <r>
    <n v="33"/>
    <x v="1"/>
    <s v="Travel_Rarely"/>
    <n v="501"/>
    <x v="1"/>
    <x v="8"/>
    <n v="2"/>
    <s v="Medical"/>
    <n v="1"/>
    <n v="2009"/>
    <n v="2"/>
    <x v="0"/>
    <n v="95"/>
    <n v="3"/>
    <n v="2"/>
    <x v="4"/>
    <x v="0"/>
    <s v="Married"/>
    <n v="4878"/>
    <n v="21653"/>
    <n v="0"/>
    <s v="Y"/>
    <s v="Yes"/>
    <n v="13"/>
    <n v="3"/>
    <n v="1"/>
    <n v="80"/>
    <n v="1"/>
    <n v="10"/>
    <n v="6"/>
    <n v="3"/>
    <x v="7"/>
    <n v="7"/>
    <n v="8"/>
    <n v="1"/>
    <x v="2"/>
    <x v="0"/>
  </r>
  <r>
    <n v="32"/>
    <x v="1"/>
    <s v="Travel_Rarely"/>
    <n v="267"/>
    <x v="1"/>
    <x v="22"/>
    <n v="4"/>
    <s v="Life Sciences"/>
    <n v="1"/>
    <n v="2010"/>
    <n v="3"/>
    <x v="0"/>
    <n v="49"/>
    <n v="2"/>
    <n v="1"/>
    <x v="2"/>
    <x v="1"/>
    <s v="Single"/>
    <n v="2837"/>
    <n v="15919"/>
    <n v="1"/>
    <s v="Y"/>
    <s v="No"/>
    <n v="13"/>
    <n v="3"/>
    <n v="3"/>
    <n v="80"/>
    <n v="0"/>
    <n v="6"/>
    <n v="3"/>
    <n v="3"/>
    <x v="0"/>
    <n v="2"/>
    <n v="4"/>
    <n v="1"/>
    <x v="2"/>
    <x v="1"/>
  </r>
  <r>
    <n v="40"/>
    <x v="1"/>
    <s v="Travel_Rarely"/>
    <n v="543"/>
    <x v="1"/>
    <x v="0"/>
    <n v="4"/>
    <s v="Life Sciences"/>
    <n v="1"/>
    <n v="2012"/>
    <n v="1"/>
    <x v="1"/>
    <n v="83"/>
    <n v="3"/>
    <n v="1"/>
    <x v="2"/>
    <x v="0"/>
    <s v="Married"/>
    <n v="2406"/>
    <n v="4060"/>
    <n v="8"/>
    <s v="Y"/>
    <s v="No"/>
    <n v="19"/>
    <n v="3"/>
    <n v="3"/>
    <n v="80"/>
    <n v="2"/>
    <n v="8"/>
    <n v="3"/>
    <n v="2"/>
    <x v="6"/>
    <n v="0"/>
    <n v="0"/>
    <n v="0"/>
    <x v="0"/>
    <x v="1"/>
  </r>
  <r>
    <n v="32"/>
    <x v="1"/>
    <s v="Travel_Rarely"/>
    <n v="234"/>
    <x v="0"/>
    <x v="0"/>
    <n v="4"/>
    <s v="Medical"/>
    <n v="1"/>
    <n v="2013"/>
    <n v="2"/>
    <x v="1"/>
    <n v="68"/>
    <n v="2"/>
    <n v="1"/>
    <x v="6"/>
    <x v="1"/>
    <s v="Married"/>
    <n v="2269"/>
    <n v="18024"/>
    <n v="0"/>
    <s v="Y"/>
    <s v="No"/>
    <n v="14"/>
    <n v="3"/>
    <n v="2"/>
    <n v="80"/>
    <n v="1"/>
    <n v="3"/>
    <n v="2"/>
    <n v="3"/>
    <x v="4"/>
    <n v="2"/>
    <n v="2"/>
    <n v="2"/>
    <x v="2"/>
    <x v="1"/>
  </r>
  <r>
    <n v="39"/>
    <x v="1"/>
    <s v="Travel_Rarely"/>
    <n v="116"/>
    <x v="1"/>
    <x v="4"/>
    <n v="1"/>
    <s v="Life Sciences"/>
    <n v="1"/>
    <n v="2014"/>
    <n v="1"/>
    <x v="1"/>
    <n v="52"/>
    <n v="3"/>
    <n v="2"/>
    <x v="1"/>
    <x v="0"/>
    <s v="Single"/>
    <n v="4108"/>
    <n v="5340"/>
    <n v="7"/>
    <s v="Y"/>
    <s v="No"/>
    <n v="13"/>
    <n v="3"/>
    <n v="1"/>
    <n v="80"/>
    <n v="0"/>
    <n v="18"/>
    <n v="2"/>
    <n v="3"/>
    <x v="5"/>
    <n v="7"/>
    <n v="1"/>
    <n v="7"/>
    <x v="0"/>
    <x v="0"/>
  </r>
  <r>
    <n v="38"/>
    <x v="1"/>
    <s v="Travel_Rarely"/>
    <n v="201"/>
    <x v="1"/>
    <x v="17"/>
    <n v="3"/>
    <s v="Medical"/>
    <n v="1"/>
    <n v="2015"/>
    <n v="2"/>
    <x v="0"/>
    <n v="99"/>
    <n v="1"/>
    <n v="3"/>
    <x v="7"/>
    <x v="2"/>
    <s v="Married"/>
    <n v="13206"/>
    <n v="3376"/>
    <n v="3"/>
    <s v="Y"/>
    <s v="No"/>
    <n v="12"/>
    <n v="3"/>
    <n v="1"/>
    <n v="80"/>
    <n v="1"/>
    <n v="20"/>
    <n v="3"/>
    <n v="3"/>
    <x v="29"/>
    <n v="16"/>
    <n v="1"/>
    <n v="11"/>
    <x v="0"/>
    <x v="3"/>
  </r>
  <r>
    <n v="32"/>
    <x v="1"/>
    <s v="Travel_Rarely"/>
    <n v="801"/>
    <x v="0"/>
    <x v="0"/>
    <n v="4"/>
    <s v="Marketing"/>
    <n v="1"/>
    <n v="2016"/>
    <n v="3"/>
    <x v="0"/>
    <n v="48"/>
    <n v="3"/>
    <n v="3"/>
    <x v="0"/>
    <x v="0"/>
    <s v="Married"/>
    <n v="10422"/>
    <n v="24032"/>
    <n v="1"/>
    <s v="Y"/>
    <s v="No"/>
    <n v="19"/>
    <n v="3"/>
    <n v="3"/>
    <n v="80"/>
    <n v="2"/>
    <n v="14"/>
    <n v="3"/>
    <n v="3"/>
    <x v="13"/>
    <n v="10"/>
    <n v="5"/>
    <n v="7"/>
    <x v="2"/>
    <x v="2"/>
  </r>
  <r>
    <n v="37"/>
    <x v="1"/>
    <s v="Travel_Rarely"/>
    <n v="161"/>
    <x v="1"/>
    <x v="17"/>
    <n v="3"/>
    <s v="Life Sciences"/>
    <n v="1"/>
    <n v="2017"/>
    <n v="3"/>
    <x v="0"/>
    <n v="42"/>
    <n v="4"/>
    <n v="3"/>
    <x v="7"/>
    <x v="0"/>
    <s v="Married"/>
    <n v="13744"/>
    <n v="15471"/>
    <n v="1"/>
    <s v="Y"/>
    <s v="Yes"/>
    <n v="25"/>
    <n v="4"/>
    <n v="1"/>
    <n v="80"/>
    <n v="1"/>
    <n v="16"/>
    <n v="2"/>
    <n v="3"/>
    <x v="22"/>
    <n v="11"/>
    <n v="6"/>
    <n v="8"/>
    <x v="0"/>
    <x v="3"/>
  </r>
  <r>
    <n v="25"/>
    <x v="1"/>
    <s v="Travel_Rarely"/>
    <n v="1382"/>
    <x v="0"/>
    <x v="1"/>
    <n v="2"/>
    <s v="Other"/>
    <n v="1"/>
    <n v="2018"/>
    <n v="1"/>
    <x v="0"/>
    <n v="85"/>
    <n v="3"/>
    <n v="2"/>
    <x v="0"/>
    <x v="2"/>
    <s v="Divorced"/>
    <n v="4907"/>
    <n v="13684"/>
    <n v="0"/>
    <s v="Y"/>
    <s v="Yes"/>
    <n v="22"/>
    <n v="4"/>
    <n v="2"/>
    <n v="80"/>
    <n v="1"/>
    <n v="6"/>
    <n v="3"/>
    <n v="2"/>
    <x v="8"/>
    <n v="3"/>
    <n v="0"/>
    <n v="4"/>
    <x v="2"/>
    <x v="0"/>
  </r>
  <r>
    <n v="52"/>
    <x v="1"/>
    <s v="Non-Travel"/>
    <n v="585"/>
    <x v="0"/>
    <x v="22"/>
    <n v="4"/>
    <s v="Life Sciences"/>
    <n v="1"/>
    <n v="2019"/>
    <n v="1"/>
    <x v="1"/>
    <n v="40"/>
    <n v="3"/>
    <n v="1"/>
    <x v="6"/>
    <x v="0"/>
    <s v="Divorced"/>
    <n v="3482"/>
    <n v="19788"/>
    <n v="2"/>
    <s v="Y"/>
    <s v="No"/>
    <n v="15"/>
    <n v="3"/>
    <n v="2"/>
    <n v="80"/>
    <n v="2"/>
    <n v="16"/>
    <n v="3"/>
    <n v="2"/>
    <x v="7"/>
    <n v="8"/>
    <n v="0"/>
    <n v="0"/>
    <x v="1"/>
    <x v="0"/>
  </r>
  <r>
    <n v="44"/>
    <x v="1"/>
    <s v="Travel_Rarely"/>
    <n v="1037"/>
    <x v="1"/>
    <x v="0"/>
    <n v="3"/>
    <s v="Medical"/>
    <n v="1"/>
    <n v="2020"/>
    <n v="2"/>
    <x v="1"/>
    <n v="42"/>
    <n v="3"/>
    <n v="1"/>
    <x v="1"/>
    <x v="0"/>
    <s v="Single"/>
    <n v="2436"/>
    <n v="13422"/>
    <n v="6"/>
    <s v="Y"/>
    <s v="Yes"/>
    <n v="12"/>
    <n v="3"/>
    <n v="3"/>
    <n v="80"/>
    <n v="0"/>
    <n v="6"/>
    <n v="2"/>
    <n v="3"/>
    <x v="9"/>
    <n v="3"/>
    <n v="1"/>
    <n v="2"/>
    <x v="0"/>
    <x v="1"/>
  </r>
  <r>
    <n v="21"/>
    <x v="1"/>
    <s v="Travel_Rarely"/>
    <n v="501"/>
    <x v="0"/>
    <x v="12"/>
    <n v="1"/>
    <s v="Medical"/>
    <n v="1"/>
    <n v="2021"/>
    <n v="3"/>
    <x v="1"/>
    <n v="58"/>
    <n v="3"/>
    <n v="1"/>
    <x v="6"/>
    <x v="3"/>
    <s v="Single"/>
    <n v="2380"/>
    <n v="25479"/>
    <n v="1"/>
    <s v="Y"/>
    <s v="Yes"/>
    <n v="11"/>
    <n v="3"/>
    <n v="4"/>
    <n v="80"/>
    <n v="0"/>
    <n v="2"/>
    <n v="6"/>
    <n v="3"/>
    <x v="4"/>
    <n v="2"/>
    <n v="1"/>
    <n v="2"/>
    <x v="4"/>
    <x v="1"/>
  </r>
  <r>
    <n v="39"/>
    <x v="1"/>
    <s v="Non-Travel"/>
    <n v="105"/>
    <x v="1"/>
    <x v="14"/>
    <n v="3"/>
    <s v="Life Sciences"/>
    <n v="1"/>
    <n v="2022"/>
    <n v="4"/>
    <x v="1"/>
    <n v="87"/>
    <n v="3"/>
    <n v="5"/>
    <x v="5"/>
    <x v="0"/>
    <s v="Single"/>
    <n v="19431"/>
    <n v="15302"/>
    <n v="2"/>
    <s v="Y"/>
    <s v="No"/>
    <n v="13"/>
    <n v="3"/>
    <n v="3"/>
    <n v="80"/>
    <n v="0"/>
    <n v="21"/>
    <n v="3"/>
    <n v="2"/>
    <x v="0"/>
    <n v="0"/>
    <n v="1"/>
    <n v="3"/>
    <x v="0"/>
    <x v="3"/>
  </r>
  <r>
    <n v="23"/>
    <x v="0"/>
    <s v="Travel_Frequently"/>
    <n v="638"/>
    <x v="0"/>
    <x v="14"/>
    <n v="3"/>
    <s v="Marketing"/>
    <n v="1"/>
    <n v="2023"/>
    <n v="4"/>
    <x v="1"/>
    <n v="33"/>
    <n v="3"/>
    <n v="1"/>
    <x v="6"/>
    <x v="3"/>
    <s v="Married"/>
    <n v="1790"/>
    <n v="26956"/>
    <n v="1"/>
    <s v="Y"/>
    <s v="No"/>
    <n v="19"/>
    <n v="3"/>
    <n v="1"/>
    <n v="80"/>
    <n v="1"/>
    <n v="1"/>
    <n v="3"/>
    <n v="2"/>
    <x v="6"/>
    <n v="0"/>
    <n v="1"/>
    <n v="0"/>
    <x v="4"/>
    <x v="1"/>
  </r>
  <r>
    <n v="36"/>
    <x v="1"/>
    <s v="Travel_Rarely"/>
    <n v="557"/>
    <x v="0"/>
    <x v="3"/>
    <n v="3"/>
    <s v="Medical"/>
    <n v="1"/>
    <n v="2024"/>
    <n v="1"/>
    <x v="0"/>
    <n v="94"/>
    <n v="2"/>
    <n v="3"/>
    <x v="0"/>
    <x v="0"/>
    <s v="Married"/>
    <n v="7644"/>
    <n v="12695"/>
    <n v="0"/>
    <s v="Y"/>
    <s v="No"/>
    <n v="19"/>
    <n v="3"/>
    <n v="3"/>
    <n v="80"/>
    <n v="2"/>
    <n v="10"/>
    <n v="2"/>
    <n v="3"/>
    <x v="7"/>
    <n v="7"/>
    <n v="3"/>
    <n v="4"/>
    <x v="0"/>
    <x v="4"/>
  </r>
  <r>
    <n v="36"/>
    <x v="1"/>
    <s v="Travel_Frequently"/>
    <n v="688"/>
    <x v="1"/>
    <x v="18"/>
    <n v="2"/>
    <s v="Life Sciences"/>
    <n v="1"/>
    <n v="2025"/>
    <n v="4"/>
    <x v="0"/>
    <n v="97"/>
    <n v="3"/>
    <n v="2"/>
    <x v="3"/>
    <x v="1"/>
    <s v="Divorced"/>
    <n v="5131"/>
    <n v="9192"/>
    <n v="7"/>
    <s v="Y"/>
    <s v="No"/>
    <n v="13"/>
    <n v="3"/>
    <n v="2"/>
    <n v="80"/>
    <n v="3"/>
    <n v="18"/>
    <n v="3"/>
    <n v="3"/>
    <x v="9"/>
    <n v="2"/>
    <n v="0"/>
    <n v="2"/>
    <x v="0"/>
    <x v="0"/>
  </r>
  <r>
    <n v="56"/>
    <x v="1"/>
    <s v="Non-Travel"/>
    <n v="667"/>
    <x v="1"/>
    <x v="0"/>
    <n v="4"/>
    <s v="Life Sciences"/>
    <n v="1"/>
    <n v="2026"/>
    <n v="3"/>
    <x v="1"/>
    <n v="57"/>
    <n v="3"/>
    <n v="2"/>
    <x v="4"/>
    <x v="2"/>
    <s v="Divorced"/>
    <n v="6306"/>
    <n v="26236"/>
    <n v="1"/>
    <s v="Y"/>
    <s v="No"/>
    <n v="21"/>
    <n v="4"/>
    <n v="1"/>
    <n v="80"/>
    <n v="1"/>
    <n v="13"/>
    <n v="2"/>
    <n v="2"/>
    <x v="20"/>
    <n v="12"/>
    <n v="1"/>
    <n v="9"/>
    <x v="3"/>
    <x v="4"/>
  </r>
  <r>
    <n v="29"/>
    <x v="0"/>
    <s v="Travel_Rarely"/>
    <n v="1092"/>
    <x v="1"/>
    <x v="0"/>
    <n v="4"/>
    <s v="Medical"/>
    <n v="1"/>
    <n v="2027"/>
    <n v="1"/>
    <x v="1"/>
    <n v="36"/>
    <n v="3"/>
    <n v="1"/>
    <x v="1"/>
    <x v="0"/>
    <s v="Married"/>
    <n v="4787"/>
    <n v="26124"/>
    <n v="9"/>
    <s v="Y"/>
    <s v="Yes"/>
    <n v="14"/>
    <n v="3"/>
    <n v="2"/>
    <n v="80"/>
    <n v="3"/>
    <n v="4"/>
    <n v="3"/>
    <n v="4"/>
    <x v="4"/>
    <n v="2"/>
    <n v="2"/>
    <n v="2"/>
    <x v="2"/>
    <x v="0"/>
  </r>
  <r>
    <n v="42"/>
    <x v="1"/>
    <s v="Travel_Rarely"/>
    <n v="300"/>
    <x v="1"/>
    <x v="2"/>
    <n v="3"/>
    <s v="Life Sciences"/>
    <n v="1"/>
    <n v="2031"/>
    <n v="1"/>
    <x v="1"/>
    <n v="56"/>
    <n v="3"/>
    <n v="5"/>
    <x v="5"/>
    <x v="2"/>
    <s v="Married"/>
    <n v="18880"/>
    <n v="17312"/>
    <n v="5"/>
    <s v="Y"/>
    <s v="No"/>
    <n v="11"/>
    <n v="3"/>
    <n v="1"/>
    <n v="80"/>
    <n v="0"/>
    <n v="24"/>
    <n v="2"/>
    <n v="2"/>
    <x v="14"/>
    <n v="6"/>
    <n v="4"/>
    <n v="14"/>
    <x v="0"/>
    <x v="3"/>
  </r>
  <r>
    <n v="56"/>
    <x v="0"/>
    <s v="Travel_Rarely"/>
    <n v="310"/>
    <x v="1"/>
    <x v="15"/>
    <n v="2"/>
    <s v="Technical Degree"/>
    <n v="1"/>
    <n v="2032"/>
    <n v="4"/>
    <x v="1"/>
    <n v="72"/>
    <n v="3"/>
    <n v="1"/>
    <x v="2"/>
    <x v="2"/>
    <s v="Married"/>
    <n v="2339"/>
    <n v="3666"/>
    <n v="8"/>
    <s v="Y"/>
    <s v="No"/>
    <n v="11"/>
    <n v="3"/>
    <n v="4"/>
    <n v="80"/>
    <n v="1"/>
    <n v="14"/>
    <n v="4"/>
    <n v="1"/>
    <x v="1"/>
    <n v="9"/>
    <n v="9"/>
    <n v="8"/>
    <x v="3"/>
    <x v="1"/>
  </r>
  <r>
    <n v="41"/>
    <x v="1"/>
    <s v="Travel_Rarely"/>
    <n v="582"/>
    <x v="1"/>
    <x v="26"/>
    <n v="4"/>
    <s v="Life Sciences"/>
    <n v="1"/>
    <n v="2034"/>
    <n v="1"/>
    <x v="0"/>
    <n v="60"/>
    <n v="2"/>
    <n v="4"/>
    <x v="3"/>
    <x v="1"/>
    <s v="Married"/>
    <n v="13570"/>
    <n v="5640"/>
    <n v="0"/>
    <s v="Y"/>
    <s v="No"/>
    <n v="23"/>
    <n v="4"/>
    <n v="3"/>
    <n v="80"/>
    <n v="1"/>
    <n v="21"/>
    <n v="3"/>
    <n v="3"/>
    <x v="23"/>
    <n v="7"/>
    <n v="0"/>
    <n v="10"/>
    <x v="0"/>
    <x v="3"/>
  </r>
  <r>
    <n v="34"/>
    <x v="1"/>
    <s v="Travel_Rarely"/>
    <n v="704"/>
    <x v="0"/>
    <x v="26"/>
    <n v="3"/>
    <s v="Marketing"/>
    <n v="1"/>
    <n v="2035"/>
    <n v="4"/>
    <x v="0"/>
    <n v="95"/>
    <n v="2"/>
    <n v="2"/>
    <x v="0"/>
    <x v="2"/>
    <s v="Married"/>
    <n v="6712"/>
    <n v="8978"/>
    <n v="1"/>
    <s v="Y"/>
    <s v="No"/>
    <n v="21"/>
    <n v="4"/>
    <n v="4"/>
    <n v="80"/>
    <n v="2"/>
    <n v="8"/>
    <n v="2"/>
    <n v="3"/>
    <x v="3"/>
    <n v="7"/>
    <n v="1"/>
    <n v="7"/>
    <x v="2"/>
    <x v="4"/>
  </r>
  <r>
    <n v="36"/>
    <x v="1"/>
    <s v="Non-Travel"/>
    <n v="301"/>
    <x v="0"/>
    <x v="8"/>
    <n v="4"/>
    <s v="Marketing"/>
    <n v="1"/>
    <n v="2036"/>
    <n v="4"/>
    <x v="1"/>
    <n v="88"/>
    <n v="1"/>
    <n v="2"/>
    <x v="0"/>
    <x v="0"/>
    <s v="Divorced"/>
    <n v="5406"/>
    <n v="10436"/>
    <n v="1"/>
    <s v="Y"/>
    <s v="No"/>
    <n v="24"/>
    <n v="4"/>
    <n v="1"/>
    <n v="80"/>
    <n v="1"/>
    <n v="15"/>
    <n v="4"/>
    <n v="2"/>
    <x v="15"/>
    <n v="12"/>
    <n v="11"/>
    <n v="11"/>
    <x v="0"/>
    <x v="0"/>
  </r>
  <r>
    <n v="41"/>
    <x v="1"/>
    <s v="Travel_Rarely"/>
    <n v="930"/>
    <x v="0"/>
    <x v="3"/>
    <n v="3"/>
    <s v="Life Sciences"/>
    <n v="1"/>
    <n v="2037"/>
    <n v="3"/>
    <x v="1"/>
    <n v="57"/>
    <n v="2"/>
    <n v="2"/>
    <x v="0"/>
    <x v="1"/>
    <s v="Divorced"/>
    <n v="8938"/>
    <n v="12227"/>
    <n v="2"/>
    <s v="Y"/>
    <s v="No"/>
    <n v="11"/>
    <n v="3"/>
    <n v="3"/>
    <n v="80"/>
    <n v="1"/>
    <n v="14"/>
    <n v="5"/>
    <n v="3"/>
    <x v="8"/>
    <n v="4"/>
    <n v="0"/>
    <n v="4"/>
    <x v="0"/>
    <x v="4"/>
  </r>
  <r>
    <n v="32"/>
    <x v="1"/>
    <s v="Travel_Rarely"/>
    <n v="529"/>
    <x v="1"/>
    <x v="2"/>
    <n v="3"/>
    <s v="Technical Degree"/>
    <n v="1"/>
    <n v="2038"/>
    <n v="4"/>
    <x v="1"/>
    <n v="78"/>
    <n v="3"/>
    <n v="1"/>
    <x v="1"/>
    <x v="3"/>
    <s v="Single"/>
    <n v="2439"/>
    <n v="11288"/>
    <n v="1"/>
    <s v="Y"/>
    <s v="No"/>
    <n v="14"/>
    <n v="3"/>
    <n v="4"/>
    <n v="80"/>
    <n v="0"/>
    <n v="4"/>
    <n v="4"/>
    <n v="3"/>
    <x v="9"/>
    <n v="2"/>
    <n v="1"/>
    <n v="2"/>
    <x v="2"/>
    <x v="1"/>
  </r>
  <r>
    <n v="35"/>
    <x v="1"/>
    <s v="Travel_Rarely"/>
    <n v="1146"/>
    <x v="2"/>
    <x v="9"/>
    <n v="4"/>
    <s v="Life Sciences"/>
    <n v="1"/>
    <n v="2040"/>
    <n v="3"/>
    <x v="0"/>
    <n v="31"/>
    <n v="3"/>
    <n v="3"/>
    <x v="8"/>
    <x v="0"/>
    <s v="Single"/>
    <n v="8837"/>
    <n v="16642"/>
    <n v="1"/>
    <s v="Y"/>
    <s v="Yes"/>
    <n v="16"/>
    <n v="3"/>
    <n v="3"/>
    <n v="80"/>
    <n v="0"/>
    <n v="9"/>
    <n v="2"/>
    <n v="3"/>
    <x v="7"/>
    <n v="0"/>
    <n v="1"/>
    <n v="7"/>
    <x v="0"/>
    <x v="4"/>
  </r>
  <r>
    <n v="38"/>
    <x v="1"/>
    <s v="Travel_Rarely"/>
    <n v="345"/>
    <x v="0"/>
    <x v="17"/>
    <n v="2"/>
    <s v="Life Sciences"/>
    <n v="1"/>
    <n v="2041"/>
    <n v="1"/>
    <x v="0"/>
    <n v="100"/>
    <n v="3"/>
    <n v="2"/>
    <x v="0"/>
    <x v="0"/>
    <s v="Married"/>
    <n v="5343"/>
    <n v="5982"/>
    <n v="1"/>
    <s v="Y"/>
    <s v="No"/>
    <n v="11"/>
    <n v="3"/>
    <n v="3"/>
    <n v="80"/>
    <n v="1"/>
    <n v="10"/>
    <n v="1"/>
    <n v="3"/>
    <x v="1"/>
    <n v="7"/>
    <n v="1"/>
    <n v="9"/>
    <x v="0"/>
    <x v="0"/>
  </r>
  <r>
    <n v="50"/>
    <x v="0"/>
    <s v="Travel_Frequently"/>
    <n v="878"/>
    <x v="0"/>
    <x v="0"/>
    <n v="4"/>
    <s v="Life Sciences"/>
    <n v="1"/>
    <n v="2044"/>
    <n v="2"/>
    <x v="1"/>
    <n v="94"/>
    <n v="3"/>
    <n v="2"/>
    <x v="0"/>
    <x v="2"/>
    <s v="Divorced"/>
    <n v="6728"/>
    <n v="14255"/>
    <n v="7"/>
    <s v="Y"/>
    <s v="No"/>
    <n v="12"/>
    <n v="3"/>
    <n v="4"/>
    <n v="80"/>
    <n v="2"/>
    <n v="12"/>
    <n v="3"/>
    <n v="3"/>
    <x v="0"/>
    <n v="3"/>
    <n v="0"/>
    <n v="1"/>
    <x v="1"/>
    <x v="4"/>
  </r>
  <r>
    <n v="36"/>
    <x v="1"/>
    <s v="Travel_Rarely"/>
    <n v="1120"/>
    <x v="0"/>
    <x v="13"/>
    <n v="4"/>
    <s v="Marketing"/>
    <n v="1"/>
    <n v="2045"/>
    <n v="2"/>
    <x v="0"/>
    <n v="100"/>
    <n v="2"/>
    <n v="2"/>
    <x v="0"/>
    <x v="0"/>
    <s v="Married"/>
    <n v="6652"/>
    <n v="14369"/>
    <n v="4"/>
    <s v="Y"/>
    <s v="No"/>
    <n v="13"/>
    <n v="3"/>
    <n v="1"/>
    <n v="80"/>
    <n v="1"/>
    <n v="8"/>
    <n v="2"/>
    <n v="2"/>
    <x v="0"/>
    <n v="3"/>
    <n v="0"/>
    <n v="0"/>
    <x v="0"/>
    <x v="4"/>
  </r>
  <r>
    <n v="45"/>
    <x v="1"/>
    <s v="Travel_Rarely"/>
    <n v="374"/>
    <x v="0"/>
    <x v="25"/>
    <n v="3"/>
    <s v="Life Sciences"/>
    <n v="1"/>
    <n v="2046"/>
    <n v="4"/>
    <x v="0"/>
    <n v="50"/>
    <n v="3"/>
    <n v="2"/>
    <x v="0"/>
    <x v="2"/>
    <s v="Single"/>
    <n v="4850"/>
    <n v="23333"/>
    <n v="8"/>
    <s v="Y"/>
    <s v="No"/>
    <n v="15"/>
    <n v="3"/>
    <n v="3"/>
    <n v="80"/>
    <n v="0"/>
    <n v="8"/>
    <n v="3"/>
    <n v="3"/>
    <x v="8"/>
    <n v="3"/>
    <n v="0"/>
    <n v="1"/>
    <x v="1"/>
    <x v="0"/>
  </r>
  <r>
    <n v="40"/>
    <x v="1"/>
    <s v="Travel_Rarely"/>
    <n v="1322"/>
    <x v="1"/>
    <x v="2"/>
    <n v="4"/>
    <s v="Life Sciences"/>
    <n v="1"/>
    <n v="2048"/>
    <n v="3"/>
    <x v="1"/>
    <n v="52"/>
    <n v="2"/>
    <n v="1"/>
    <x v="1"/>
    <x v="2"/>
    <s v="Single"/>
    <n v="2809"/>
    <n v="2725"/>
    <n v="2"/>
    <s v="Y"/>
    <s v="No"/>
    <n v="14"/>
    <n v="3"/>
    <n v="4"/>
    <n v="80"/>
    <n v="0"/>
    <n v="8"/>
    <n v="2"/>
    <n v="3"/>
    <x v="4"/>
    <n v="2"/>
    <n v="2"/>
    <n v="2"/>
    <x v="0"/>
    <x v="1"/>
  </r>
  <r>
    <n v="35"/>
    <x v="1"/>
    <s v="Travel_Frequently"/>
    <n v="1199"/>
    <x v="1"/>
    <x v="21"/>
    <n v="4"/>
    <s v="Life Sciences"/>
    <n v="1"/>
    <n v="2049"/>
    <n v="3"/>
    <x v="1"/>
    <n v="80"/>
    <n v="3"/>
    <n v="2"/>
    <x v="4"/>
    <x v="2"/>
    <s v="Married"/>
    <n v="5689"/>
    <n v="24594"/>
    <n v="1"/>
    <s v="Y"/>
    <s v="Yes"/>
    <n v="14"/>
    <n v="3"/>
    <n v="4"/>
    <n v="80"/>
    <n v="2"/>
    <n v="10"/>
    <n v="2"/>
    <n v="4"/>
    <x v="1"/>
    <n v="2"/>
    <n v="0"/>
    <n v="2"/>
    <x v="0"/>
    <x v="0"/>
  </r>
  <r>
    <n v="40"/>
    <x v="1"/>
    <s v="Travel_Rarely"/>
    <n v="1194"/>
    <x v="1"/>
    <x v="2"/>
    <n v="4"/>
    <s v="Medical"/>
    <n v="1"/>
    <n v="2051"/>
    <n v="3"/>
    <x v="0"/>
    <n v="98"/>
    <n v="3"/>
    <n v="1"/>
    <x v="1"/>
    <x v="2"/>
    <s v="Married"/>
    <n v="2001"/>
    <n v="12549"/>
    <n v="2"/>
    <s v="Y"/>
    <s v="No"/>
    <n v="14"/>
    <n v="3"/>
    <n v="2"/>
    <n v="80"/>
    <n v="3"/>
    <n v="20"/>
    <n v="2"/>
    <n v="3"/>
    <x v="8"/>
    <n v="3"/>
    <n v="0"/>
    <n v="2"/>
    <x v="0"/>
    <x v="1"/>
  </r>
  <r>
    <n v="35"/>
    <x v="1"/>
    <s v="Travel_Rarely"/>
    <n v="287"/>
    <x v="1"/>
    <x v="0"/>
    <n v="4"/>
    <s v="Life Sciences"/>
    <n v="1"/>
    <n v="2052"/>
    <n v="3"/>
    <x v="0"/>
    <n v="62"/>
    <n v="1"/>
    <n v="1"/>
    <x v="1"/>
    <x v="0"/>
    <s v="Married"/>
    <n v="2977"/>
    <n v="8952"/>
    <n v="1"/>
    <s v="Y"/>
    <s v="No"/>
    <n v="12"/>
    <n v="3"/>
    <n v="4"/>
    <n v="80"/>
    <n v="1"/>
    <n v="4"/>
    <n v="5"/>
    <n v="3"/>
    <x v="9"/>
    <n v="3"/>
    <n v="1"/>
    <n v="1"/>
    <x v="0"/>
    <x v="1"/>
  </r>
  <r>
    <n v="29"/>
    <x v="1"/>
    <s v="Travel_Rarely"/>
    <n v="1378"/>
    <x v="1"/>
    <x v="28"/>
    <n v="2"/>
    <s v="Other"/>
    <n v="1"/>
    <n v="2053"/>
    <n v="4"/>
    <x v="1"/>
    <n v="46"/>
    <n v="2"/>
    <n v="2"/>
    <x v="2"/>
    <x v="1"/>
    <s v="Married"/>
    <n v="4025"/>
    <n v="23679"/>
    <n v="4"/>
    <s v="Y"/>
    <s v="Yes"/>
    <n v="13"/>
    <n v="3"/>
    <n v="1"/>
    <n v="80"/>
    <n v="1"/>
    <n v="10"/>
    <n v="2"/>
    <n v="3"/>
    <x v="9"/>
    <n v="3"/>
    <n v="0"/>
    <n v="3"/>
    <x v="2"/>
    <x v="0"/>
  </r>
  <r>
    <n v="29"/>
    <x v="1"/>
    <s v="Travel_Rarely"/>
    <n v="468"/>
    <x v="1"/>
    <x v="26"/>
    <n v="4"/>
    <s v="Medical"/>
    <n v="1"/>
    <n v="2054"/>
    <n v="4"/>
    <x v="0"/>
    <n v="73"/>
    <n v="2"/>
    <n v="1"/>
    <x v="1"/>
    <x v="3"/>
    <s v="Single"/>
    <n v="3785"/>
    <n v="8489"/>
    <n v="1"/>
    <s v="Y"/>
    <s v="No"/>
    <n v="14"/>
    <n v="3"/>
    <n v="2"/>
    <n v="80"/>
    <n v="0"/>
    <n v="5"/>
    <n v="3"/>
    <n v="1"/>
    <x v="8"/>
    <n v="4"/>
    <n v="0"/>
    <n v="4"/>
    <x v="2"/>
    <x v="0"/>
  </r>
  <r>
    <n v="50"/>
    <x v="0"/>
    <s v="Travel_Rarely"/>
    <n v="410"/>
    <x v="0"/>
    <x v="26"/>
    <n v="3"/>
    <s v="Marketing"/>
    <n v="1"/>
    <n v="2055"/>
    <n v="4"/>
    <x v="1"/>
    <n v="39"/>
    <n v="2"/>
    <n v="3"/>
    <x v="0"/>
    <x v="3"/>
    <s v="Divorced"/>
    <n v="10854"/>
    <n v="16586"/>
    <n v="4"/>
    <s v="Y"/>
    <s v="Yes"/>
    <n v="13"/>
    <n v="3"/>
    <n v="2"/>
    <n v="80"/>
    <n v="1"/>
    <n v="20"/>
    <n v="3"/>
    <n v="3"/>
    <x v="11"/>
    <n v="2"/>
    <n v="2"/>
    <n v="0"/>
    <x v="1"/>
    <x v="2"/>
  </r>
  <r>
    <n v="39"/>
    <x v="1"/>
    <s v="Travel_Rarely"/>
    <n v="722"/>
    <x v="0"/>
    <x v="4"/>
    <n v="1"/>
    <s v="Marketing"/>
    <n v="1"/>
    <n v="2056"/>
    <n v="2"/>
    <x v="0"/>
    <n v="60"/>
    <n v="2"/>
    <n v="4"/>
    <x v="0"/>
    <x v="0"/>
    <s v="Married"/>
    <n v="12031"/>
    <n v="8828"/>
    <n v="0"/>
    <s v="Y"/>
    <s v="No"/>
    <n v="11"/>
    <n v="3"/>
    <n v="1"/>
    <n v="80"/>
    <n v="1"/>
    <n v="21"/>
    <n v="2"/>
    <n v="2"/>
    <x v="23"/>
    <n v="9"/>
    <n v="9"/>
    <n v="6"/>
    <x v="0"/>
    <x v="3"/>
  </r>
  <r>
    <n v="31"/>
    <x v="1"/>
    <s v="Non-Travel"/>
    <n v="325"/>
    <x v="1"/>
    <x v="12"/>
    <n v="3"/>
    <s v="Medical"/>
    <n v="1"/>
    <n v="2057"/>
    <n v="2"/>
    <x v="1"/>
    <n v="74"/>
    <n v="3"/>
    <n v="2"/>
    <x v="3"/>
    <x v="3"/>
    <s v="Single"/>
    <n v="9936"/>
    <n v="3787"/>
    <n v="0"/>
    <s v="Y"/>
    <s v="No"/>
    <n v="19"/>
    <n v="3"/>
    <n v="2"/>
    <n v="80"/>
    <n v="0"/>
    <n v="10"/>
    <n v="2"/>
    <n v="3"/>
    <x v="7"/>
    <n v="4"/>
    <n v="1"/>
    <n v="7"/>
    <x v="2"/>
    <x v="2"/>
  </r>
  <r>
    <n v="26"/>
    <x v="1"/>
    <s v="Travel_Rarely"/>
    <n v="1167"/>
    <x v="0"/>
    <x v="12"/>
    <n v="3"/>
    <s v="Other"/>
    <n v="1"/>
    <n v="2060"/>
    <n v="4"/>
    <x v="0"/>
    <n v="30"/>
    <n v="2"/>
    <n v="1"/>
    <x v="6"/>
    <x v="2"/>
    <s v="Single"/>
    <n v="2966"/>
    <n v="21378"/>
    <n v="0"/>
    <s v="Y"/>
    <s v="No"/>
    <n v="18"/>
    <n v="3"/>
    <n v="4"/>
    <n v="80"/>
    <n v="0"/>
    <n v="5"/>
    <n v="2"/>
    <n v="3"/>
    <x v="9"/>
    <n v="2"/>
    <n v="0"/>
    <n v="0"/>
    <x v="2"/>
    <x v="1"/>
  </r>
  <r>
    <n v="36"/>
    <x v="1"/>
    <s v="Travel_Frequently"/>
    <n v="884"/>
    <x v="1"/>
    <x v="5"/>
    <n v="2"/>
    <s v="Medical"/>
    <n v="1"/>
    <n v="2061"/>
    <n v="3"/>
    <x v="1"/>
    <n v="41"/>
    <n v="4"/>
    <n v="2"/>
    <x v="2"/>
    <x v="0"/>
    <s v="Married"/>
    <n v="2571"/>
    <n v="12290"/>
    <n v="4"/>
    <s v="Y"/>
    <s v="No"/>
    <n v="17"/>
    <n v="3"/>
    <n v="3"/>
    <n v="80"/>
    <n v="1"/>
    <n v="17"/>
    <n v="3"/>
    <n v="3"/>
    <x v="8"/>
    <n v="2"/>
    <n v="0"/>
    <n v="3"/>
    <x v="0"/>
    <x v="1"/>
  </r>
  <r>
    <n v="39"/>
    <x v="1"/>
    <s v="Travel_Rarely"/>
    <n v="613"/>
    <x v="1"/>
    <x v="16"/>
    <n v="1"/>
    <s v="Medical"/>
    <n v="1"/>
    <n v="2062"/>
    <n v="4"/>
    <x v="1"/>
    <n v="42"/>
    <n v="2"/>
    <n v="3"/>
    <x v="4"/>
    <x v="3"/>
    <s v="Married"/>
    <n v="9991"/>
    <n v="21457"/>
    <n v="4"/>
    <s v="Y"/>
    <s v="No"/>
    <n v="15"/>
    <n v="3"/>
    <n v="1"/>
    <n v="80"/>
    <n v="1"/>
    <n v="9"/>
    <n v="5"/>
    <n v="3"/>
    <x v="5"/>
    <n v="7"/>
    <n v="1"/>
    <n v="7"/>
    <x v="0"/>
    <x v="2"/>
  </r>
  <r>
    <n v="27"/>
    <x v="1"/>
    <s v="Travel_Rarely"/>
    <n v="155"/>
    <x v="1"/>
    <x v="18"/>
    <n v="3"/>
    <s v="Life Sciences"/>
    <n v="1"/>
    <n v="2064"/>
    <n v="2"/>
    <x v="1"/>
    <n v="87"/>
    <n v="4"/>
    <n v="2"/>
    <x v="3"/>
    <x v="1"/>
    <s v="Married"/>
    <n v="6142"/>
    <n v="5174"/>
    <n v="1"/>
    <s v="Y"/>
    <s v="Yes"/>
    <n v="20"/>
    <n v="4"/>
    <n v="2"/>
    <n v="80"/>
    <n v="1"/>
    <n v="6"/>
    <n v="0"/>
    <n v="3"/>
    <x v="0"/>
    <n v="2"/>
    <n v="0"/>
    <n v="3"/>
    <x v="2"/>
    <x v="4"/>
  </r>
  <r>
    <n v="49"/>
    <x v="1"/>
    <s v="Travel_Frequently"/>
    <n v="1023"/>
    <x v="0"/>
    <x v="2"/>
    <n v="3"/>
    <s v="Medical"/>
    <n v="1"/>
    <n v="2065"/>
    <n v="4"/>
    <x v="1"/>
    <n v="63"/>
    <n v="2"/>
    <n v="2"/>
    <x v="0"/>
    <x v="1"/>
    <s v="Married"/>
    <n v="5390"/>
    <n v="13243"/>
    <n v="2"/>
    <s v="Y"/>
    <s v="No"/>
    <n v="14"/>
    <n v="3"/>
    <n v="4"/>
    <n v="80"/>
    <n v="0"/>
    <n v="17"/>
    <n v="3"/>
    <n v="2"/>
    <x v="7"/>
    <n v="6"/>
    <n v="0"/>
    <n v="8"/>
    <x v="1"/>
    <x v="0"/>
  </r>
  <r>
    <n v="34"/>
    <x v="1"/>
    <s v="Travel_Rarely"/>
    <n v="628"/>
    <x v="1"/>
    <x v="1"/>
    <n v="3"/>
    <s v="Medical"/>
    <n v="1"/>
    <n v="2068"/>
    <n v="2"/>
    <x v="1"/>
    <n v="82"/>
    <n v="4"/>
    <n v="2"/>
    <x v="2"/>
    <x v="2"/>
    <s v="Married"/>
    <n v="4404"/>
    <n v="10228"/>
    <n v="2"/>
    <s v="Y"/>
    <s v="No"/>
    <n v="12"/>
    <n v="3"/>
    <n v="1"/>
    <n v="80"/>
    <n v="0"/>
    <n v="6"/>
    <n v="3"/>
    <n v="4"/>
    <x v="9"/>
    <n v="3"/>
    <n v="1"/>
    <n v="2"/>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D9260B-DEC3-4663-83A9-7F24F57712F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3:D40" firstHeaderRow="1" firstDataRow="2" firstDataCol="1"/>
  <pivotFields count="37">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axis="axisRow" showAll="0">
      <items count="6">
        <item x="3"/>
        <item x="0"/>
        <item x="4"/>
        <item x="2"/>
        <item x="1"/>
        <item t="default"/>
      </items>
    </pivotField>
  </pivotFields>
  <rowFields count="1">
    <field x="36"/>
  </rowFields>
  <rowItems count="6">
    <i>
      <x/>
    </i>
    <i>
      <x v="1"/>
    </i>
    <i>
      <x v="2"/>
    </i>
    <i>
      <x v="3"/>
    </i>
    <i>
      <x v="4"/>
    </i>
    <i t="grand">
      <x/>
    </i>
  </rowItems>
  <colFields count="1">
    <field x="1"/>
  </colFields>
  <colItems count="3">
    <i>
      <x/>
    </i>
    <i>
      <x v="1"/>
    </i>
    <i t="grand">
      <x/>
    </i>
  </colItems>
  <dataFields count="1">
    <dataField name="Count of EmployeeNumber" fld="9" subtotal="count" baseField="36" baseItem="3"/>
  </dataFields>
  <chartFormats count="13">
    <chartFormat chart="3" format="26" series="1">
      <pivotArea type="data" outline="0" fieldPosition="0">
        <references count="2">
          <reference field="4294967294" count="1" selected="0">
            <x v="0"/>
          </reference>
          <reference field="1" count="1" selected="0">
            <x v="0"/>
          </reference>
        </references>
      </pivotArea>
    </chartFormat>
    <chartFormat chart="3" format="27">
      <pivotArea type="data" outline="0" fieldPosition="0">
        <references count="3">
          <reference field="4294967294" count="1" selected="0">
            <x v="0"/>
          </reference>
          <reference field="1" count="1" selected="0">
            <x v="0"/>
          </reference>
          <reference field="36" count="1" selected="0">
            <x v="0"/>
          </reference>
        </references>
      </pivotArea>
    </chartFormat>
    <chartFormat chart="3" format="28">
      <pivotArea type="data" outline="0" fieldPosition="0">
        <references count="3">
          <reference field="4294967294" count="1" selected="0">
            <x v="0"/>
          </reference>
          <reference field="1" count="1" selected="0">
            <x v="0"/>
          </reference>
          <reference field="36" count="1" selected="0">
            <x v="1"/>
          </reference>
        </references>
      </pivotArea>
    </chartFormat>
    <chartFormat chart="3" format="29">
      <pivotArea type="data" outline="0" fieldPosition="0">
        <references count="3">
          <reference field="4294967294" count="1" selected="0">
            <x v="0"/>
          </reference>
          <reference field="1" count="1" selected="0">
            <x v="0"/>
          </reference>
          <reference field="36" count="1" selected="0">
            <x v="2"/>
          </reference>
        </references>
      </pivotArea>
    </chartFormat>
    <chartFormat chart="3" format="30">
      <pivotArea type="data" outline="0" fieldPosition="0">
        <references count="3">
          <reference field="4294967294" count="1" selected="0">
            <x v="0"/>
          </reference>
          <reference field="1" count="1" selected="0">
            <x v="0"/>
          </reference>
          <reference field="36" count="1" selected="0">
            <x v="3"/>
          </reference>
        </references>
      </pivotArea>
    </chartFormat>
    <chartFormat chart="3" format="31">
      <pivotArea type="data" outline="0" fieldPosition="0">
        <references count="3">
          <reference field="4294967294" count="1" selected="0">
            <x v="0"/>
          </reference>
          <reference field="1" count="1" selected="0">
            <x v="0"/>
          </reference>
          <reference field="36" count="1" selected="0">
            <x v="4"/>
          </reference>
        </references>
      </pivotArea>
    </chartFormat>
    <chartFormat chart="3" format="32" series="1">
      <pivotArea type="data" outline="0" fieldPosition="0">
        <references count="2">
          <reference field="4294967294" count="1" selected="0">
            <x v="0"/>
          </reference>
          <reference field="1" count="1" selected="0">
            <x v="1"/>
          </reference>
        </references>
      </pivotArea>
    </chartFormat>
    <chartFormat chart="3" format="33">
      <pivotArea type="data" outline="0" fieldPosition="0">
        <references count="3">
          <reference field="4294967294" count="1" selected="0">
            <x v="0"/>
          </reference>
          <reference field="1" count="1" selected="0">
            <x v="1"/>
          </reference>
          <reference field="36" count="1" selected="0">
            <x v="0"/>
          </reference>
        </references>
      </pivotArea>
    </chartFormat>
    <chartFormat chart="3" format="34">
      <pivotArea type="data" outline="0" fieldPosition="0">
        <references count="3">
          <reference field="4294967294" count="1" selected="0">
            <x v="0"/>
          </reference>
          <reference field="1" count="1" selected="0">
            <x v="1"/>
          </reference>
          <reference field="36" count="1" selected="0">
            <x v="1"/>
          </reference>
        </references>
      </pivotArea>
    </chartFormat>
    <chartFormat chart="3" format="35">
      <pivotArea type="data" outline="0" fieldPosition="0">
        <references count="3">
          <reference field="4294967294" count="1" selected="0">
            <x v="0"/>
          </reference>
          <reference field="1" count="1" selected="0">
            <x v="1"/>
          </reference>
          <reference field="36" count="1" selected="0">
            <x v="2"/>
          </reference>
        </references>
      </pivotArea>
    </chartFormat>
    <chartFormat chart="3" format="36">
      <pivotArea type="data" outline="0" fieldPosition="0">
        <references count="3">
          <reference field="4294967294" count="1" selected="0">
            <x v="0"/>
          </reference>
          <reference field="1" count="1" selected="0">
            <x v="1"/>
          </reference>
          <reference field="36" count="1" selected="0">
            <x v="3"/>
          </reference>
        </references>
      </pivotArea>
    </chartFormat>
    <chartFormat chart="3" format="37">
      <pivotArea type="data" outline="0" fieldPosition="0">
        <references count="3">
          <reference field="4294967294" count="1" selected="0">
            <x v="0"/>
          </reference>
          <reference field="1" count="1" selected="0">
            <x v="1"/>
          </reference>
          <reference field="36" count="1" selected="0">
            <x v="4"/>
          </reference>
        </references>
      </pivotArea>
    </chartFormat>
    <chartFormat chart="3" format="3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4CC78E-E97E-4228-83CA-E3F33F18E7C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4:D31" firstHeaderRow="1" firstDataRow="2" firstDataCol="1"/>
  <pivotFields count="37">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0"/>
        <item x="1"/>
        <item x="3"/>
        <item x="4"/>
        <item t="default"/>
      </items>
    </pivotField>
    <pivotField showAll="0">
      <items count="6">
        <item x="3"/>
        <item x="0"/>
        <item x="4"/>
        <item x="2"/>
        <item x="1"/>
        <item t="default"/>
      </items>
    </pivotField>
  </pivotFields>
  <rowFields count="1">
    <field x="35"/>
  </rowFields>
  <rowItems count="6">
    <i>
      <x/>
    </i>
    <i>
      <x v="1"/>
    </i>
    <i>
      <x v="2"/>
    </i>
    <i>
      <x v="3"/>
    </i>
    <i>
      <x v="4"/>
    </i>
    <i t="grand">
      <x/>
    </i>
  </rowItems>
  <colFields count="1">
    <field x="1"/>
  </colFields>
  <colItems count="3">
    <i>
      <x/>
    </i>
    <i>
      <x v="1"/>
    </i>
    <i t="grand">
      <x/>
    </i>
  </colItems>
  <dataFields count="1">
    <dataField name="Count of EmployeeNumber" fld="9" subtotal="count" baseField="35" baseItem="3"/>
  </dataFields>
  <chartFormats count="7">
    <chartFormat chart="1" format="3" series="1">
      <pivotArea type="data" outline="0" fieldPosition="0">
        <references count="2">
          <reference field="4294967294" count="1" selected="0">
            <x v="0"/>
          </reference>
          <reference field="1" count="1" selected="0">
            <x v="0"/>
          </reference>
        </references>
      </pivotArea>
    </chartFormat>
    <chartFormat chart="1" format="4" series="1">
      <pivotArea type="data" outline="0" fieldPosition="0">
        <references count="2">
          <reference field="4294967294" count="1" selected="0">
            <x v="0"/>
          </reference>
          <reference field="1" count="1" selected="0">
            <x v="1"/>
          </reference>
        </references>
      </pivotArea>
    </chartFormat>
    <chartFormat chart="2" format="5" series="1">
      <pivotArea type="data" outline="0" fieldPosition="0">
        <references count="2">
          <reference field="4294967294" count="1" selected="0">
            <x v="0"/>
          </reference>
          <reference field="1" count="1" selected="0">
            <x v="0"/>
          </reference>
        </references>
      </pivotArea>
    </chartFormat>
    <chartFormat chart="2" format="6" series="1">
      <pivotArea type="data" outline="0" fieldPosition="0">
        <references count="2">
          <reference field="4294967294" count="1" selected="0">
            <x v="0"/>
          </reference>
          <reference field="1" count="1" selected="0">
            <x v="1"/>
          </reference>
        </references>
      </pivotArea>
    </chartFormat>
    <chartFormat chart="3" format="5" series="1">
      <pivotArea type="data" outline="0" fieldPosition="0">
        <references count="2">
          <reference field="4294967294" count="1" selected="0">
            <x v="0"/>
          </reference>
          <reference field="1" count="1" selected="0">
            <x v="0"/>
          </reference>
        </references>
      </pivotArea>
    </chartFormat>
    <chartFormat chart="3" format="6" series="1">
      <pivotArea type="data" outline="0" fieldPosition="0">
        <references count="2">
          <reference field="4294967294" count="1" selected="0">
            <x v="0"/>
          </reference>
          <reference field="1" count="1" selected="0">
            <x v="1"/>
          </reference>
        </references>
      </pivotArea>
    </chartFormat>
    <chartFormat chart="3"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B59BB5-24B1-4A8F-B927-2377C7E65AB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0:D21" firstHeaderRow="1" firstDataRow="2" firstDataCol="1"/>
  <pivotFields count="37">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items count="6">
        <item x="3"/>
        <item x="0"/>
        <item x="4"/>
        <item x="2"/>
        <item x="1"/>
        <item t="default"/>
      </items>
    </pivotField>
  </pivotFields>
  <rowFields count="1">
    <field x="15"/>
  </rowFields>
  <rowItems count="10">
    <i>
      <x/>
    </i>
    <i>
      <x v="1"/>
    </i>
    <i>
      <x v="2"/>
    </i>
    <i>
      <x v="3"/>
    </i>
    <i>
      <x v="4"/>
    </i>
    <i>
      <x v="5"/>
    </i>
    <i>
      <x v="6"/>
    </i>
    <i>
      <x v="7"/>
    </i>
    <i>
      <x v="8"/>
    </i>
    <i t="grand">
      <x/>
    </i>
  </rowItems>
  <colFields count="1">
    <field x="1"/>
  </colFields>
  <colItems count="3">
    <i>
      <x/>
    </i>
    <i>
      <x v="1"/>
    </i>
    <i t="grand">
      <x/>
    </i>
  </colItems>
  <dataFields count="1">
    <dataField name="Count of EmployeeNumber" fld="9" subtotal="count" baseField="15" baseItem="2"/>
  </dataFields>
  <chartFormats count="3">
    <chartFormat chart="5" format="5" series="1">
      <pivotArea type="data" outline="0" fieldPosition="0">
        <references count="2">
          <reference field="4294967294" count="1" selected="0">
            <x v="0"/>
          </reference>
          <reference field="1" count="1" selected="0">
            <x v="0"/>
          </reference>
        </references>
      </pivotArea>
    </chartFormat>
    <chartFormat chart="5" format="6" series="1">
      <pivotArea type="data" outline="0" fieldPosition="0">
        <references count="2">
          <reference field="4294967294" count="1" selected="0">
            <x v="0"/>
          </reference>
          <reference field="1" count="1" selected="0">
            <x v="1"/>
          </reference>
        </references>
      </pivotArea>
    </chartFormat>
    <chartFormat chart="5"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15F16B-7DB9-472E-B29B-66231FCDEE6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43:E47" firstHeaderRow="1" firstDataRow="2" firstDataCol="1"/>
  <pivotFields count="37">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axis="axisRow"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items count="6">
        <item x="3"/>
        <item x="0"/>
        <item x="4"/>
        <item x="2"/>
        <item x="1"/>
        <item t="default"/>
      </items>
    </pivotField>
  </pivotFields>
  <rowFields count="1">
    <field x="11"/>
  </rowFields>
  <rowItems count="3">
    <i>
      <x/>
    </i>
    <i>
      <x v="1"/>
    </i>
    <i t="grand">
      <x/>
    </i>
  </rowItems>
  <colFields count="1">
    <field x="1"/>
  </colFields>
  <colItems count="3">
    <i>
      <x/>
    </i>
    <i>
      <x v="1"/>
    </i>
    <i t="grand">
      <x/>
    </i>
  </colItems>
  <dataFields count="1">
    <dataField name="Count of EmployeeNumber" fld="9" subtotal="count" baseField="11" baseItem="0"/>
  </dataFields>
  <chartFormats count="19">
    <chartFormat chart="1" format="8" series="1">
      <pivotArea type="data" outline="0" fieldPosition="0">
        <references count="2">
          <reference field="4294967294" count="1" selected="0">
            <x v="0"/>
          </reference>
          <reference field="1" count="1" selected="0">
            <x v="0"/>
          </reference>
        </references>
      </pivotArea>
    </chartFormat>
    <chartFormat chart="1" format="9">
      <pivotArea type="data" outline="0" fieldPosition="0">
        <references count="3">
          <reference field="4294967294" count="1" selected="0">
            <x v="0"/>
          </reference>
          <reference field="1" count="1" selected="0">
            <x v="0"/>
          </reference>
          <reference field="11" count="1" selected="0">
            <x v="0"/>
          </reference>
        </references>
      </pivotArea>
    </chartFormat>
    <chartFormat chart="1" format="10">
      <pivotArea type="data" outline="0" fieldPosition="0">
        <references count="3">
          <reference field="4294967294" count="1" selected="0">
            <x v="0"/>
          </reference>
          <reference field="1" count="1" selected="0">
            <x v="0"/>
          </reference>
          <reference field="11" count="1" selected="0">
            <x v="1"/>
          </reference>
        </references>
      </pivotArea>
    </chartFormat>
    <chartFormat chart="1" format="11" series="1">
      <pivotArea type="data" outline="0" fieldPosition="0">
        <references count="2">
          <reference field="4294967294" count="1" selected="0">
            <x v="0"/>
          </reference>
          <reference field="1" count="1" selected="0">
            <x v="1"/>
          </reference>
        </references>
      </pivotArea>
    </chartFormat>
    <chartFormat chart="1" format="12">
      <pivotArea type="data" outline="0" fieldPosition="0">
        <references count="3">
          <reference field="4294967294" count="1" selected="0">
            <x v="0"/>
          </reference>
          <reference field="1" count="1" selected="0">
            <x v="1"/>
          </reference>
          <reference field="11" count="1" selected="0">
            <x v="0"/>
          </reference>
        </references>
      </pivotArea>
    </chartFormat>
    <chartFormat chart="1" format="13">
      <pivotArea type="data" outline="0" fieldPosition="0">
        <references count="3">
          <reference field="4294967294" count="1" selected="0">
            <x v="0"/>
          </reference>
          <reference field="1" count="1" selected="0">
            <x v="1"/>
          </reference>
          <reference field="11" count="1" selected="0">
            <x v="1"/>
          </reference>
        </references>
      </pivotArea>
    </chartFormat>
    <chartFormat chart="2" format="14" series="1">
      <pivotArea type="data" outline="0" fieldPosition="0">
        <references count="2">
          <reference field="4294967294" count="1" selected="0">
            <x v="0"/>
          </reference>
          <reference field="1" count="1" selected="0">
            <x v="0"/>
          </reference>
        </references>
      </pivotArea>
    </chartFormat>
    <chartFormat chart="2" format="15">
      <pivotArea type="data" outline="0" fieldPosition="0">
        <references count="3">
          <reference field="4294967294" count="1" selected="0">
            <x v="0"/>
          </reference>
          <reference field="1" count="1" selected="0">
            <x v="0"/>
          </reference>
          <reference field="11" count="1" selected="0">
            <x v="0"/>
          </reference>
        </references>
      </pivotArea>
    </chartFormat>
    <chartFormat chart="2" format="16">
      <pivotArea type="data" outline="0" fieldPosition="0">
        <references count="3">
          <reference field="4294967294" count="1" selected="0">
            <x v="0"/>
          </reference>
          <reference field="1" count="1" selected="0">
            <x v="0"/>
          </reference>
          <reference field="11" count="1" selected="0">
            <x v="1"/>
          </reference>
        </references>
      </pivotArea>
    </chartFormat>
    <chartFormat chart="2" format="17" series="1">
      <pivotArea type="data" outline="0" fieldPosition="0">
        <references count="2">
          <reference field="4294967294" count="1" selected="0">
            <x v="0"/>
          </reference>
          <reference field="1" count="1" selected="0">
            <x v="1"/>
          </reference>
        </references>
      </pivotArea>
    </chartFormat>
    <chartFormat chart="2" format="18">
      <pivotArea type="data" outline="0" fieldPosition="0">
        <references count="3">
          <reference field="4294967294" count="1" selected="0">
            <x v="0"/>
          </reference>
          <reference field="1" count="1" selected="0">
            <x v="1"/>
          </reference>
          <reference field="11" count="1" selected="0">
            <x v="0"/>
          </reference>
        </references>
      </pivotArea>
    </chartFormat>
    <chartFormat chart="2" format="19">
      <pivotArea type="data" outline="0" fieldPosition="0">
        <references count="3">
          <reference field="4294967294" count="1" selected="0">
            <x v="0"/>
          </reference>
          <reference field="1" count="1" selected="0">
            <x v="1"/>
          </reference>
          <reference field="11" count="1" selected="0">
            <x v="1"/>
          </reference>
        </references>
      </pivotArea>
    </chartFormat>
    <chartFormat chart="3" format="14" series="1">
      <pivotArea type="data" outline="0" fieldPosition="0">
        <references count="2">
          <reference field="4294967294" count="1" selected="0">
            <x v="0"/>
          </reference>
          <reference field="1" count="1" selected="0">
            <x v="0"/>
          </reference>
        </references>
      </pivotArea>
    </chartFormat>
    <chartFormat chart="3" format="15">
      <pivotArea type="data" outline="0" fieldPosition="0">
        <references count="3">
          <reference field="4294967294" count="1" selected="0">
            <x v="0"/>
          </reference>
          <reference field="1" count="1" selected="0">
            <x v="0"/>
          </reference>
          <reference field="11" count="1" selected="0">
            <x v="0"/>
          </reference>
        </references>
      </pivotArea>
    </chartFormat>
    <chartFormat chart="3" format="16">
      <pivotArea type="data" outline="0" fieldPosition="0">
        <references count="3">
          <reference field="4294967294" count="1" selected="0">
            <x v="0"/>
          </reference>
          <reference field="1" count="1" selected="0">
            <x v="0"/>
          </reference>
          <reference field="11" count="1" selected="0">
            <x v="1"/>
          </reference>
        </references>
      </pivotArea>
    </chartFormat>
    <chartFormat chart="3" format="17" series="1">
      <pivotArea type="data" outline="0" fieldPosition="0">
        <references count="2">
          <reference field="4294967294" count="1" selected="0">
            <x v="0"/>
          </reference>
          <reference field="1" count="1" selected="0">
            <x v="1"/>
          </reference>
        </references>
      </pivotArea>
    </chartFormat>
    <chartFormat chart="3" format="18">
      <pivotArea type="data" outline="0" fieldPosition="0">
        <references count="3">
          <reference field="4294967294" count="1" selected="0">
            <x v="0"/>
          </reference>
          <reference field="1" count="1" selected="0">
            <x v="1"/>
          </reference>
          <reference field="11" count="1" selected="0">
            <x v="0"/>
          </reference>
        </references>
      </pivotArea>
    </chartFormat>
    <chartFormat chart="3" format="19">
      <pivotArea type="data" outline="0" fieldPosition="0">
        <references count="3">
          <reference field="4294967294" count="1" selected="0">
            <x v="0"/>
          </reference>
          <reference field="1" count="1" selected="0">
            <x v="1"/>
          </reference>
          <reference field="11" count="1" selected="0">
            <x v="1"/>
          </reference>
        </references>
      </pivotArea>
    </chartFormat>
    <chartFormat chart="3" format="2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952373-A602-4954-ADC5-42AF6CB513E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2:D7" firstHeaderRow="1" firstDataRow="2" firstDataCol="1"/>
  <pivotFields count="37">
    <pivotField showAll="0"/>
    <pivotField axis="axisCol"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items count="6">
        <item x="3"/>
        <item x="0"/>
        <item x="4"/>
        <item x="2"/>
        <item x="1"/>
        <item t="default"/>
      </items>
    </pivotField>
  </pivotFields>
  <rowFields count="1">
    <field x="4"/>
  </rowFields>
  <rowItems count="4">
    <i>
      <x/>
    </i>
    <i>
      <x v="1"/>
    </i>
    <i>
      <x v="2"/>
    </i>
    <i t="grand">
      <x/>
    </i>
  </rowItems>
  <colFields count="1">
    <field x="1"/>
  </colFields>
  <colItems count="3">
    <i>
      <x/>
    </i>
    <i>
      <x v="1"/>
    </i>
    <i t="grand">
      <x/>
    </i>
  </colItems>
  <dataFields count="1">
    <dataField name="Count of EmployeeNumber" fld="9" subtotal="count" baseField="4" baseItem="1"/>
  </dataFields>
  <chartFormats count="7">
    <chartFormat chart="7" format="7" series="1">
      <pivotArea type="data" outline="0" fieldPosition="0">
        <references count="2">
          <reference field="4294967294" count="1" selected="0">
            <x v="0"/>
          </reference>
          <reference field="1" count="1" selected="0">
            <x v="0"/>
          </reference>
        </references>
      </pivotArea>
    </chartFormat>
    <chartFormat chart="7" format="8" series="1">
      <pivotArea type="data" outline="0" fieldPosition="0">
        <references count="2">
          <reference field="4294967294" count="1" selected="0">
            <x v="0"/>
          </reference>
          <reference field="1" count="1" selected="0">
            <x v="1"/>
          </reference>
        </references>
      </pivotArea>
    </chartFormat>
    <chartFormat chart="8" format="9" series="1">
      <pivotArea type="data" outline="0" fieldPosition="0">
        <references count="2">
          <reference field="4294967294" count="1" selected="0">
            <x v="0"/>
          </reference>
          <reference field="1" count="1" selected="0">
            <x v="0"/>
          </reference>
        </references>
      </pivotArea>
    </chartFormat>
    <chartFormat chart="8" format="10" series="1">
      <pivotArea type="data" outline="0" fieldPosition="0">
        <references count="2">
          <reference field="4294967294" count="1" selected="0">
            <x v="0"/>
          </reference>
          <reference field="1" count="1" selected="0">
            <x v="1"/>
          </reference>
        </references>
      </pivotArea>
    </chartFormat>
    <chartFormat chart="17" format="4" series="1">
      <pivotArea type="data" outline="0" fieldPosition="0">
        <references count="2">
          <reference field="4294967294" count="1" selected="0">
            <x v="0"/>
          </reference>
          <reference field="1" count="1" selected="0">
            <x v="0"/>
          </reference>
        </references>
      </pivotArea>
    </chartFormat>
    <chartFormat chart="17" format="5" series="1">
      <pivotArea type="data" outline="0" fieldPosition="0">
        <references count="2">
          <reference field="4294967294" count="1" selected="0">
            <x v="0"/>
          </reference>
          <reference field="1" count="1" selected="0">
            <x v="1"/>
          </reference>
        </references>
      </pivotArea>
    </chartFormat>
    <chartFormat chart="1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D85943-4D8F-418B-889F-FC1BA8FB93E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1:D57" firstHeaderRow="1" firstDataRow="2" firstDataCol="1"/>
  <pivotFields count="37">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items count="6">
        <item x="3"/>
        <item x="0"/>
        <item x="4"/>
        <item x="2"/>
        <item x="1"/>
        <item t="default"/>
      </items>
    </pivotField>
  </pivotFields>
  <rowFields count="1">
    <field x="16"/>
  </rowFields>
  <rowItems count="5">
    <i>
      <x/>
    </i>
    <i>
      <x v="1"/>
    </i>
    <i>
      <x v="2"/>
    </i>
    <i>
      <x v="3"/>
    </i>
    <i t="grand">
      <x/>
    </i>
  </rowItems>
  <colFields count="1">
    <field x="1"/>
  </colFields>
  <colItems count="3">
    <i>
      <x/>
    </i>
    <i>
      <x v="1"/>
    </i>
    <i t="grand">
      <x/>
    </i>
  </colItems>
  <dataFields count="1">
    <dataField name="Count of EmployeeNumber" fld="9" subtotal="count" baseField="16" baseItem="0"/>
  </dataFields>
  <chartFormats count="5">
    <chartFormat chart="1" format="3" series="1">
      <pivotArea type="data" outline="0" fieldPosition="0">
        <references count="2">
          <reference field="4294967294" count="1" selected="0">
            <x v="0"/>
          </reference>
          <reference field="1" count="1" selected="0">
            <x v="0"/>
          </reference>
        </references>
      </pivotArea>
    </chartFormat>
    <chartFormat chart="1" format="4" series="1">
      <pivotArea type="data" outline="0" fieldPosition="0">
        <references count="2">
          <reference field="4294967294" count="1" selected="0">
            <x v="0"/>
          </reference>
          <reference field="1" count="1" selected="0">
            <x v="1"/>
          </reference>
        </references>
      </pivotArea>
    </chartFormat>
    <chartFormat chart="5" format="5" series="1">
      <pivotArea type="data" outline="0" fieldPosition="0">
        <references count="2">
          <reference field="4294967294" count="1" selected="0">
            <x v="0"/>
          </reference>
          <reference field="1" count="1" selected="0">
            <x v="0"/>
          </reference>
        </references>
      </pivotArea>
    </chartFormat>
    <chartFormat chart="5" format="6" series="1">
      <pivotArea type="data" outline="0" fieldPosition="0">
        <references count="2">
          <reference field="4294967294" count="1" selected="0">
            <x v="0"/>
          </reference>
          <reference field="1" count="1" selected="0">
            <x v="1"/>
          </reference>
        </references>
      </pivotArea>
    </chartFormat>
    <chartFormat chart="5"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F032A9-0715-4EF7-90BD-E4A413793D0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M2:P41" firstHeaderRow="1" firstDataRow="2" firstDataCol="1"/>
  <pivotFields count="37">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items count="6">
        <item x="2"/>
        <item x="0"/>
        <item x="1"/>
        <item x="3"/>
        <item x="4"/>
        <item t="default"/>
      </items>
    </pivotField>
    <pivotField showAll="0">
      <items count="6">
        <item x="3"/>
        <item x="0"/>
        <item x="4"/>
        <item x="2"/>
        <item x="1"/>
        <item t="default"/>
      </items>
    </pivotField>
  </pivotFields>
  <rowFields count="1">
    <field x="31"/>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Fields count="1">
    <field x="1"/>
  </colFields>
  <colItems count="3">
    <i>
      <x/>
    </i>
    <i>
      <x v="1"/>
    </i>
    <i t="grand">
      <x/>
    </i>
  </colItems>
  <dataFields count="1">
    <dataField name="Count of EmployeeNumber" fld="9" subtotal="count" baseField="31" baseItem="26"/>
  </dataFields>
  <chartFormats count="3">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2544950-022A-49C2-9657-32B3A64C11C1}" sourceName="Department">
  <pivotTables>
    <pivotTable tabId="3" name="PivotTable1"/>
    <pivotTable tabId="3" name="PivotTable10"/>
    <pivotTable tabId="3" name="PivotTable11"/>
    <pivotTable tabId="3" name="PivotTable2"/>
    <pivotTable tabId="3" name="PivotTable7"/>
    <pivotTable tabId="3" name="PivotTable8"/>
    <pivotTable tabId="3" name="PivotTable9"/>
  </pivotTables>
  <data>
    <tabular pivotCacheId="2035660763">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4522B669-4420-4395-A1F5-F5F2DB6C7260}" sourceName="JobRole">
  <pivotTables>
    <pivotTable tabId="3" name="PivotTable1"/>
    <pivotTable tabId="3" name="PivotTable10"/>
    <pivotTable tabId="3" name="PivotTable11"/>
    <pivotTable tabId="3" name="PivotTable2"/>
    <pivotTable tabId="3" name="PivotTable7"/>
    <pivotTable tabId="3" name="PivotTable8"/>
    <pivotTable tabId="3" name="PivotTable9"/>
  </pivotTables>
  <data>
    <tabular pivotCacheId="2035660763">
      <items count="9">
        <i x="4" s="1"/>
        <i x="8" s="1"/>
        <i x="2" s="1"/>
        <i x="5" s="1"/>
        <i x="3" s="1"/>
        <i x="7" s="1"/>
        <i x="1"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271161F-4199-435B-ADD3-A40B9BCC2B61}" sourceName="Gender">
  <pivotTables>
    <pivotTable tabId="3" name="PivotTable1"/>
    <pivotTable tabId="3" name="PivotTable10"/>
    <pivotTable tabId="3" name="PivotTable11"/>
    <pivotTable tabId="3" name="PivotTable2"/>
    <pivotTable tabId="3" name="PivotTable7"/>
    <pivotTable tabId="3" name="PivotTable8"/>
    <pivotTable tabId="3" name="PivotTable9"/>
  </pivotTables>
  <data>
    <tabular pivotCacheId="2035660763">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28CED912-5F71-40ED-B1FF-BBC2BBB00752}" sourceName="Age Group">
  <pivotTables>
    <pivotTable tabId="3" name="PivotTable1"/>
    <pivotTable tabId="3" name="PivotTable10"/>
    <pivotTable tabId="3" name="PivotTable11"/>
    <pivotTable tabId="3" name="PivotTable2"/>
    <pivotTable tabId="3" name="PivotTable7"/>
    <pivotTable tabId="3" name="PivotTable8"/>
    <pivotTable tabId="3" name="PivotTable9"/>
  </pivotTables>
  <data>
    <tabular pivotCacheId="2035660763">
      <items count="5">
        <i x="2" s="1"/>
        <i x="0" s="1"/>
        <i x="1" s="1"/>
        <i x="3"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_Range" xr10:uid="{4BE573F6-4888-4D7E-843B-973D3F538444}" sourceName="Salary Range">
  <pivotTables>
    <pivotTable tabId="3" name="PivotTable1"/>
    <pivotTable tabId="3" name="PivotTable10"/>
    <pivotTable tabId="3" name="PivotTable11"/>
    <pivotTable tabId="3" name="PivotTable2"/>
    <pivotTable tabId="3" name="PivotTable7"/>
    <pivotTable tabId="3" name="PivotTable8"/>
    <pivotTable tabId="3" name="PivotTable9"/>
  </pivotTables>
  <data>
    <tabular pivotCacheId="2035660763">
      <items count="5">
        <i x="3" s="1"/>
        <i x="0" s="1"/>
        <i x="4"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72685AA5-3F93-426A-98EE-F5ED41B54092}" cache="Slicer_Department" caption="Department" style="Slicer Style 1" rowHeight="247650"/>
  <slicer name="JobRole" xr10:uid="{BEAFE7D3-2801-4F47-9A50-219D8F64AA22}" cache="Slicer_JobRole" caption="JobRole" style="Slicer Style 1" rowHeight="247650"/>
  <slicer name="Gender" xr10:uid="{689FEE91-2239-49E0-836B-8834CE3A719C}" cache="Slicer_Gender" caption="Gender" style="Slicer Style 1" rowHeight="247650"/>
  <slicer name="Age Group" xr10:uid="{AD86FAA4-C4FF-4D3E-8276-D9E921CE1BD5}" cache="Slicer_Age_Group" caption="Age Group" style="Slicer Style 1" rowHeight="247650"/>
  <slicer name="Salary Range" xr10:uid="{4AE20D33-1A39-4283-A9E8-B8579B672BE0}" cache="Slicer_Salary_Range" caption="Salary Range" style="Slicer Style 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77D933-59F2-4AB2-BB39-44BAF660BEDF}" name="EmployeeData" displayName="EmployeeData" ref="A1:AK1471" totalsRowShown="0">
  <autoFilter ref="A1:AK1471" xr:uid="{0977D933-59F2-4AB2-BB39-44BAF660BEDF}"/>
  <tableColumns count="37">
    <tableColumn id="1" xr3:uid="{93FEC790-9AD0-4ECD-B69A-75E76A9F6FAE}" name="Age"/>
    <tableColumn id="2" xr3:uid="{CEF70E85-46A3-4581-B365-46BF93D01FFB}" name="Attrition"/>
    <tableColumn id="3" xr3:uid="{3A83CBD1-900E-4066-91BA-788EB20F950A}" name="BusinessTravel"/>
    <tableColumn id="4" xr3:uid="{20C3DE81-5158-477B-8488-6640FE29AF66}" name="DailyRate"/>
    <tableColumn id="5" xr3:uid="{30C0311A-CC0A-4933-9872-EDE6590BC330}" name="Department"/>
    <tableColumn id="6" xr3:uid="{5D6A1039-8A72-4D8D-A8F1-7B496FAC4333}" name="DistanceFromHome"/>
    <tableColumn id="7" xr3:uid="{78C3CBDF-1955-490B-8A35-810ECA43F8E3}" name="Education"/>
    <tableColumn id="8" xr3:uid="{7258045F-FD17-444D-99E1-5EE1B746EFFA}" name="EducationField"/>
    <tableColumn id="9" xr3:uid="{8A89AA7A-E4C1-4CC7-BA04-672B4522F3FE}" name="EmployeeCount"/>
    <tableColumn id="10" xr3:uid="{5CE21569-7421-4149-B3B9-45F97178B6DA}" name="EmployeeNumber"/>
    <tableColumn id="11" xr3:uid="{B131E016-2708-4473-AC16-EA68CDCB1D9C}" name="EnvironmentSatisfaction"/>
    <tableColumn id="12" xr3:uid="{C6FFA912-FF67-412F-A62A-009FB7ACD092}" name="Gender"/>
    <tableColumn id="13" xr3:uid="{3F3943FB-1A5F-4A85-9D4E-F7FB5C4117F6}" name="HourlyRate"/>
    <tableColumn id="14" xr3:uid="{F945ED54-BB70-4992-AAE8-55DEA4487257}" name="JobInvolvement"/>
    <tableColumn id="15" xr3:uid="{7C95B687-A785-4294-9D4E-0C1C22396644}" name="JobLevel"/>
    <tableColumn id="16" xr3:uid="{0314ED26-D500-43DB-8B86-84F495EC2991}" name="JobRole"/>
    <tableColumn id="17" xr3:uid="{65F861C9-F83E-4D43-9A15-B7BFE2BF39AA}" name="JobSatisfaction"/>
    <tableColumn id="18" xr3:uid="{45BDD4D3-99FF-4689-A1A6-A1D48F0C840A}" name="MaritalStatus"/>
    <tableColumn id="19" xr3:uid="{FEABCA4C-6338-482B-AE2B-0F9459114861}" name="MonthlyIncome"/>
    <tableColumn id="20" xr3:uid="{1AB7BADC-4B54-4F65-8567-E17EEECB661F}" name="MonthlyRate"/>
    <tableColumn id="21" xr3:uid="{C48BDA08-6EB0-4184-9819-C3692FD20A4C}" name="NumCompaniesWorked"/>
    <tableColumn id="22" xr3:uid="{6B65A372-6649-408D-BA86-9BCE34FAE37F}" name="Over18"/>
    <tableColumn id="23" xr3:uid="{4AF74D28-5A1A-4AC0-9987-8DDE1705BE83}" name="OverTime"/>
    <tableColumn id="24" xr3:uid="{6200D21C-7720-4057-A32B-3C7F547ED154}" name="PercentSalaryHike"/>
    <tableColumn id="25" xr3:uid="{055DFABF-50C4-41EB-9F27-B9FA5B97AB07}" name="PerformanceRating"/>
    <tableColumn id="26" xr3:uid="{669D923C-77C8-46EF-995C-B7049CA35A45}" name="RelationshipSatisfaction"/>
    <tableColumn id="27" xr3:uid="{E9D2C544-FBE1-4BE7-94DF-7F4D6C083751}" name="StandardHours"/>
    <tableColumn id="28" xr3:uid="{706B1BC8-2D17-4726-837A-291B42FB6FCA}" name="StockOptionLevel"/>
    <tableColumn id="29" xr3:uid="{FF29046B-2E43-4455-AB92-0800CCA95DDA}" name="TotalWorkingYears"/>
    <tableColumn id="30" xr3:uid="{F0208BEC-89C0-4D9E-9CB4-A9BBFC19E80F}" name="TrainingTimesLastYear"/>
    <tableColumn id="31" xr3:uid="{111362B8-AA3E-4666-84A6-B2EB5DFE57C4}" name="WorkLifeBalance"/>
    <tableColumn id="32" xr3:uid="{311B5FC3-465D-4BB7-8D13-198478BBAC63}" name="YearsAtCompany"/>
    <tableColumn id="33" xr3:uid="{918FBEF0-019B-40A2-873B-7ADC41659B0D}" name="YearsInCurrentRole"/>
    <tableColumn id="34" xr3:uid="{4D3DE75E-E8E9-40E1-A067-3D27C8FD1697}" name="YearsSinceLastPromotion"/>
    <tableColumn id="35" xr3:uid="{A61B7C99-9B30-4A93-AF24-025A69D22459}" name="YearsWithCurrManager"/>
    <tableColumn id="36" xr3:uid="{C5A578EF-8C30-4D59-ACEE-C16A4985598F}" name="Age Group" dataDxfId="3">
      <calculatedColumnFormula>IF(EmployeeData[[#This Row],[Age]]&lt;25,"Under 25",IF(EmployeeData[[#This Row],[Age]]&lt;35,"25-34",IF(EmployeeData[[#This Row],[Age]]&lt;45,"35-44",IF(EmployeeData[[#This Row],[Age]]&lt;55,"45-54","55+"))))</calculatedColumnFormula>
    </tableColumn>
    <tableColumn id="37" xr3:uid="{965F0BC6-F482-4D75-B302-E3EBB3E9259D}" name="Salary Range" dataDxfId="2">
      <calculatedColumnFormula>IF(EmployeeData[[#This Row],[MonthlyIncome]]&lt;3000,"Below 3K",IF(EmployeeData[[#This Row],[MonthlyIncome]]&lt;6000,"3K-6K",IF(EmployeeData[[#This Row],[MonthlyIncome]]&lt;9000,"6K-9K",IF(EmployeeData[[#This Row],[MonthlyIncome]]&lt;12000,"9K-12K","12K+"))))</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439EB-E05A-473D-9765-4ADF7254F2E9}">
  <dimension ref="A1:AK1471"/>
  <sheetViews>
    <sheetView topLeftCell="A2" zoomScale="99" zoomScaleNormal="99" workbookViewId="0">
      <selection sqref="A1:AK1471"/>
    </sheetView>
  </sheetViews>
  <sheetFormatPr defaultRowHeight="14.4" x14ac:dyDescent="0.3"/>
  <cols>
    <col min="2" max="2" width="9.6640625" customWidth="1"/>
    <col min="3" max="3" width="15.33203125" customWidth="1"/>
    <col min="4" max="4" width="11" customWidth="1"/>
    <col min="5" max="5" width="12.6640625" customWidth="1"/>
    <col min="6" max="6" width="19.44140625" customWidth="1"/>
    <col min="7" max="7" width="11.109375" customWidth="1"/>
    <col min="8" max="8" width="15.33203125" customWidth="1"/>
    <col min="9" max="9" width="15.88671875" customWidth="1"/>
    <col min="10" max="10" width="17.5546875" customWidth="1"/>
    <col min="11" max="11" width="23.21875" customWidth="1"/>
    <col min="12" max="12" width="9" customWidth="1"/>
    <col min="13" max="13" width="12.109375" customWidth="1"/>
    <col min="14" max="14" width="15.77734375" customWidth="1"/>
    <col min="15" max="15" width="10" customWidth="1"/>
    <col min="16" max="16" width="9.33203125" customWidth="1"/>
    <col min="17" max="17" width="15.5546875" customWidth="1"/>
    <col min="18" max="18" width="14" customWidth="1"/>
    <col min="19" max="19" width="15.5546875" customWidth="1"/>
    <col min="20" max="20" width="13.109375" customWidth="1"/>
    <col min="21" max="21" width="22.6640625" customWidth="1"/>
    <col min="23" max="23" width="10.77734375" customWidth="1"/>
    <col min="24" max="24" width="18.6640625" customWidth="1"/>
    <col min="25" max="25" width="18.88671875" customWidth="1"/>
    <col min="26" max="26" width="23.21875" customWidth="1"/>
    <col min="27" max="27" width="15.33203125" customWidth="1"/>
    <col min="28" max="28" width="17.44140625" customWidth="1"/>
    <col min="29" max="29" width="18.44140625" customWidth="1"/>
    <col min="30" max="30" width="21.5546875" customWidth="1"/>
    <col min="31" max="31" width="17.21875" customWidth="1"/>
    <col min="32" max="32" width="17" customWidth="1"/>
    <col min="33" max="33" width="19.21875" customWidth="1"/>
    <col min="34" max="34" width="24.21875" customWidth="1"/>
    <col min="35" max="35" width="22.21875" customWidth="1"/>
    <col min="37" max="37" width="8.88671875" style="4"/>
  </cols>
  <sheetData>
    <row r="1" spans="1:3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74</v>
      </c>
      <c r="AK1" s="4" t="s">
        <v>75</v>
      </c>
    </row>
    <row r="2" spans="1:37" x14ac:dyDescent="0.3">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c r="AJ2" s="4" t="str">
        <f>IF(EmployeeData[[#This Row],[Age]]&lt;25,"Under 25",IF(EmployeeData[[#This Row],[Age]]&lt;35,"25-34",IF(EmployeeData[[#This Row],[Age]]&lt;45,"35-44",IF(EmployeeData[[#This Row],[Age]]&lt;55,"45-54","55+"))))</f>
        <v>35-44</v>
      </c>
      <c r="AK2" s="4" t="str">
        <f>IF(EmployeeData[[#This Row],[MonthlyIncome]]&lt;3000,"Below 3K",IF(EmployeeData[[#This Row],[MonthlyIncome]]&lt;6000,"3K-6K",IF(EmployeeData[[#This Row],[MonthlyIncome]]&lt;9000,"6K-9K",IF(EmployeeData[[#This Row],[MonthlyIncome]]&lt;12000,"9K-12K","12K+"))))</f>
        <v>3K-6K</v>
      </c>
    </row>
    <row r="3" spans="1:37" x14ac:dyDescent="0.3">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c r="AJ3" s="4" t="str">
        <f>IF(EmployeeData[[#This Row],[Age]]&lt;25,"Under 25",IF(EmployeeData[[#This Row],[Age]]&lt;35,"25-34",IF(EmployeeData[[#This Row],[Age]]&lt;45,"35-44",IF(EmployeeData[[#This Row],[Age]]&lt;55,"45-54","55+"))))</f>
        <v>45-54</v>
      </c>
      <c r="AK3" s="4" t="str">
        <f>IF(EmployeeData[[#This Row],[MonthlyIncome]]&lt;3000,"Below 3K",IF(EmployeeData[[#This Row],[MonthlyIncome]]&lt;6000,"3K-6K",IF(EmployeeData[[#This Row],[MonthlyIncome]]&lt;9000,"6K-9K",IF(EmployeeData[[#This Row],[MonthlyIncome]]&lt;12000,"9K-12K","12K+"))))</f>
        <v>3K-6K</v>
      </c>
    </row>
    <row r="4" spans="1:37" x14ac:dyDescent="0.3">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c r="AJ4" s="4" t="str">
        <f>IF(EmployeeData[[#This Row],[Age]]&lt;25,"Under 25",IF(EmployeeData[[#This Row],[Age]]&lt;35,"25-34",IF(EmployeeData[[#This Row],[Age]]&lt;45,"35-44",IF(EmployeeData[[#This Row],[Age]]&lt;55,"45-54","55+"))))</f>
        <v>35-44</v>
      </c>
      <c r="AK4" s="4" t="str">
        <f>IF(EmployeeData[[#This Row],[MonthlyIncome]]&lt;3000,"Below 3K",IF(EmployeeData[[#This Row],[MonthlyIncome]]&lt;6000,"3K-6K",IF(EmployeeData[[#This Row],[MonthlyIncome]]&lt;9000,"6K-9K",IF(EmployeeData[[#This Row],[MonthlyIncome]]&lt;12000,"9K-12K","12K+"))))</f>
        <v>Below 3K</v>
      </c>
    </row>
    <row r="5" spans="1:37" x14ac:dyDescent="0.3">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c r="AJ5" s="4" t="str">
        <f>IF(EmployeeData[[#This Row],[Age]]&lt;25,"Under 25",IF(EmployeeData[[#This Row],[Age]]&lt;35,"25-34",IF(EmployeeData[[#This Row],[Age]]&lt;45,"35-44",IF(EmployeeData[[#This Row],[Age]]&lt;55,"45-54","55+"))))</f>
        <v>25-34</v>
      </c>
      <c r="AK5" s="4" t="str">
        <f>IF(EmployeeData[[#This Row],[MonthlyIncome]]&lt;3000,"Below 3K",IF(EmployeeData[[#This Row],[MonthlyIncome]]&lt;6000,"3K-6K",IF(EmployeeData[[#This Row],[MonthlyIncome]]&lt;9000,"6K-9K",IF(EmployeeData[[#This Row],[MonthlyIncome]]&lt;12000,"9K-12K","12K+"))))</f>
        <v>Below 3K</v>
      </c>
    </row>
    <row r="6" spans="1:37" x14ac:dyDescent="0.3">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c r="AJ6" s="4" t="str">
        <f>IF(EmployeeData[[#This Row],[Age]]&lt;25,"Under 25",IF(EmployeeData[[#This Row],[Age]]&lt;35,"25-34",IF(EmployeeData[[#This Row],[Age]]&lt;45,"35-44",IF(EmployeeData[[#This Row],[Age]]&lt;55,"45-54","55+"))))</f>
        <v>25-34</v>
      </c>
      <c r="AK6" s="4" t="str">
        <f>IF(EmployeeData[[#This Row],[MonthlyIncome]]&lt;3000,"Below 3K",IF(EmployeeData[[#This Row],[MonthlyIncome]]&lt;6000,"3K-6K",IF(EmployeeData[[#This Row],[MonthlyIncome]]&lt;9000,"6K-9K",IF(EmployeeData[[#This Row],[MonthlyIncome]]&lt;12000,"9K-12K","12K+"))))</f>
        <v>3K-6K</v>
      </c>
    </row>
    <row r="7" spans="1:37" x14ac:dyDescent="0.3">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c r="AJ7" s="4" t="str">
        <f>IF(EmployeeData[[#This Row],[Age]]&lt;25,"Under 25",IF(EmployeeData[[#This Row],[Age]]&lt;35,"25-34",IF(EmployeeData[[#This Row],[Age]]&lt;45,"35-44",IF(EmployeeData[[#This Row],[Age]]&lt;55,"45-54","55+"))))</f>
        <v>25-34</v>
      </c>
      <c r="AK7" s="4" t="str">
        <f>IF(EmployeeData[[#This Row],[MonthlyIncome]]&lt;3000,"Below 3K",IF(EmployeeData[[#This Row],[MonthlyIncome]]&lt;6000,"3K-6K",IF(EmployeeData[[#This Row],[MonthlyIncome]]&lt;9000,"6K-9K",IF(EmployeeData[[#This Row],[MonthlyIncome]]&lt;12000,"9K-12K","12K+"))))</f>
        <v>3K-6K</v>
      </c>
    </row>
    <row r="8" spans="1:37" x14ac:dyDescent="0.3">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c r="AJ8" s="4" t="str">
        <f>IF(EmployeeData[[#This Row],[Age]]&lt;25,"Under 25",IF(EmployeeData[[#This Row],[Age]]&lt;35,"25-34",IF(EmployeeData[[#This Row],[Age]]&lt;45,"35-44",IF(EmployeeData[[#This Row],[Age]]&lt;55,"45-54","55+"))))</f>
        <v>55+</v>
      </c>
      <c r="AK8" s="4" t="str">
        <f>IF(EmployeeData[[#This Row],[MonthlyIncome]]&lt;3000,"Below 3K",IF(EmployeeData[[#This Row],[MonthlyIncome]]&lt;6000,"3K-6K",IF(EmployeeData[[#This Row],[MonthlyIncome]]&lt;9000,"6K-9K",IF(EmployeeData[[#This Row],[MonthlyIncome]]&lt;12000,"9K-12K","12K+"))))</f>
        <v>Below 3K</v>
      </c>
    </row>
    <row r="9" spans="1:37" x14ac:dyDescent="0.3">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c r="AJ9" s="4" t="str">
        <f>IF(EmployeeData[[#This Row],[Age]]&lt;25,"Under 25",IF(EmployeeData[[#This Row],[Age]]&lt;35,"25-34",IF(EmployeeData[[#This Row],[Age]]&lt;45,"35-44",IF(EmployeeData[[#This Row],[Age]]&lt;55,"45-54","55+"))))</f>
        <v>25-34</v>
      </c>
      <c r="AK9" s="4" t="str">
        <f>IF(EmployeeData[[#This Row],[MonthlyIncome]]&lt;3000,"Below 3K",IF(EmployeeData[[#This Row],[MonthlyIncome]]&lt;6000,"3K-6K",IF(EmployeeData[[#This Row],[MonthlyIncome]]&lt;9000,"6K-9K",IF(EmployeeData[[#This Row],[MonthlyIncome]]&lt;12000,"9K-12K","12K+"))))</f>
        <v>Below 3K</v>
      </c>
    </row>
    <row r="10" spans="1:37" x14ac:dyDescent="0.3">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c r="AJ10" s="4" t="str">
        <f>IF(EmployeeData[[#This Row],[Age]]&lt;25,"Under 25",IF(EmployeeData[[#This Row],[Age]]&lt;35,"25-34",IF(EmployeeData[[#This Row],[Age]]&lt;45,"35-44",IF(EmployeeData[[#This Row],[Age]]&lt;55,"45-54","55+"))))</f>
        <v>35-44</v>
      </c>
      <c r="AK10" s="4" t="str">
        <f>IF(EmployeeData[[#This Row],[MonthlyIncome]]&lt;3000,"Below 3K",IF(EmployeeData[[#This Row],[MonthlyIncome]]&lt;6000,"3K-6K",IF(EmployeeData[[#This Row],[MonthlyIncome]]&lt;9000,"6K-9K",IF(EmployeeData[[#This Row],[MonthlyIncome]]&lt;12000,"9K-12K","12K+"))))</f>
        <v>9K-12K</v>
      </c>
    </row>
    <row r="11" spans="1:37" x14ac:dyDescent="0.3">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c r="AJ11" s="4" t="str">
        <f>IF(EmployeeData[[#This Row],[Age]]&lt;25,"Under 25",IF(EmployeeData[[#This Row],[Age]]&lt;35,"25-34",IF(EmployeeData[[#This Row],[Age]]&lt;45,"35-44",IF(EmployeeData[[#This Row],[Age]]&lt;55,"45-54","55+"))))</f>
        <v>35-44</v>
      </c>
      <c r="AK11" s="4" t="str">
        <f>IF(EmployeeData[[#This Row],[MonthlyIncome]]&lt;3000,"Below 3K",IF(EmployeeData[[#This Row],[MonthlyIncome]]&lt;6000,"3K-6K",IF(EmployeeData[[#This Row],[MonthlyIncome]]&lt;9000,"6K-9K",IF(EmployeeData[[#This Row],[MonthlyIncome]]&lt;12000,"9K-12K","12K+"))))</f>
        <v>3K-6K</v>
      </c>
    </row>
    <row r="12" spans="1:37" x14ac:dyDescent="0.3">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c r="AJ12" s="4" t="str">
        <f>IF(EmployeeData[[#This Row],[Age]]&lt;25,"Under 25",IF(EmployeeData[[#This Row],[Age]]&lt;35,"25-34",IF(EmployeeData[[#This Row],[Age]]&lt;45,"35-44",IF(EmployeeData[[#This Row],[Age]]&lt;55,"45-54","55+"))))</f>
        <v>35-44</v>
      </c>
      <c r="AK12" s="4" t="str">
        <f>IF(EmployeeData[[#This Row],[MonthlyIncome]]&lt;3000,"Below 3K",IF(EmployeeData[[#This Row],[MonthlyIncome]]&lt;6000,"3K-6K",IF(EmployeeData[[#This Row],[MonthlyIncome]]&lt;9000,"6K-9K",IF(EmployeeData[[#This Row],[MonthlyIncome]]&lt;12000,"9K-12K","12K+"))))</f>
        <v>Below 3K</v>
      </c>
    </row>
    <row r="13" spans="1:37" x14ac:dyDescent="0.3">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c r="AJ13" s="4" t="str">
        <f>IF(EmployeeData[[#This Row],[Age]]&lt;25,"Under 25",IF(EmployeeData[[#This Row],[Age]]&lt;35,"25-34",IF(EmployeeData[[#This Row],[Age]]&lt;45,"35-44",IF(EmployeeData[[#This Row],[Age]]&lt;55,"45-54","55+"))))</f>
        <v>25-34</v>
      </c>
      <c r="AK13" s="4" t="str">
        <f>IF(EmployeeData[[#This Row],[MonthlyIncome]]&lt;3000,"Below 3K",IF(EmployeeData[[#This Row],[MonthlyIncome]]&lt;6000,"3K-6K",IF(EmployeeData[[#This Row],[MonthlyIncome]]&lt;9000,"6K-9K",IF(EmployeeData[[#This Row],[MonthlyIncome]]&lt;12000,"9K-12K","12K+"))))</f>
        <v>3K-6K</v>
      </c>
    </row>
    <row r="14" spans="1:37" x14ac:dyDescent="0.3">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c r="AJ14" s="4" t="str">
        <f>IF(EmployeeData[[#This Row],[Age]]&lt;25,"Under 25",IF(EmployeeData[[#This Row],[Age]]&lt;35,"25-34",IF(EmployeeData[[#This Row],[Age]]&lt;45,"35-44",IF(EmployeeData[[#This Row],[Age]]&lt;55,"45-54","55+"))))</f>
        <v>25-34</v>
      </c>
      <c r="AK14" s="4" t="str">
        <f>IF(EmployeeData[[#This Row],[MonthlyIncome]]&lt;3000,"Below 3K",IF(EmployeeData[[#This Row],[MonthlyIncome]]&lt;6000,"3K-6K",IF(EmployeeData[[#This Row],[MonthlyIncome]]&lt;9000,"6K-9K",IF(EmployeeData[[#This Row],[MonthlyIncome]]&lt;12000,"9K-12K","12K+"))))</f>
        <v>Below 3K</v>
      </c>
    </row>
    <row r="15" spans="1:37" x14ac:dyDescent="0.3">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c r="AJ15" s="4" t="str">
        <f>IF(EmployeeData[[#This Row],[Age]]&lt;25,"Under 25",IF(EmployeeData[[#This Row],[Age]]&lt;35,"25-34",IF(EmployeeData[[#This Row],[Age]]&lt;45,"35-44",IF(EmployeeData[[#This Row],[Age]]&lt;55,"45-54","55+"))))</f>
        <v>25-34</v>
      </c>
      <c r="AK15" s="4" t="str">
        <f>IF(EmployeeData[[#This Row],[MonthlyIncome]]&lt;3000,"Below 3K",IF(EmployeeData[[#This Row],[MonthlyIncome]]&lt;6000,"3K-6K",IF(EmployeeData[[#This Row],[MonthlyIncome]]&lt;9000,"6K-9K",IF(EmployeeData[[#This Row],[MonthlyIncome]]&lt;12000,"9K-12K","12K+"))))</f>
        <v>Below 3K</v>
      </c>
    </row>
    <row r="16" spans="1:37" x14ac:dyDescent="0.3">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c r="AJ16" s="4" t="str">
        <f>IF(EmployeeData[[#This Row],[Age]]&lt;25,"Under 25",IF(EmployeeData[[#This Row],[Age]]&lt;35,"25-34",IF(EmployeeData[[#This Row],[Age]]&lt;45,"35-44",IF(EmployeeData[[#This Row],[Age]]&lt;55,"45-54","55+"))))</f>
        <v>25-34</v>
      </c>
      <c r="AK16" s="4" t="str">
        <f>IF(EmployeeData[[#This Row],[MonthlyIncome]]&lt;3000,"Below 3K",IF(EmployeeData[[#This Row],[MonthlyIncome]]&lt;6000,"3K-6K",IF(EmployeeData[[#This Row],[MonthlyIncome]]&lt;9000,"6K-9K",IF(EmployeeData[[#This Row],[MonthlyIncome]]&lt;12000,"9K-12K","12K+"))))</f>
        <v>Below 3K</v>
      </c>
    </row>
    <row r="17" spans="1:37" x14ac:dyDescent="0.3">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c r="AJ17" s="4" t="str">
        <f>IF(EmployeeData[[#This Row],[Age]]&lt;25,"Under 25",IF(EmployeeData[[#This Row],[Age]]&lt;35,"25-34",IF(EmployeeData[[#This Row],[Age]]&lt;45,"35-44",IF(EmployeeData[[#This Row],[Age]]&lt;55,"45-54","55+"))))</f>
        <v>25-34</v>
      </c>
      <c r="AK17" s="4" t="str">
        <f>IF(EmployeeData[[#This Row],[MonthlyIncome]]&lt;3000,"Below 3K",IF(EmployeeData[[#This Row],[MonthlyIncome]]&lt;6000,"3K-6K",IF(EmployeeData[[#This Row],[MonthlyIncome]]&lt;9000,"6K-9K",IF(EmployeeData[[#This Row],[MonthlyIncome]]&lt;12000,"9K-12K","12K+"))))</f>
        <v>9K-12K</v>
      </c>
    </row>
    <row r="18" spans="1:37" x14ac:dyDescent="0.3">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c r="AJ18" s="4" t="str">
        <f>IF(EmployeeData[[#This Row],[Age]]&lt;25,"Under 25",IF(EmployeeData[[#This Row],[Age]]&lt;35,"25-34",IF(EmployeeData[[#This Row],[Age]]&lt;45,"35-44",IF(EmployeeData[[#This Row],[Age]]&lt;55,"45-54","55+"))))</f>
        <v>25-34</v>
      </c>
      <c r="AK18" s="4" t="str">
        <f>IF(EmployeeData[[#This Row],[MonthlyIncome]]&lt;3000,"Below 3K",IF(EmployeeData[[#This Row],[MonthlyIncome]]&lt;6000,"3K-6K",IF(EmployeeData[[#This Row],[MonthlyIncome]]&lt;9000,"6K-9K",IF(EmployeeData[[#This Row],[MonthlyIncome]]&lt;12000,"9K-12K","12K+"))))</f>
        <v>3K-6K</v>
      </c>
    </row>
    <row r="19" spans="1:37" x14ac:dyDescent="0.3">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c r="AJ19" s="4" t="str">
        <f>IF(EmployeeData[[#This Row],[Age]]&lt;25,"Under 25",IF(EmployeeData[[#This Row],[Age]]&lt;35,"25-34",IF(EmployeeData[[#This Row],[Age]]&lt;45,"35-44",IF(EmployeeData[[#This Row],[Age]]&lt;55,"45-54","55+"))))</f>
        <v>Under 25</v>
      </c>
      <c r="AK19" s="4" t="str">
        <f>IF(EmployeeData[[#This Row],[MonthlyIncome]]&lt;3000,"Below 3K",IF(EmployeeData[[#This Row],[MonthlyIncome]]&lt;6000,"3K-6K",IF(EmployeeData[[#This Row],[MonthlyIncome]]&lt;9000,"6K-9K",IF(EmployeeData[[#This Row],[MonthlyIncome]]&lt;12000,"9K-12K","12K+"))))</f>
        <v>Below 3K</v>
      </c>
    </row>
    <row r="20" spans="1:37" x14ac:dyDescent="0.3">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c r="AJ20" s="4" t="str">
        <f>IF(EmployeeData[[#This Row],[Age]]&lt;25,"Under 25",IF(EmployeeData[[#This Row],[Age]]&lt;35,"25-34",IF(EmployeeData[[#This Row],[Age]]&lt;45,"35-44",IF(EmployeeData[[#This Row],[Age]]&lt;55,"45-54","55+"))))</f>
        <v>45-54</v>
      </c>
      <c r="AK20" s="4" t="str">
        <f>IF(EmployeeData[[#This Row],[MonthlyIncome]]&lt;3000,"Below 3K",IF(EmployeeData[[#This Row],[MonthlyIncome]]&lt;6000,"3K-6K",IF(EmployeeData[[#This Row],[MonthlyIncome]]&lt;9000,"6K-9K",IF(EmployeeData[[#This Row],[MonthlyIncome]]&lt;12000,"9K-12K","12K+"))))</f>
        <v>12K+</v>
      </c>
    </row>
    <row r="21" spans="1:37" x14ac:dyDescent="0.3">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c r="AJ21" s="4" t="str">
        <f>IF(EmployeeData[[#This Row],[Age]]&lt;25,"Under 25",IF(EmployeeData[[#This Row],[Age]]&lt;35,"25-34",IF(EmployeeData[[#This Row],[Age]]&lt;45,"35-44",IF(EmployeeData[[#This Row],[Age]]&lt;55,"45-54","55+"))))</f>
        <v>35-44</v>
      </c>
      <c r="AK21" s="4" t="str">
        <f>IF(EmployeeData[[#This Row],[MonthlyIncome]]&lt;3000,"Below 3K",IF(EmployeeData[[#This Row],[MonthlyIncome]]&lt;6000,"3K-6K",IF(EmployeeData[[#This Row],[MonthlyIncome]]&lt;9000,"6K-9K",IF(EmployeeData[[#This Row],[MonthlyIncome]]&lt;12000,"9K-12K","12K+"))))</f>
        <v>3K-6K</v>
      </c>
    </row>
    <row r="22" spans="1:37" x14ac:dyDescent="0.3">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c r="AJ22" s="4" t="str">
        <f>IF(EmployeeData[[#This Row],[Age]]&lt;25,"Under 25",IF(EmployeeData[[#This Row],[Age]]&lt;35,"25-34",IF(EmployeeData[[#This Row],[Age]]&lt;45,"35-44",IF(EmployeeData[[#This Row],[Age]]&lt;55,"45-54","55+"))))</f>
        <v>Under 25</v>
      </c>
      <c r="AK22" s="4" t="str">
        <f>IF(EmployeeData[[#This Row],[MonthlyIncome]]&lt;3000,"Below 3K",IF(EmployeeData[[#This Row],[MonthlyIncome]]&lt;6000,"3K-6K",IF(EmployeeData[[#This Row],[MonthlyIncome]]&lt;9000,"6K-9K",IF(EmployeeData[[#This Row],[MonthlyIncome]]&lt;12000,"9K-12K","12K+"))))</f>
        <v>3K-6K</v>
      </c>
    </row>
    <row r="23" spans="1:37" x14ac:dyDescent="0.3">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c r="AJ23" s="4" t="str">
        <f>IF(EmployeeData[[#This Row],[Age]]&lt;25,"Under 25",IF(EmployeeData[[#This Row],[Age]]&lt;35,"25-34",IF(EmployeeData[[#This Row],[Age]]&lt;45,"35-44",IF(EmployeeData[[#This Row],[Age]]&lt;55,"45-54","55+"))))</f>
        <v>35-44</v>
      </c>
      <c r="AK23" s="4" t="str">
        <f>IF(EmployeeData[[#This Row],[MonthlyIncome]]&lt;3000,"Below 3K",IF(EmployeeData[[#This Row],[MonthlyIncome]]&lt;6000,"3K-6K",IF(EmployeeData[[#This Row],[MonthlyIncome]]&lt;9000,"6K-9K",IF(EmployeeData[[#This Row],[MonthlyIncome]]&lt;12000,"9K-12K","12K+"))))</f>
        <v>3K-6K</v>
      </c>
    </row>
    <row r="24" spans="1:37" x14ac:dyDescent="0.3">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c r="AJ24" s="4" t="str">
        <f>IF(EmployeeData[[#This Row],[Age]]&lt;25,"Under 25",IF(EmployeeData[[#This Row],[Age]]&lt;35,"25-34",IF(EmployeeData[[#This Row],[Age]]&lt;45,"35-44",IF(EmployeeData[[#This Row],[Age]]&lt;55,"45-54","55+"))))</f>
        <v>25-34</v>
      </c>
      <c r="AK24" s="4" t="str">
        <f>IF(EmployeeData[[#This Row],[MonthlyIncome]]&lt;3000,"Below 3K",IF(EmployeeData[[#This Row],[MonthlyIncome]]&lt;6000,"3K-6K",IF(EmployeeData[[#This Row],[MonthlyIncome]]&lt;9000,"6K-9K",IF(EmployeeData[[#This Row],[MonthlyIncome]]&lt;12000,"9K-12K","12K+"))))</f>
        <v>9K-12K</v>
      </c>
    </row>
    <row r="25" spans="1:37" x14ac:dyDescent="0.3">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c r="AJ25" s="4" t="str">
        <f>IF(EmployeeData[[#This Row],[Age]]&lt;25,"Under 25",IF(EmployeeData[[#This Row],[Age]]&lt;35,"25-34",IF(EmployeeData[[#This Row],[Age]]&lt;45,"35-44",IF(EmployeeData[[#This Row],[Age]]&lt;55,"45-54","55+"))))</f>
        <v>Under 25</v>
      </c>
      <c r="AK25" s="4" t="str">
        <f>IF(EmployeeData[[#This Row],[MonthlyIncome]]&lt;3000,"Below 3K",IF(EmployeeData[[#This Row],[MonthlyIncome]]&lt;6000,"3K-6K",IF(EmployeeData[[#This Row],[MonthlyIncome]]&lt;9000,"6K-9K",IF(EmployeeData[[#This Row],[MonthlyIncome]]&lt;12000,"9K-12K","12K+"))))</f>
        <v>Below 3K</v>
      </c>
    </row>
    <row r="26" spans="1:37" x14ac:dyDescent="0.3">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c r="AJ26" s="4" t="str">
        <f>IF(EmployeeData[[#This Row],[Age]]&lt;25,"Under 25",IF(EmployeeData[[#This Row],[Age]]&lt;35,"25-34",IF(EmployeeData[[#This Row],[Age]]&lt;45,"35-44",IF(EmployeeData[[#This Row],[Age]]&lt;55,"45-54","55+"))))</f>
        <v>25-34</v>
      </c>
      <c r="AK26" s="4" t="str">
        <f>IF(EmployeeData[[#This Row],[MonthlyIncome]]&lt;3000,"Below 3K",IF(EmployeeData[[#This Row],[MonthlyIncome]]&lt;6000,"3K-6K",IF(EmployeeData[[#This Row],[MonthlyIncome]]&lt;9000,"6K-9K",IF(EmployeeData[[#This Row],[MonthlyIncome]]&lt;12000,"9K-12K","12K+"))))</f>
        <v>Below 3K</v>
      </c>
    </row>
    <row r="27" spans="1:37" x14ac:dyDescent="0.3">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c r="AJ27" s="4" t="str">
        <f>IF(EmployeeData[[#This Row],[Age]]&lt;25,"Under 25",IF(EmployeeData[[#This Row],[Age]]&lt;35,"25-34",IF(EmployeeData[[#This Row],[Age]]&lt;45,"35-44",IF(EmployeeData[[#This Row],[Age]]&lt;55,"45-54","55+"))))</f>
        <v>45-54</v>
      </c>
      <c r="AK27" s="4" t="str">
        <f>IF(EmployeeData[[#This Row],[MonthlyIncome]]&lt;3000,"Below 3K",IF(EmployeeData[[#This Row],[MonthlyIncome]]&lt;6000,"3K-6K",IF(EmployeeData[[#This Row],[MonthlyIncome]]&lt;9000,"6K-9K",IF(EmployeeData[[#This Row],[MonthlyIncome]]&lt;12000,"9K-12K","12K+"))))</f>
        <v>12K+</v>
      </c>
    </row>
    <row r="28" spans="1:37" x14ac:dyDescent="0.3">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c r="AJ28" s="4" t="str">
        <f>IF(EmployeeData[[#This Row],[Age]]&lt;25,"Under 25",IF(EmployeeData[[#This Row],[Age]]&lt;35,"25-34",IF(EmployeeData[[#This Row],[Age]]&lt;45,"35-44",IF(EmployeeData[[#This Row],[Age]]&lt;55,"45-54","55+"))))</f>
        <v>25-34</v>
      </c>
      <c r="AK28" s="4" t="str">
        <f>IF(EmployeeData[[#This Row],[MonthlyIncome]]&lt;3000,"Below 3K",IF(EmployeeData[[#This Row],[MonthlyIncome]]&lt;6000,"3K-6K",IF(EmployeeData[[#This Row],[MonthlyIncome]]&lt;9000,"6K-9K",IF(EmployeeData[[#This Row],[MonthlyIncome]]&lt;12000,"9K-12K","12K+"))))</f>
        <v>3K-6K</v>
      </c>
    </row>
    <row r="29" spans="1:37" x14ac:dyDescent="0.3">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c r="AJ29" s="4" t="str">
        <f>IF(EmployeeData[[#This Row],[Age]]&lt;25,"Under 25",IF(EmployeeData[[#This Row],[Age]]&lt;35,"25-34",IF(EmployeeData[[#This Row],[Age]]&lt;45,"35-44",IF(EmployeeData[[#This Row],[Age]]&lt;55,"45-54","55+"))))</f>
        <v>35-44</v>
      </c>
      <c r="AK29" s="4" t="str">
        <f>IF(EmployeeData[[#This Row],[MonthlyIncome]]&lt;3000,"Below 3K",IF(EmployeeData[[#This Row],[MonthlyIncome]]&lt;6000,"3K-6K",IF(EmployeeData[[#This Row],[MonthlyIncome]]&lt;9000,"6K-9K",IF(EmployeeData[[#This Row],[MonthlyIncome]]&lt;12000,"9K-12K","12K+"))))</f>
        <v>6K-9K</v>
      </c>
    </row>
    <row r="30" spans="1:37" x14ac:dyDescent="0.3">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c r="AJ30" s="4" t="str">
        <f>IF(EmployeeData[[#This Row],[Age]]&lt;25,"Under 25",IF(EmployeeData[[#This Row],[Age]]&lt;35,"25-34",IF(EmployeeData[[#This Row],[Age]]&lt;45,"35-44",IF(EmployeeData[[#This Row],[Age]]&lt;55,"45-54","55+"))))</f>
        <v>35-44</v>
      </c>
      <c r="AK30" s="4" t="str">
        <f>IF(EmployeeData[[#This Row],[MonthlyIncome]]&lt;3000,"Below 3K",IF(EmployeeData[[#This Row],[MonthlyIncome]]&lt;6000,"3K-6K",IF(EmployeeData[[#This Row],[MonthlyIncome]]&lt;9000,"6K-9K",IF(EmployeeData[[#This Row],[MonthlyIncome]]&lt;12000,"9K-12K","12K+"))))</f>
        <v>9K-12K</v>
      </c>
    </row>
    <row r="31" spans="1:37" x14ac:dyDescent="0.3">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c r="AJ31" s="4" t="str">
        <f>IF(EmployeeData[[#This Row],[Age]]&lt;25,"Under 25",IF(EmployeeData[[#This Row],[Age]]&lt;35,"25-34",IF(EmployeeData[[#This Row],[Age]]&lt;45,"35-44",IF(EmployeeData[[#This Row],[Age]]&lt;55,"45-54","55+"))))</f>
        <v>45-54</v>
      </c>
      <c r="AK31" s="4" t="str">
        <f>IF(EmployeeData[[#This Row],[MonthlyIncome]]&lt;3000,"Below 3K",IF(EmployeeData[[#This Row],[MonthlyIncome]]&lt;6000,"3K-6K",IF(EmployeeData[[#This Row],[MonthlyIncome]]&lt;9000,"6K-9K",IF(EmployeeData[[#This Row],[MonthlyIncome]]&lt;12000,"9K-12K","12K+"))))</f>
        <v>12K+</v>
      </c>
    </row>
    <row r="32" spans="1:37" x14ac:dyDescent="0.3">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c r="AJ32" s="4" t="str">
        <f>IF(EmployeeData[[#This Row],[Age]]&lt;25,"Under 25",IF(EmployeeData[[#This Row],[Age]]&lt;35,"25-34",IF(EmployeeData[[#This Row],[Age]]&lt;45,"35-44",IF(EmployeeData[[#This Row],[Age]]&lt;55,"45-54","55+"))))</f>
        <v>25-34</v>
      </c>
      <c r="AK32" s="4" t="str">
        <f>IF(EmployeeData[[#This Row],[MonthlyIncome]]&lt;3000,"Below 3K",IF(EmployeeData[[#This Row],[MonthlyIncome]]&lt;6000,"3K-6K",IF(EmployeeData[[#This Row],[MonthlyIncome]]&lt;9000,"6K-9K",IF(EmployeeData[[#This Row],[MonthlyIncome]]&lt;12000,"9K-12K","12K+"))))</f>
        <v>Below 3K</v>
      </c>
    </row>
    <row r="33" spans="1:37" x14ac:dyDescent="0.3">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c r="AJ33" s="4" t="str">
        <f>IF(EmployeeData[[#This Row],[Age]]&lt;25,"Under 25",IF(EmployeeData[[#This Row],[Age]]&lt;35,"25-34",IF(EmployeeData[[#This Row],[Age]]&lt;45,"35-44",IF(EmployeeData[[#This Row],[Age]]&lt;55,"45-54","55+"))))</f>
        <v>35-44</v>
      </c>
      <c r="AK33" s="4" t="str">
        <f>IF(EmployeeData[[#This Row],[MonthlyIncome]]&lt;3000,"Below 3K",IF(EmployeeData[[#This Row],[MonthlyIncome]]&lt;6000,"3K-6K",IF(EmployeeData[[#This Row],[MonthlyIncome]]&lt;9000,"6K-9K",IF(EmployeeData[[#This Row],[MonthlyIncome]]&lt;12000,"9K-12K","12K+"))))</f>
        <v>6K-9K</v>
      </c>
    </row>
    <row r="34" spans="1:37" x14ac:dyDescent="0.3">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c r="AJ34" s="4" t="str">
        <f>IF(EmployeeData[[#This Row],[Age]]&lt;25,"Under 25",IF(EmployeeData[[#This Row],[Age]]&lt;35,"25-34",IF(EmployeeData[[#This Row],[Age]]&lt;45,"35-44",IF(EmployeeData[[#This Row],[Age]]&lt;55,"45-54","55+"))))</f>
        <v>25-34</v>
      </c>
      <c r="AK34" s="4" t="str">
        <f>IF(EmployeeData[[#This Row],[MonthlyIncome]]&lt;3000,"Below 3K",IF(EmployeeData[[#This Row],[MonthlyIncome]]&lt;6000,"3K-6K",IF(EmployeeData[[#This Row],[MonthlyIncome]]&lt;9000,"6K-9K",IF(EmployeeData[[#This Row],[MonthlyIncome]]&lt;12000,"9K-12K","12K+"))))</f>
        <v>Below 3K</v>
      </c>
    </row>
    <row r="35" spans="1:37" x14ac:dyDescent="0.3">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c r="AJ35" s="4" t="str">
        <f>IF(EmployeeData[[#This Row],[Age]]&lt;25,"Under 25",IF(EmployeeData[[#This Row],[Age]]&lt;35,"25-34",IF(EmployeeData[[#This Row],[Age]]&lt;45,"35-44",IF(EmployeeData[[#This Row],[Age]]&lt;55,"45-54","55+"))))</f>
        <v>35-44</v>
      </c>
      <c r="AK35" s="4" t="str">
        <f>IF(EmployeeData[[#This Row],[MonthlyIncome]]&lt;3000,"Below 3K",IF(EmployeeData[[#This Row],[MonthlyIncome]]&lt;6000,"3K-6K",IF(EmployeeData[[#This Row],[MonthlyIncome]]&lt;9000,"6K-9K",IF(EmployeeData[[#This Row],[MonthlyIncome]]&lt;12000,"9K-12K","12K+"))))</f>
        <v>Below 3K</v>
      </c>
    </row>
    <row r="36" spans="1:37" x14ac:dyDescent="0.3">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c r="AJ36" s="4" t="str">
        <f>IF(EmployeeData[[#This Row],[Age]]&lt;25,"Under 25",IF(EmployeeData[[#This Row],[Age]]&lt;35,"25-34",IF(EmployeeData[[#This Row],[Age]]&lt;45,"35-44",IF(EmployeeData[[#This Row],[Age]]&lt;55,"45-54","55+"))))</f>
        <v>Under 25</v>
      </c>
      <c r="AK36" s="4" t="str">
        <f>IF(EmployeeData[[#This Row],[MonthlyIncome]]&lt;3000,"Below 3K",IF(EmployeeData[[#This Row],[MonthlyIncome]]&lt;6000,"3K-6K",IF(EmployeeData[[#This Row],[MonthlyIncome]]&lt;9000,"6K-9K",IF(EmployeeData[[#This Row],[MonthlyIncome]]&lt;12000,"9K-12K","12K+"))))</f>
        <v>Below 3K</v>
      </c>
    </row>
    <row r="37" spans="1:37" x14ac:dyDescent="0.3">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c r="AJ37" s="4" t="str">
        <f>IF(EmployeeData[[#This Row],[Age]]&lt;25,"Under 25",IF(EmployeeData[[#This Row],[Age]]&lt;35,"25-34",IF(EmployeeData[[#This Row],[Age]]&lt;45,"35-44",IF(EmployeeData[[#This Row],[Age]]&lt;55,"45-54","55+"))))</f>
        <v>35-44</v>
      </c>
      <c r="AK37" s="4" t="str">
        <f>IF(EmployeeData[[#This Row],[MonthlyIncome]]&lt;3000,"Below 3K",IF(EmployeeData[[#This Row],[MonthlyIncome]]&lt;6000,"3K-6K",IF(EmployeeData[[#This Row],[MonthlyIncome]]&lt;9000,"6K-9K",IF(EmployeeData[[#This Row],[MonthlyIncome]]&lt;12000,"9K-12K","12K+"))))</f>
        <v>Below 3K</v>
      </c>
    </row>
    <row r="38" spans="1:37" x14ac:dyDescent="0.3">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c r="AJ38" s="4" t="str">
        <f>IF(EmployeeData[[#This Row],[Age]]&lt;25,"Under 25",IF(EmployeeData[[#This Row],[Age]]&lt;35,"25-34",IF(EmployeeData[[#This Row],[Age]]&lt;45,"35-44",IF(EmployeeData[[#This Row],[Age]]&lt;55,"45-54","55+"))))</f>
        <v>45-54</v>
      </c>
      <c r="AK38" s="4" t="str">
        <f>IF(EmployeeData[[#This Row],[MonthlyIncome]]&lt;3000,"Below 3K",IF(EmployeeData[[#This Row],[MonthlyIncome]]&lt;6000,"3K-6K",IF(EmployeeData[[#This Row],[MonthlyIncome]]&lt;9000,"6K-9K",IF(EmployeeData[[#This Row],[MonthlyIncome]]&lt;12000,"9K-12K","12K+"))))</f>
        <v>Below 3K</v>
      </c>
    </row>
    <row r="39" spans="1:37" x14ac:dyDescent="0.3">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c r="AJ39" s="4" t="str">
        <f>IF(EmployeeData[[#This Row],[Age]]&lt;25,"Under 25",IF(EmployeeData[[#This Row],[Age]]&lt;35,"25-34",IF(EmployeeData[[#This Row],[Age]]&lt;45,"35-44",IF(EmployeeData[[#This Row],[Age]]&lt;55,"45-54","55+"))))</f>
        <v>35-44</v>
      </c>
      <c r="AK39" s="4" t="str">
        <f>IF(EmployeeData[[#This Row],[MonthlyIncome]]&lt;3000,"Below 3K",IF(EmployeeData[[#This Row],[MonthlyIncome]]&lt;6000,"3K-6K",IF(EmployeeData[[#This Row],[MonthlyIncome]]&lt;9000,"6K-9K",IF(EmployeeData[[#This Row],[MonthlyIncome]]&lt;12000,"9K-12K","12K+"))))</f>
        <v>Below 3K</v>
      </c>
    </row>
    <row r="40" spans="1:37" x14ac:dyDescent="0.3">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c r="AJ40" s="4" t="str">
        <f>IF(EmployeeData[[#This Row],[Age]]&lt;25,"Under 25",IF(EmployeeData[[#This Row],[Age]]&lt;35,"25-34",IF(EmployeeData[[#This Row],[Age]]&lt;45,"35-44",IF(EmployeeData[[#This Row],[Age]]&lt;55,"45-54","55+"))))</f>
        <v>35-44</v>
      </c>
      <c r="AK40" s="4" t="str">
        <f>IF(EmployeeData[[#This Row],[MonthlyIncome]]&lt;3000,"Below 3K",IF(EmployeeData[[#This Row],[MonthlyIncome]]&lt;6000,"3K-6K",IF(EmployeeData[[#This Row],[MonthlyIncome]]&lt;9000,"6K-9K",IF(EmployeeData[[#This Row],[MonthlyIncome]]&lt;12000,"9K-12K","12K+"))))</f>
        <v>3K-6K</v>
      </c>
    </row>
    <row r="41" spans="1:37" x14ac:dyDescent="0.3">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c r="AJ41" s="4" t="str">
        <f>IF(EmployeeData[[#This Row],[Age]]&lt;25,"Under 25",IF(EmployeeData[[#This Row],[Age]]&lt;35,"25-34",IF(EmployeeData[[#This Row],[Age]]&lt;45,"35-44",IF(EmployeeData[[#This Row],[Age]]&lt;55,"45-54","55+"))))</f>
        <v>25-34</v>
      </c>
      <c r="AK41" s="4" t="str">
        <f>IF(EmployeeData[[#This Row],[MonthlyIncome]]&lt;3000,"Below 3K",IF(EmployeeData[[#This Row],[MonthlyIncome]]&lt;6000,"3K-6K",IF(EmployeeData[[#This Row],[MonthlyIncome]]&lt;9000,"6K-9K",IF(EmployeeData[[#This Row],[MonthlyIncome]]&lt;12000,"9K-12K","12K+"))))</f>
        <v>3K-6K</v>
      </c>
    </row>
    <row r="42" spans="1:37" x14ac:dyDescent="0.3">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c r="AJ42" s="4" t="str">
        <f>IF(EmployeeData[[#This Row],[Age]]&lt;25,"Under 25",IF(EmployeeData[[#This Row],[Age]]&lt;35,"25-34",IF(EmployeeData[[#This Row],[Age]]&lt;45,"35-44",IF(EmployeeData[[#This Row],[Age]]&lt;55,"45-54","55+"))))</f>
        <v>35-44</v>
      </c>
      <c r="AK42" s="4" t="str">
        <f>IF(EmployeeData[[#This Row],[MonthlyIncome]]&lt;3000,"Below 3K",IF(EmployeeData[[#This Row],[MonthlyIncome]]&lt;6000,"3K-6K",IF(EmployeeData[[#This Row],[MonthlyIncome]]&lt;9000,"6K-9K",IF(EmployeeData[[#This Row],[MonthlyIncome]]&lt;12000,"9K-12K","12K+"))))</f>
        <v>Below 3K</v>
      </c>
    </row>
    <row r="43" spans="1:37" x14ac:dyDescent="0.3">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c r="AJ43" s="4" t="str">
        <f>IF(EmployeeData[[#This Row],[Age]]&lt;25,"Under 25",IF(EmployeeData[[#This Row],[Age]]&lt;35,"25-34",IF(EmployeeData[[#This Row],[Age]]&lt;45,"35-44",IF(EmployeeData[[#This Row],[Age]]&lt;55,"45-54","55+"))))</f>
        <v>25-34</v>
      </c>
      <c r="AK43" s="4" t="str">
        <f>IF(EmployeeData[[#This Row],[MonthlyIncome]]&lt;3000,"Below 3K",IF(EmployeeData[[#This Row],[MonthlyIncome]]&lt;6000,"3K-6K",IF(EmployeeData[[#This Row],[MonthlyIncome]]&lt;9000,"6K-9K",IF(EmployeeData[[#This Row],[MonthlyIncome]]&lt;12000,"9K-12K","12K+"))))</f>
        <v>Below 3K</v>
      </c>
    </row>
    <row r="44" spans="1:37" x14ac:dyDescent="0.3">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c r="AJ44" s="4" t="str">
        <f>IF(EmployeeData[[#This Row],[Age]]&lt;25,"Under 25",IF(EmployeeData[[#This Row],[Age]]&lt;35,"25-34",IF(EmployeeData[[#This Row],[Age]]&lt;45,"35-44",IF(EmployeeData[[#This Row],[Age]]&lt;55,"45-54","55+"))))</f>
        <v>25-34</v>
      </c>
      <c r="AK44" s="4" t="str">
        <f>IF(EmployeeData[[#This Row],[MonthlyIncome]]&lt;3000,"Below 3K",IF(EmployeeData[[#This Row],[MonthlyIncome]]&lt;6000,"3K-6K",IF(EmployeeData[[#This Row],[MonthlyIncome]]&lt;9000,"6K-9K",IF(EmployeeData[[#This Row],[MonthlyIncome]]&lt;12000,"9K-12K","12K+"))))</f>
        <v>Below 3K</v>
      </c>
    </row>
    <row r="45" spans="1:37" x14ac:dyDescent="0.3">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c r="AJ45" s="4" t="str">
        <f>IF(EmployeeData[[#This Row],[Age]]&lt;25,"Under 25",IF(EmployeeData[[#This Row],[Age]]&lt;35,"25-34",IF(EmployeeData[[#This Row],[Age]]&lt;45,"35-44",IF(EmployeeData[[#This Row],[Age]]&lt;55,"45-54","55+"))))</f>
        <v>25-34</v>
      </c>
      <c r="AK45" s="4" t="str">
        <f>IF(EmployeeData[[#This Row],[MonthlyIncome]]&lt;3000,"Below 3K",IF(EmployeeData[[#This Row],[MonthlyIncome]]&lt;6000,"3K-6K",IF(EmployeeData[[#This Row],[MonthlyIncome]]&lt;9000,"6K-9K",IF(EmployeeData[[#This Row],[MonthlyIncome]]&lt;12000,"9K-12K","12K+"))))</f>
        <v>6K-9K</v>
      </c>
    </row>
    <row r="46" spans="1:37" x14ac:dyDescent="0.3">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c r="AJ46" s="4" t="str">
        <f>IF(EmployeeData[[#This Row],[Age]]&lt;25,"Under 25",IF(EmployeeData[[#This Row],[Age]]&lt;35,"25-34",IF(EmployeeData[[#This Row],[Age]]&lt;45,"35-44",IF(EmployeeData[[#This Row],[Age]]&lt;55,"45-54","55+"))))</f>
        <v>25-34</v>
      </c>
      <c r="AK46" s="4" t="str">
        <f>IF(EmployeeData[[#This Row],[MonthlyIncome]]&lt;3000,"Below 3K",IF(EmployeeData[[#This Row],[MonthlyIncome]]&lt;6000,"3K-6K",IF(EmployeeData[[#This Row],[MonthlyIncome]]&lt;9000,"6K-9K",IF(EmployeeData[[#This Row],[MonthlyIncome]]&lt;12000,"9K-12K","12K+"))))</f>
        <v>3K-6K</v>
      </c>
    </row>
    <row r="47" spans="1:37" x14ac:dyDescent="0.3">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c r="AJ47" s="4" t="str">
        <f>IF(EmployeeData[[#This Row],[Age]]&lt;25,"Under 25",IF(EmployeeData[[#This Row],[Age]]&lt;35,"25-34",IF(EmployeeData[[#This Row],[Age]]&lt;45,"35-44",IF(EmployeeData[[#This Row],[Age]]&lt;55,"45-54","55+"))))</f>
        <v>35-44</v>
      </c>
      <c r="AK47" s="4" t="str">
        <f>IF(EmployeeData[[#This Row],[MonthlyIncome]]&lt;3000,"Below 3K",IF(EmployeeData[[#This Row],[MonthlyIncome]]&lt;6000,"3K-6K",IF(EmployeeData[[#This Row],[MonthlyIncome]]&lt;9000,"6K-9K",IF(EmployeeData[[#This Row],[MonthlyIncome]]&lt;12000,"9K-12K","12K+"))))</f>
        <v>12K+</v>
      </c>
    </row>
    <row r="48" spans="1:37" x14ac:dyDescent="0.3">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c r="AJ48" s="4" t="str">
        <f>IF(EmployeeData[[#This Row],[Age]]&lt;25,"Under 25",IF(EmployeeData[[#This Row],[Age]]&lt;35,"25-34",IF(EmployeeData[[#This Row],[Age]]&lt;45,"35-44",IF(EmployeeData[[#This Row],[Age]]&lt;55,"45-54","55+"))))</f>
        <v>25-34</v>
      </c>
      <c r="AK48" s="4" t="str">
        <f>IF(EmployeeData[[#This Row],[MonthlyIncome]]&lt;3000,"Below 3K",IF(EmployeeData[[#This Row],[MonthlyIncome]]&lt;6000,"3K-6K",IF(EmployeeData[[#This Row],[MonthlyIncome]]&lt;9000,"6K-9K",IF(EmployeeData[[#This Row],[MonthlyIncome]]&lt;12000,"9K-12K","12K+"))))</f>
        <v>3K-6K</v>
      </c>
    </row>
    <row r="49" spans="1:37" x14ac:dyDescent="0.3">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c r="AJ49" s="4" t="str">
        <f>IF(EmployeeData[[#This Row],[Age]]&lt;25,"Under 25",IF(EmployeeData[[#This Row],[Age]]&lt;35,"25-34",IF(EmployeeData[[#This Row],[Age]]&lt;45,"35-44",IF(EmployeeData[[#This Row],[Age]]&lt;55,"45-54","55+"))))</f>
        <v>35-44</v>
      </c>
      <c r="AK49" s="4" t="str">
        <f>IF(EmployeeData[[#This Row],[MonthlyIncome]]&lt;3000,"Below 3K",IF(EmployeeData[[#This Row],[MonthlyIncome]]&lt;6000,"3K-6K",IF(EmployeeData[[#This Row],[MonthlyIncome]]&lt;9000,"6K-9K",IF(EmployeeData[[#This Row],[MonthlyIncome]]&lt;12000,"9K-12K","12K+"))))</f>
        <v>3K-6K</v>
      </c>
    </row>
    <row r="50" spans="1:37" x14ac:dyDescent="0.3">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c r="AJ50" s="4" t="str">
        <f>IF(EmployeeData[[#This Row],[Age]]&lt;25,"Under 25",IF(EmployeeData[[#This Row],[Age]]&lt;35,"25-34",IF(EmployeeData[[#This Row],[Age]]&lt;45,"35-44",IF(EmployeeData[[#This Row],[Age]]&lt;55,"45-54","55+"))))</f>
        <v>45-54</v>
      </c>
      <c r="AK50" s="4" t="str">
        <f>IF(EmployeeData[[#This Row],[MonthlyIncome]]&lt;3000,"Below 3K",IF(EmployeeData[[#This Row],[MonthlyIncome]]&lt;6000,"3K-6K",IF(EmployeeData[[#This Row],[MonthlyIncome]]&lt;9000,"6K-9K",IF(EmployeeData[[#This Row],[MonthlyIncome]]&lt;12000,"9K-12K","12K+"))))</f>
        <v>3K-6K</v>
      </c>
    </row>
    <row r="51" spans="1:37" x14ac:dyDescent="0.3">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c r="AJ51" s="4" t="str">
        <f>IF(EmployeeData[[#This Row],[Age]]&lt;25,"Under 25",IF(EmployeeData[[#This Row],[Age]]&lt;35,"25-34",IF(EmployeeData[[#This Row],[Age]]&lt;45,"35-44",IF(EmployeeData[[#This Row],[Age]]&lt;55,"45-54","55+"))))</f>
        <v>35-44</v>
      </c>
      <c r="AK51" s="4" t="str">
        <f>IF(EmployeeData[[#This Row],[MonthlyIncome]]&lt;3000,"Below 3K",IF(EmployeeData[[#This Row],[MonthlyIncome]]&lt;6000,"3K-6K",IF(EmployeeData[[#This Row],[MonthlyIncome]]&lt;9000,"6K-9K",IF(EmployeeData[[#This Row],[MonthlyIncome]]&lt;12000,"9K-12K","12K+"))))</f>
        <v>Below 3K</v>
      </c>
    </row>
    <row r="52" spans="1:37" x14ac:dyDescent="0.3">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c r="AJ52" s="4" t="str">
        <f>IF(EmployeeData[[#This Row],[Age]]&lt;25,"Under 25",IF(EmployeeData[[#This Row],[Age]]&lt;35,"25-34",IF(EmployeeData[[#This Row],[Age]]&lt;45,"35-44",IF(EmployeeData[[#This Row],[Age]]&lt;55,"45-54","55+"))))</f>
        <v>45-54</v>
      </c>
      <c r="AK52" s="4" t="str">
        <f>IF(EmployeeData[[#This Row],[MonthlyIncome]]&lt;3000,"Below 3K",IF(EmployeeData[[#This Row],[MonthlyIncome]]&lt;6000,"3K-6K",IF(EmployeeData[[#This Row],[MonthlyIncome]]&lt;9000,"6K-9K",IF(EmployeeData[[#This Row],[MonthlyIncome]]&lt;12000,"9K-12K","12K+"))))</f>
        <v>3K-6K</v>
      </c>
    </row>
    <row r="53" spans="1:37" x14ac:dyDescent="0.3">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c r="AJ53" s="4" t="str">
        <f>IF(EmployeeData[[#This Row],[Age]]&lt;25,"Under 25",IF(EmployeeData[[#This Row],[Age]]&lt;35,"25-34",IF(EmployeeData[[#This Row],[Age]]&lt;45,"35-44",IF(EmployeeData[[#This Row],[Age]]&lt;55,"45-54","55+"))))</f>
        <v>25-34</v>
      </c>
      <c r="AK53" s="4" t="str">
        <f>IF(EmployeeData[[#This Row],[MonthlyIncome]]&lt;3000,"Below 3K",IF(EmployeeData[[#This Row],[MonthlyIncome]]&lt;6000,"3K-6K",IF(EmployeeData[[#This Row],[MonthlyIncome]]&lt;9000,"6K-9K",IF(EmployeeData[[#This Row],[MonthlyIncome]]&lt;12000,"9K-12K","12K+"))))</f>
        <v>3K-6K</v>
      </c>
    </row>
    <row r="54" spans="1:37" x14ac:dyDescent="0.3">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c r="AJ54" s="4" t="str">
        <f>IF(EmployeeData[[#This Row],[Age]]&lt;25,"Under 25",IF(EmployeeData[[#This Row],[Age]]&lt;35,"25-34",IF(EmployeeData[[#This Row],[Age]]&lt;45,"35-44",IF(EmployeeData[[#This Row],[Age]]&lt;55,"45-54","55+"))))</f>
        <v>35-44</v>
      </c>
      <c r="AK54" s="4" t="str">
        <f>IF(EmployeeData[[#This Row],[MonthlyIncome]]&lt;3000,"Below 3K",IF(EmployeeData[[#This Row],[MonthlyIncome]]&lt;6000,"3K-6K",IF(EmployeeData[[#This Row],[MonthlyIncome]]&lt;9000,"6K-9K",IF(EmployeeData[[#This Row],[MonthlyIncome]]&lt;12000,"9K-12K","12K+"))))</f>
        <v>3K-6K</v>
      </c>
    </row>
    <row r="55" spans="1:37" x14ac:dyDescent="0.3">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c r="AJ55" s="4" t="str">
        <f>IF(EmployeeData[[#This Row],[Age]]&lt;25,"Under 25",IF(EmployeeData[[#This Row],[Age]]&lt;35,"25-34",IF(EmployeeData[[#This Row],[Age]]&lt;45,"35-44",IF(EmployeeData[[#This Row],[Age]]&lt;55,"45-54","55+"))))</f>
        <v>35-44</v>
      </c>
      <c r="AK55" s="4" t="str">
        <f>IF(EmployeeData[[#This Row],[MonthlyIncome]]&lt;3000,"Below 3K",IF(EmployeeData[[#This Row],[MonthlyIncome]]&lt;6000,"3K-6K",IF(EmployeeData[[#This Row],[MonthlyIncome]]&lt;9000,"6K-9K",IF(EmployeeData[[#This Row],[MonthlyIncome]]&lt;12000,"9K-12K","12K+"))))</f>
        <v>9K-12K</v>
      </c>
    </row>
    <row r="56" spans="1:37" x14ac:dyDescent="0.3">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c r="AJ56" s="4" t="str">
        <f>IF(EmployeeData[[#This Row],[Age]]&lt;25,"Under 25",IF(EmployeeData[[#This Row],[Age]]&lt;35,"25-34",IF(EmployeeData[[#This Row],[Age]]&lt;45,"35-44",IF(EmployeeData[[#This Row],[Age]]&lt;55,"45-54","55+"))))</f>
        <v>25-34</v>
      </c>
      <c r="AK56" s="4" t="str">
        <f>IF(EmployeeData[[#This Row],[MonthlyIncome]]&lt;3000,"Below 3K",IF(EmployeeData[[#This Row],[MonthlyIncome]]&lt;6000,"3K-6K",IF(EmployeeData[[#This Row],[MonthlyIncome]]&lt;9000,"6K-9K",IF(EmployeeData[[#This Row],[MonthlyIncome]]&lt;12000,"9K-12K","12K+"))))</f>
        <v>3K-6K</v>
      </c>
    </row>
    <row r="57" spans="1:37" x14ac:dyDescent="0.3">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c r="AJ57" s="4" t="str">
        <f>IF(EmployeeData[[#This Row],[Age]]&lt;25,"Under 25",IF(EmployeeData[[#This Row],[Age]]&lt;35,"25-34",IF(EmployeeData[[#This Row],[Age]]&lt;45,"35-44",IF(EmployeeData[[#This Row],[Age]]&lt;55,"45-54","55+"))))</f>
        <v>25-34</v>
      </c>
      <c r="AK57" s="4" t="str">
        <f>IF(EmployeeData[[#This Row],[MonthlyIncome]]&lt;3000,"Below 3K",IF(EmployeeData[[#This Row],[MonthlyIncome]]&lt;6000,"3K-6K",IF(EmployeeData[[#This Row],[MonthlyIncome]]&lt;9000,"6K-9K",IF(EmployeeData[[#This Row],[MonthlyIncome]]&lt;12000,"9K-12K","12K+"))))</f>
        <v>12K+</v>
      </c>
    </row>
    <row r="58" spans="1:37" x14ac:dyDescent="0.3">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c r="AJ58" s="4" t="str">
        <f>IF(EmployeeData[[#This Row],[Age]]&lt;25,"Under 25",IF(EmployeeData[[#This Row],[Age]]&lt;35,"25-34",IF(EmployeeData[[#This Row],[Age]]&lt;45,"35-44",IF(EmployeeData[[#This Row],[Age]]&lt;55,"45-54","55+"))))</f>
        <v>35-44</v>
      </c>
      <c r="AK58" s="4" t="str">
        <f>IF(EmployeeData[[#This Row],[MonthlyIncome]]&lt;3000,"Below 3K",IF(EmployeeData[[#This Row],[MonthlyIncome]]&lt;6000,"3K-6K",IF(EmployeeData[[#This Row],[MonthlyIncome]]&lt;9000,"6K-9K",IF(EmployeeData[[#This Row],[MonthlyIncome]]&lt;12000,"9K-12K","12K+"))))</f>
        <v>9K-12K</v>
      </c>
    </row>
    <row r="59" spans="1:37" x14ac:dyDescent="0.3">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c r="AJ59" s="4" t="str">
        <f>IF(EmployeeData[[#This Row],[Age]]&lt;25,"Under 25",IF(EmployeeData[[#This Row],[Age]]&lt;35,"25-34",IF(EmployeeData[[#This Row],[Age]]&lt;45,"35-44",IF(EmployeeData[[#This Row],[Age]]&lt;55,"45-54","55+"))))</f>
        <v>35-44</v>
      </c>
      <c r="AK59" s="4" t="str">
        <f>IF(EmployeeData[[#This Row],[MonthlyIncome]]&lt;3000,"Below 3K",IF(EmployeeData[[#This Row],[MonthlyIncome]]&lt;6000,"3K-6K",IF(EmployeeData[[#This Row],[MonthlyIncome]]&lt;9000,"6K-9K",IF(EmployeeData[[#This Row],[MonthlyIncome]]&lt;12000,"9K-12K","12K+"))))</f>
        <v>3K-6K</v>
      </c>
    </row>
    <row r="60" spans="1:37" x14ac:dyDescent="0.3">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c r="AJ60" s="4" t="str">
        <f>IF(EmployeeData[[#This Row],[Age]]&lt;25,"Under 25",IF(EmployeeData[[#This Row],[Age]]&lt;35,"25-34",IF(EmployeeData[[#This Row],[Age]]&lt;45,"35-44",IF(EmployeeData[[#This Row],[Age]]&lt;55,"45-54","55+"))))</f>
        <v>25-34</v>
      </c>
      <c r="AK60" s="4" t="str">
        <f>IF(EmployeeData[[#This Row],[MonthlyIncome]]&lt;3000,"Below 3K",IF(EmployeeData[[#This Row],[MonthlyIncome]]&lt;6000,"3K-6K",IF(EmployeeData[[#This Row],[MonthlyIncome]]&lt;9000,"6K-9K",IF(EmployeeData[[#This Row],[MonthlyIncome]]&lt;12000,"9K-12K","12K+"))))</f>
        <v>3K-6K</v>
      </c>
    </row>
    <row r="61" spans="1:37" x14ac:dyDescent="0.3">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c r="AJ61" s="4" t="str">
        <f>IF(EmployeeData[[#This Row],[Age]]&lt;25,"Under 25",IF(EmployeeData[[#This Row],[Age]]&lt;35,"25-34",IF(EmployeeData[[#This Row],[Age]]&lt;45,"35-44",IF(EmployeeData[[#This Row],[Age]]&lt;55,"45-54","55+"))))</f>
        <v>35-44</v>
      </c>
      <c r="AK61" s="4" t="str">
        <f>IF(EmployeeData[[#This Row],[MonthlyIncome]]&lt;3000,"Below 3K",IF(EmployeeData[[#This Row],[MonthlyIncome]]&lt;6000,"3K-6K",IF(EmployeeData[[#This Row],[MonthlyIncome]]&lt;9000,"6K-9K",IF(EmployeeData[[#This Row],[MonthlyIncome]]&lt;12000,"9K-12K","12K+"))))</f>
        <v>3K-6K</v>
      </c>
    </row>
    <row r="62" spans="1:37" x14ac:dyDescent="0.3">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c r="AJ62" s="4" t="str">
        <f>IF(EmployeeData[[#This Row],[Age]]&lt;25,"Under 25",IF(EmployeeData[[#This Row],[Age]]&lt;35,"25-34",IF(EmployeeData[[#This Row],[Age]]&lt;45,"35-44",IF(EmployeeData[[#This Row],[Age]]&lt;55,"45-54","55+"))))</f>
        <v>25-34</v>
      </c>
      <c r="AK62" s="4" t="str">
        <f>IF(EmployeeData[[#This Row],[MonthlyIncome]]&lt;3000,"Below 3K",IF(EmployeeData[[#This Row],[MonthlyIncome]]&lt;6000,"3K-6K",IF(EmployeeData[[#This Row],[MonthlyIncome]]&lt;9000,"6K-9K",IF(EmployeeData[[#This Row],[MonthlyIncome]]&lt;12000,"9K-12K","12K+"))))</f>
        <v>6K-9K</v>
      </c>
    </row>
    <row r="63" spans="1:37" x14ac:dyDescent="0.3">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c r="AJ63" s="4" t="str">
        <f>IF(EmployeeData[[#This Row],[Age]]&lt;25,"Under 25",IF(EmployeeData[[#This Row],[Age]]&lt;35,"25-34",IF(EmployeeData[[#This Row],[Age]]&lt;45,"35-44",IF(EmployeeData[[#This Row],[Age]]&lt;55,"45-54","55+"))))</f>
        <v>35-44</v>
      </c>
      <c r="AK63" s="4" t="str">
        <f>IF(EmployeeData[[#This Row],[MonthlyIncome]]&lt;3000,"Below 3K",IF(EmployeeData[[#This Row],[MonthlyIncome]]&lt;6000,"3K-6K",IF(EmployeeData[[#This Row],[MonthlyIncome]]&lt;9000,"6K-9K",IF(EmployeeData[[#This Row],[MonthlyIncome]]&lt;12000,"9K-12K","12K+"))))</f>
        <v>Below 3K</v>
      </c>
    </row>
    <row r="64" spans="1:37" x14ac:dyDescent="0.3">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c r="AJ64" s="4" t="str">
        <f>IF(EmployeeData[[#This Row],[Age]]&lt;25,"Under 25",IF(EmployeeData[[#This Row],[Age]]&lt;35,"25-34",IF(EmployeeData[[#This Row],[Age]]&lt;45,"35-44",IF(EmployeeData[[#This Row],[Age]]&lt;55,"45-54","55+"))))</f>
        <v>45-54</v>
      </c>
      <c r="AK64" s="4" t="str">
        <f>IF(EmployeeData[[#This Row],[MonthlyIncome]]&lt;3000,"Below 3K",IF(EmployeeData[[#This Row],[MonthlyIncome]]&lt;6000,"3K-6K",IF(EmployeeData[[#This Row],[MonthlyIncome]]&lt;9000,"6K-9K",IF(EmployeeData[[#This Row],[MonthlyIncome]]&lt;12000,"9K-12K","12K+"))))</f>
        <v>12K+</v>
      </c>
    </row>
    <row r="65" spans="1:37" x14ac:dyDescent="0.3">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c r="AJ65" s="4" t="str">
        <f>IF(EmployeeData[[#This Row],[Age]]&lt;25,"Under 25",IF(EmployeeData[[#This Row],[Age]]&lt;35,"25-34",IF(EmployeeData[[#This Row],[Age]]&lt;45,"35-44",IF(EmployeeData[[#This Row],[Age]]&lt;55,"45-54","55+"))))</f>
        <v>55+</v>
      </c>
      <c r="AK65" s="4" t="str">
        <f>IF(EmployeeData[[#This Row],[MonthlyIncome]]&lt;3000,"Below 3K",IF(EmployeeData[[#This Row],[MonthlyIncome]]&lt;6000,"3K-6K",IF(EmployeeData[[#This Row],[MonthlyIncome]]&lt;9000,"6K-9K",IF(EmployeeData[[#This Row],[MonthlyIncome]]&lt;12000,"9K-12K","12K+"))))</f>
        <v>6K-9K</v>
      </c>
    </row>
    <row r="66" spans="1:37" x14ac:dyDescent="0.3">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c r="AJ66" s="4" t="str">
        <f>IF(EmployeeData[[#This Row],[Age]]&lt;25,"Under 25",IF(EmployeeData[[#This Row],[Age]]&lt;35,"25-34",IF(EmployeeData[[#This Row],[Age]]&lt;45,"35-44",IF(EmployeeData[[#This Row],[Age]]&lt;55,"45-54","55+"))))</f>
        <v>35-44</v>
      </c>
      <c r="AK66" s="4" t="str">
        <f>IF(EmployeeData[[#This Row],[MonthlyIncome]]&lt;3000,"Below 3K",IF(EmployeeData[[#This Row],[MonthlyIncome]]&lt;6000,"3K-6K",IF(EmployeeData[[#This Row],[MonthlyIncome]]&lt;9000,"6K-9K",IF(EmployeeData[[#This Row],[MonthlyIncome]]&lt;12000,"9K-12K","12K+"))))</f>
        <v>9K-12K</v>
      </c>
    </row>
    <row r="67" spans="1:37" x14ac:dyDescent="0.3">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c r="AJ67" s="4" t="str">
        <f>IF(EmployeeData[[#This Row],[Age]]&lt;25,"Under 25",IF(EmployeeData[[#This Row],[Age]]&lt;35,"25-34",IF(EmployeeData[[#This Row],[Age]]&lt;45,"35-44",IF(EmployeeData[[#This Row],[Age]]&lt;55,"45-54","55+"))))</f>
        <v>55+</v>
      </c>
      <c r="AK67" s="4" t="str">
        <f>IF(EmployeeData[[#This Row],[MonthlyIncome]]&lt;3000,"Below 3K",IF(EmployeeData[[#This Row],[MonthlyIncome]]&lt;6000,"3K-6K",IF(EmployeeData[[#This Row],[MonthlyIncome]]&lt;9000,"6K-9K",IF(EmployeeData[[#This Row],[MonthlyIncome]]&lt;12000,"9K-12K","12K+"))))</f>
        <v>12K+</v>
      </c>
    </row>
    <row r="68" spans="1:37" x14ac:dyDescent="0.3">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c r="AJ68" s="4" t="str">
        <f>IF(EmployeeData[[#This Row],[Age]]&lt;25,"Under 25",IF(EmployeeData[[#This Row],[Age]]&lt;35,"25-34",IF(EmployeeData[[#This Row],[Age]]&lt;45,"35-44",IF(EmployeeData[[#This Row],[Age]]&lt;55,"45-54","55+"))))</f>
        <v>35-44</v>
      </c>
      <c r="AK68" s="4" t="str">
        <f>IF(EmployeeData[[#This Row],[MonthlyIncome]]&lt;3000,"Below 3K",IF(EmployeeData[[#This Row],[MonthlyIncome]]&lt;6000,"3K-6K",IF(EmployeeData[[#This Row],[MonthlyIncome]]&lt;9000,"6K-9K",IF(EmployeeData[[#This Row],[MonthlyIncome]]&lt;12000,"9K-12K","12K+"))))</f>
        <v>6K-9K</v>
      </c>
    </row>
    <row r="69" spans="1:37" x14ac:dyDescent="0.3">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c r="AJ69" s="4" t="str">
        <f>IF(EmployeeData[[#This Row],[Age]]&lt;25,"Under 25",IF(EmployeeData[[#This Row],[Age]]&lt;35,"25-34",IF(EmployeeData[[#This Row],[Age]]&lt;45,"35-44",IF(EmployeeData[[#This Row],[Age]]&lt;55,"45-54","55+"))))</f>
        <v>45-54</v>
      </c>
      <c r="AK69" s="4" t="str">
        <f>IF(EmployeeData[[#This Row],[MonthlyIncome]]&lt;3000,"Below 3K",IF(EmployeeData[[#This Row],[MonthlyIncome]]&lt;6000,"3K-6K",IF(EmployeeData[[#This Row],[MonthlyIncome]]&lt;9000,"6K-9K",IF(EmployeeData[[#This Row],[MonthlyIncome]]&lt;12000,"9K-12K","12K+"))))</f>
        <v>9K-12K</v>
      </c>
    </row>
    <row r="70" spans="1:37" x14ac:dyDescent="0.3">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c r="AJ70" s="4" t="str">
        <f>IF(EmployeeData[[#This Row],[Age]]&lt;25,"Under 25",IF(EmployeeData[[#This Row],[Age]]&lt;35,"25-34",IF(EmployeeData[[#This Row],[Age]]&lt;45,"35-44",IF(EmployeeData[[#This Row],[Age]]&lt;55,"45-54","55+"))))</f>
        <v>35-44</v>
      </c>
      <c r="AK70" s="4" t="str">
        <f>IF(EmployeeData[[#This Row],[MonthlyIncome]]&lt;3000,"Below 3K",IF(EmployeeData[[#This Row],[MonthlyIncome]]&lt;6000,"3K-6K",IF(EmployeeData[[#This Row],[MonthlyIncome]]&lt;9000,"6K-9K",IF(EmployeeData[[#This Row],[MonthlyIncome]]&lt;12000,"9K-12K","12K+"))))</f>
        <v>Below 3K</v>
      </c>
    </row>
    <row r="71" spans="1:37" x14ac:dyDescent="0.3">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c r="AJ71" s="4" t="str">
        <f>IF(EmployeeData[[#This Row],[Age]]&lt;25,"Under 25",IF(EmployeeData[[#This Row],[Age]]&lt;35,"25-34",IF(EmployeeData[[#This Row],[Age]]&lt;45,"35-44",IF(EmployeeData[[#This Row],[Age]]&lt;55,"45-54","55+"))))</f>
        <v>35-44</v>
      </c>
      <c r="AK71" s="4" t="str">
        <f>IF(EmployeeData[[#This Row],[MonthlyIncome]]&lt;3000,"Below 3K",IF(EmployeeData[[#This Row],[MonthlyIncome]]&lt;6000,"3K-6K",IF(EmployeeData[[#This Row],[MonthlyIncome]]&lt;9000,"6K-9K",IF(EmployeeData[[#This Row],[MonthlyIncome]]&lt;12000,"9K-12K","12K+"))))</f>
        <v>3K-6K</v>
      </c>
    </row>
    <row r="72" spans="1:37" x14ac:dyDescent="0.3">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c r="AJ72" s="4" t="str">
        <f>IF(EmployeeData[[#This Row],[Age]]&lt;25,"Under 25",IF(EmployeeData[[#This Row],[Age]]&lt;35,"25-34",IF(EmployeeData[[#This Row],[Age]]&lt;45,"35-44",IF(EmployeeData[[#This Row],[Age]]&lt;55,"45-54","55+"))))</f>
        <v>55+</v>
      </c>
      <c r="AK72" s="4" t="str">
        <f>IF(EmployeeData[[#This Row],[MonthlyIncome]]&lt;3000,"Below 3K",IF(EmployeeData[[#This Row],[MonthlyIncome]]&lt;6000,"3K-6K",IF(EmployeeData[[#This Row],[MonthlyIncome]]&lt;9000,"6K-9K",IF(EmployeeData[[#This Row],[MonthlyIncome]]&lt;12000,"9K-12K","12K+"))))</f>
        <v>3K-6K</v>
      </c>
    </row>
    <row r="73" spans="1:37" x14ac:dyDescent="0.3">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c r="AJ73" s="4" t="str">
        <f>IF(EmployeeData[[#This Row],[Age]]&lt;25,"Under 25",IF(EmployeeData[[#This Row],[Age]]&lt;35,"25-34",IF(EmployeeData[[#This Row],[Age]]&lt;45,"35-44",IF(EmployeeData[[#This Row],[Age]]&lt;55,"45-54","55+"))))</f>
        <v>25-34</v>
      </c>
      <c r="AK73" s="4" t="str">
        <f>IF(EmployeeData[[#This Row],[MonthlyIncome]]&lt;3000,"Below 3K",IF(EmployeeData[[#This Row],[MonthlyIncome]]&lt;6000,"3K-6K",IF(EmployeeData[[#This Row],[MonthlyIncome]]&lt;9000,"6K-9K",IF(EmployeeData[[#This Row],[MonthlyIncome]]&lt;12000,"9K-12K","12K+"))))</f>
        <v>Below 3K</v>
      </c>
    </row>
    <row r="74" spans="1:37" x14ac:dyDescent="0.3">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c r="AJ74" s="4" t="str">
        <f>IF(EmployeeData[[#This Row],[Age]]&lt;25,"Under 25",IF(EmployeeData[[#This Row],[Age]]&lt;35,"25-34",IF(EmployeeData[[#This Row],[Age]]&lt;45,"35-44",IF(EmployeeData[[#This Row],[Age]]&lt;55,"45-54","55+"))))</f>
        <v>25-34</v>
      </c>
      <c r="AK74" s="4" t="str">
        <f>IF(EmployeeData[[#This Row],[MonthlyIncome]]&lt;3000,"Below 3K",IF(EmployeeData[[#This Row],[MonthlyIncome]]&lt;6000,"3K-6K",IF(EmployeeData[[#This Row],[MonthlyIncome]]&lt;9000,"6K-9K",IF(EmployeeData[[#This Row],[MonthlyIncome]]&lt;12000,"9K-12K","12K+"))))</f>
        <v>Below 3K</v>
      </c>
    </row>
    <row r="75" spans="1:37" x14ac:dyDescent="0.3">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c r="AJ75" s="4" t="str">
        <f>IF(EmployeeData[[#This Row],[Age]]&lt;25,"Under 25",IF(EmployeeData[[#This Row],[Age]]&lt;35,"25-34",IF(EmployeeData[[#This Row],[Age]]&lt;45,"35-44",IF(EmployeeData[[#This Row],[Age]]&lt;55,"45-54","55+"))))</f>
        <v>25-34</v>
      </c>
      <c r="AK75" s="4" t="str">
        <f>IF(EmployeeData[[#This Row],[MonthlyIncome]]&lt;3000,"Below 3K",IF(EmployeeData[[#This Row],[MonthlyIncome]]&lt;6000,"3K-6K",IF(EmployeeData[[#This Row],[MonthlyIncome]]&lt;9000,"6K-9K",IF(EmployeeData[[#This Row],[MonthlyIncome]]&lt;12000,"9K-12K","12K+"))))</f>
        <v>6K-9K</v>
      </c>
    </row>
    <row r="76" spans="1:37" x14ac:dyDescent="0.3">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c r="AJ76" s="4" t="str">
        <f>IF(EmployeeData[[#This Row],[Age]]&lt;25,"Under 25",IF(EmployeeData[[#This Row],[Age]]&lt;35,"25-34",IF(EmployeeData[[#This Row],[Age]]&lt;45,"35-44",IF(EmployeeData[[#This Row],[Age]]&lt;55,"45-54","55+"))))</f>
        <v>35-44</v>
      </c>
      <c r="AK76" s="4" t="str">
        <f>IF(EmployeeData[[#This Row],[MonthlyIncome]]&lt;3000,"Below 3K",IF(EmployeeData[[#This Row],[MonthlyIncome]]&lt;6000,"3K-6K",IF(EmployeeData[[#This Row],[MonthlyIncome]]&lt;9000,"6K-9K",IF(EmployeeData[[#This Row],[MonthlyIncome]]&lt;12000,"9K-12K","12K+"))))</f>
        <v>3K-6K</v>
      </c>
    </row>
    <row r="77" spans="1:37" x14ac:dyDescent="0.3">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c r="AJ77" s="4" t="str">
        <f>IF(EmployeeData[[#This Row],[Age]]&lt;25,"Under 25",IF(EmployeeData[[#This Row],[Age]]&lt;35,"25-34",IF(EmployeeData[[#This Row],[Age]]&lt;45,"35-44",IF(EmployeeData[[#This Row],[Age]]&lt;55,"45-54","55+"))))</f>
        <v>25-34</v>
      </c>
      <c r="AK77" s="4" t="str">
        <f>IF(EmployeeData[[#This Row],[MonthlyIncome]]&lt;3000,"Below 3K",IF(EmployeeData[[#This Row],[MonthlyIncome]]&lt;6000,"3K-6K",IF(EmployeeData[[#This Row],[MonthlyIncome]]&lt;9000,"6K-9K",IF(EmployeeData[[#This Row],[MonthlyIncome]]&lt;12000,"9K-12K","12K+"))))</f>
        <v>3K-6K</v>
      </c>
    </row>
    <row r="78" spans="1:37" x14ac:dyDescent="0.3">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c r="AJ78" s="4" t="str">
        <f>IF(EmployeeData[[#This Row],[Age]]&lt;25,"Under 25",IF(EmployeeData[[#This Row],[Age]]&lt;35,"25-34",IF(EmployeeData[[#This Row],[Age]]&lt;45,"35-44",IF(EmployeeData[[#This Row],[Age]]&lt;55,"45-54","55+"))))</f>
        <v>35-44</v>
      </c>
      <c r="AK78" s="4" t="str">
        <f>IF(EmployeeData[[#This Row],[MonthlyIncome]]&lt;3000,"Below 3K",IF(EmployeeData[[#This Row],[MonthlyIncome]]&lt;6000,"3K-6K",IF(EmployeeData[[#This Row],[MonthlyIncome]]&lt;9000,"6K-9K",IF(EmployeeData[[#This Row],[MonthlyIncome]]&lt;12000,"9K-12K","12K+"))))</f>
        <v>3K-6K</v>
      </c>
    </row>
    <row r="79" spans="1:37" x14ac:dyDescent="0.3">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c r="AJ79" s="4" t="str">
        <f>IF(EmployeeData[[#This Row],[Age]]&lt;25,"Under 25",IF(EmployeeData[[#This Row],[Age]]&lt;35,"25-34",IF(EmployeeData[[#This Row],[Age]]&lt;45,"35-44",IF(EmployeeData[[#This Row],[Age]]&lt;55,"45-54","55+"))))</f>
        <v>45-54</v>
      </c>
      <c r="AK79" s="4" t="str">
        <f>IF(EmployeeData[[#This Row],[MonthlyIncome]]&lt;3000,"Below 3K",IF(EmployeeData[[#This Row],[MonthlyIncome]]&lt;6000,"3K-6K",IF(EmployeeData[[#This Row],[MonthlyIncome]]&lt;9000,"6K-9K",IF(EmployeeData[[#This Row],[MonthlyIncome]]&lt;12000,"9K-12K","12K+"))))</f>
        <v>12K+</v>
      </c>
    </row>
    <row r="80" spans="1:37" x14ac:dyDescent="0.3">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c r="AJ80" s="4" t="str">
        <f>IF(EmployeeData[[#This Row],[Age]]&lt;25,"Under 25",IF(EmployeeData[[#This Row],[Age]]&lt;35,"25-34",IF(EmployeeData[[#This Row],[Age]]&lt;45,"35-44",IF(EmployeeData[[#This Row],[Age]]&lt;55,"45-54","55+"))))</f>
        <v>35-44</v>
      </c>
      <c r="AK80" s="4" t="str">
        <f>IF(EmployeeData[[#This Row],[MonthlyIncome]]&lt;3000,"Below 3K",IF(EmployeeData[[#This Row],[MonthlyIncome]]&lt;6000,"3K-6K",IF(EmployeeData[[#This Row],[MonthlyIncome]]&lt;9000,"6K-9K",IF(EmployeeData[[#This Row],[MonthlyIncome]]&lt;12000,"9K-12K","12K+"))))</f>
        <v>12K+</v>
      </c>
    </row>
    <row r="81" spans="1:37" x14ac:dyDescent="0.3">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c r="AJ81" s="4" t="str">
        <f>IF(EmployeeData[[#This Row],[Age]]&lt;25,"Under 25",IF(EmployeeData[[#This Row],[Age]]&lt;35,"25-34",IF(EmployeeData[[#This Row],[Age]]&lt;45,"35-44",IF(EmployeeData[[#This Row],[Age]]&lt;55,"45-54","55+"))))</f>
        <v>45-54</v>
      </c>
      <c r="AK81" s="4" t="str">
        <f>IF(EmployeeData[[#This Row],[MonthlyIncome]]&lt;3000,"Below 3K",IF(EmployeeData[[#This Row],[MonthlyIncome]]&lt;6000,"3K-6K",IF(EmployeeData[[#This Row],[MonthlyIncome]]&lt;9000,"6K-9K",IF(EmployeeData[[#This Row],[MonthlyIncome]]&lt;12000,"9K-12K","12K+"))))</f>
        <v>3K-6K</v>
      </c>
    </row>
    <row r="82" spans="1:37" x14ac:dyDescent="0.3">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c r="AJ82" s="4" t="str">
        <f>IF(EmployeeData[[#This Row],[Age]]&lt;25,"Under 25",IF(EmployeeData[[#This Row],[Age]]&lt;35,"25-34",IF(EmployeeData[[#This Row],[Age]]&lt;45,"35-44",IF(EmployeeData[[#This Row],[Age]]&lt;55,"45-54","55+"))))</f>
        <v>25-34</v>
      </c>
      <c r="AK82" s="4" t="str">
        <f>IF(EmployeeData[[#This Row],[MonthlyIncome]]&lt;3000,"Below 3K",IF(EmployeeData[[#This Row],[MonthlyIncome]]&lt;6000,"3K-6K",IF(EmployeeData[[#This Row],[MonthlyIncome]]&lt;9000,"6K-9K",IF(EmployeeData[[#This Row],[MonthlyIncome]]&lt;12000,"9K-12K","12K+"))))</f>
        <v>3K-6K</v>
      </c>
    </row>
    <row r="83" spans="1:37" x14ac:dyDescent="0.3">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c r="AJ83" s="4" t="str">
        <f>IF(EmployeeData[[#This Row],[Age]]&lt;25,"Under 25",IF(EmployeeData[[#This Row],[Age]]&lt;35,"25-34",IF(EmployeeData[[#This Row],[Age]]&lt;45,"35-44",IF(EmployeeData[[#This Row],[Age]]&lt;55,"45-54","55+"))))</f>
        <v>35-44</v>
      </c>
      <c r="AK83" s="4" t="str">
        <f>IF(EmployeeData[[#This Row],[MonthlyIncome]]&lt;3000,"Below 3K",IF(EmployeeData[[#This Row],[MonthlyIncome]]&lt;6000,"3K-6K",IF(EmployeeData[[#This Row],[MonthlyIncome]]&lt;9000,"6K-9K",IF(EmployeeData[[#This Row],[MonthlyIncome]]&lt;12000,"9K-12K","12K+"))))</f>
        <v>Below 3K</v>
      </c>
    </row>
    <row r="84" spans="1:37" x14ac:dyDescent="0.3">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c r="AJ84" s="4" t="str">
        <f>IF(EmployeeData[[#This Row],[Age]]&lt;25,"Under 25",IF(EmployeeData[[#This Row],[Age]]&lt;35,"25-34",IF(EmployeeData[[#This Row],[Age]]&lt;45,"35-44",IF(EmployeeData[[#This Row],[Age]]&lt;55,"45-54","55+"))))</f>
        <v>55+</v>
      </c>
      <c r="AK84" s="4" t="str">
        <f>IF(EmployeeData[[#This Row],[MonthlyIncome]]&lt;3000,"Below 3K",IF(EmployeeData[[#This Row],[MonthlyIncome]]&lt;6000,"3K-6K",IF(EmployeeData[[#This Row],[MonthlyIncome]]&lt;9000,"6K-9K",IF(EmployeeData[[#This Row],[MonthlyIncome]]&lt;12000,"9K-12K","12K+"))))</f>
        <v>9K-12K</v>
      </c>
    </row>
    <row r="85" spans="1:37" x14ac:dyDescent="0.3">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c r="AJ85" s="4" t="str">
        <f>IF(EmployeeData[[#This Row],[Age]]&lt;25,"Under 25",IF(EmployeeData[[#This Row],[Age]]&lt;35,"25-34",IF(EmployeeData[[#This Row],[Age]]&lt;45,"35-44",IF(EmployeeData[[#This Row],[Age]]&lt;55,"45-54","55+"))))</f>
        <v>35-44</v>
      </c>
      <c r="AK85" s="4" t="str">
        <f>IF(EmployeeData[[#This Row],[MonthlyIncome]]&lt;3000,"Below 3K",IF(EmployeeData[[#This Row],[MonthlyIncome]]&lt;6000,"3K-6K",IF(EmployeeData[[#This Row],[MonthlyIncome]]&lt;9000,"6K-9K",IF(EmployeeData[[#This Row],[MonthlyIncome]]&lt;12000,"9K-12K","12K+"))))</f>
        <v>3K-6K</v>
      </c>
    </row>
    <row r="86" spans="1:37" x14ac:dyDescent="0.3">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c r="AJ86" s="4" t="str">
        <f>IF(EmployeeData[[#This Row],[Age]]&lt;25,"Under 25",IF(EmployeeData[[#This Row],[Age]]&lt;35,"25-34",IF(EmployeeData[[#This Row],[Age]]&lt;45,"35-44",IF(EmployeeData[[#This Row],[Age]]&lt;55,"45-54","55+"))))</f>
        <v>25-34</v>
      </c>
      <c r="AK86" s="4" t="str">
        <f>IF(EmployeeData[[#This Row],[MonthlyIncome]]&lt;3000,"Below 3K",IF(EmployeeData[[#This Row],[MonthlyIncome]]&lt;6000,"3K-6K",IF(EmployeeData[[#This Row],[MonthlyIncome]]&lt;9000,"6K-9K",IF(EmployeeData[[#This Row],[MonthlyIncome]]&lt;12000,"9K-12K","12K+"))))</f>
        <v>3K-6K</v>
      </c>
    </row>
    <row r="87" spans="1:37" x14ac:dyDescent="0.3">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c r="AJ87" s="4" t="str">
        <f>IF(EmployeeData[[#This Row],[Age]]&lt;25,"Under 25",IF(EmployeeData[[#This Row],[Age]]&lt;35,"25-34",IF(EmployeeData[[#This Row],[Age]]&lt;45,"35-44",IF(EmployeeData[[#This Row],[Age]]&lt;55,"45-54","55+"))))</f>
        <v>55+</v>
      </c>
      <c r="AK87" s="4" t="str">
        <f>IF(EmployeeData[[#This Row],[MonthlyIncome]]&lt;3000,"Below 3K",IF(EmployeeData[[#This Row],[MonthlyIncome]]&lt;6000,"3K-6K",IF(EmployeeData[[#This Row],[MonthlyIncome]]&lt;9000,"6K-9K",IF(EmployeeData[[#This Row],[MonthlyIncome]]&lt;12000,"9K-12K","12K+"))))</f>
        <v>6K-9K</v>
      </c>
    </row>
    <row r="88" spans="1:37" x14ac:dyDescent="0.3">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c r="AJ88" s="4" t="str">
        <f>IF(EmployeeData[[#This Row],[Age]]&lt;25,"Under 25",IF(EmployeeData[[#This Row],[Age]]&lt;35,"25-34",IF(EmployeeData[[#This Row],[Age]]&lt;45,"35-44",IF(EmployeeData[[#This Row],[Age]]&lt;55,"45-54","55+"))))</f>
        <v>Under 25</v>
      </c>
      <c r="AK88" s="4" t="str">
        <f>IF(EmployeeData[[#This Row],[MonthlyIncome]]&lt;3000,"Below 3K",IF(EmployeeData[[#This Row],[MonthlyIncome]]&lt;6000,"3K-6K",IF(EmployeeData[[#This Row],[MonthlyIncome]]&lt;9000,"6K-9K",IF(EmployeeData[[#This Row],[MonthlyIncome]]&lt;12000,"9K-12K","12K+"))))</f>
        <v>Below 3K</v>
      </c>
    </row>
    <row r="89" spans="1:37" x14ac:dyDescent="0.3">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c r="AJ89" s="4" t="str">
        <f>IF(EmployeeData[[#This Row],[Age]]&lt;25,"Under 25",IF(EmployeeData[[#This Row],[Age]]&lt;35,"25-34",IF(EmployeeData[[#This Row],[Age]]&lt;45,"35-44",IF(EmployeeData[[#This Row],[Age]]&lt;55,"45-54","55+"))))</f>
        <v>45-54</v>
      </c>
      <c r="AK89" s="4" t="str">
        <f>IF(EmployeeData[[#This Row],[MonthlyIncome]]&lt;3000,"Below 3K",IF(EmployeeData[[#This Row],[MonthlyIncome]]&lt;6000,"3K-6K",IF(EmployeeData[[#This Row],[MonthlyIncome]]&lt;9000,"6K-9K",IF(EmployeeData[[#This Row],[MonthlyIncome]]&lt;12000,"9K-12K","12K+"))))</f>
        <v>Below 3K</v>
      </c>
    </row>
    <row r="90" spans="1:37" x14ac:dyDescent="0.3">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c r="AJ90" s="4" t="str">
        <f>IF(EmployeeData[[#This Row],[Age]]&lt;25,"Under 25",IF(EmployeeData[[#This Row],[Age]]&lt;35,"25-34",IF(EmployeeData[[#This Row],[Age]]&lt;45,"35-44",IF(EmployeeData[[#This Row],[Age]]&lt;55,"45-54","55+"))))</f>
        <v>25-34</v>
      </c>
      <c r="AK90" s="4" t="str">
        <f>IF(EmployeeData[[#This Row],[MonthlyIncome]]&lt;3000,"Below 3K",IF(EmployeeData[[#This Row],[MonthlyIncome]]&lt;6000,"3K-6K",IF(EmployeeData[[#This Row],[MonthlyIncome]]&lt;9000,"6K-9K",IF(EmployeeData[[#This Row],[MonthlyIncome]]&lt;12000,"9K-12K","12K+"))))</f>
        <v>3K-6K</v>
      </c>
    </row>
    <row r="91" spans="1:37" x14ac:dyDescent="0.3">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c r="AJ91" s="4" t="str">
        <f>IF(EmployeeData[[#This Row],[Age]]&lt;25,"Under 25",IF(EmployeeData[[#This Row],[Age]]&lt;35,"25-34",IF(EmployeeData[[#This Row],[Age]]&lt;45,"35-44",IF(EmployeeData[[#This Row],[Age]]&lt;55,"45-54","55+"))))</f>
        <v>45-54</v>
      </c>
      <c r="AK91" s="4" t="str">
        <f>IF(EmployeeData[[#This Row],[MonthlyIncome]]&lt;3000,"Below 3K",IF(EmployeeData[[#This Row],[MonthlyIncome]]&lt;6000,"3K-6K",IF(EmployeeData[[#This Row],[MonthlyIncome]]&lt;9000,"6K-9K",IF(EmployeeData[[#This Row],[MonthlyIncome]]&lt;12000,"9K-12K","12K+"))))</f>
        <v>9K-12K</v>
      </c>
    </row>
    <row r="92" spans="1:37" x14ac:dyDescent="0.3">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c r="AJ92" s="4" t="str">
        <f>IF(EmployeeData[[#This Row],[Age]]&lt;25,"Under 25",IF(EmployeeData[[#This Row],[Age]]&lt;35,"25-34",IF(EmployeeData[[#This Row],[Age]]&lt;45,"35-44",IF(EmployeeData[[#This Row],[Age]]&lt;55,"45-54","55+"))))</f>
        <v>35-44</v>
      </c>
      <c r="AK92" s="4" t="str">
        <f>IF(EmployeeData[[#This Row],[MonthlyIncome]]&lt;3000,"Below 3K",IF(EmployeeData[[#This Row],[MonthlyIncome]]&lt;6000,"3K-6K",IF(EmployeeData[[#This Row],[MonthlyIncome]]&lt;9000,"6K-9K",IF(EmployeeData[[#This Row],[MonthlyIncome]]&lt;12000,"9K-12K","12K+"))))</f>
        <v>12K+</v>
      </c>
    </row>
    <row r="93" spans="1:37" x14ac:dyDescent="0.3">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c r="AJ93" s="4" t="str">
        <f>IF(EmployeeData[[#This Row],[Age]]&lt;25,"Under 25",IF(EmployeeData[[#This Row],[Age]]&lt;35,"25-34",IF(EmployeeData[[#This Row],[Age]]&lt;45,"35-44",IF(EmployeeData[[#This Row],[Age]]&lt;55,"45-54","55+"))))</f>
        <v>45-54</v>
      </c>
      <c r="AK93" s="4" t="str">
        <f>IF(EmployeeData[[#This Row],[MonthlyIncome]]&lt;3000,"Below 3K",IF(EmployeeData[[#This Row],[MonthlyIncome]]&lt;6000,"3K-6K",IF(EmployeeData[[#This Row],[MonthlyIncome]]&lt;9000,"6K-9K",IF(EmployeeData[[#This Row],[MonthlyIncome]]&lt;12000,"9K-12K","12K+"))))</f>
        <v>3K-6K</v>
      </c>
    </row>
    <row r="94" spans="1:37" x14ac:dyDescent="0.3">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c r="AJ94" s="4" t="str">
        <f>IF(EmployeeData[[#This Row],[Age]]&lt;25,"Under 25",IF(EmployeeData[[#This Row],[Age]]&lt;35,"25-34",IF(EmployeeData[[#This Row],[Age]]&lt;45,"35-44",IF(EmployeeData[[#This Row],[Age]]&lt;55,"45-54","55+"))))</f>
        <v>25-34</v>
      </c>
      <c r="AK94" s="4" t="str">
        <f>IF(EmployeeData[[#This Row],[MonthlyIncome]]&lt;3000,"Below 3K",IF(EmployeeData[[#This Row],[MonthlyIncome]]&lt;6000,"3K-6K",IF(EmployeeData[[#This Row],[MonthlyIncome]]&lt;9000,"6K-9K",IF(EmployeeData[[#This Row],[MonthlyIncome]]&lt;12000,"9K-12K","12K+"))))</f>
        <v>3K-6K</v>
      </c>
    </row>
    <row r="95" spans="1:37" x14ac:dyDescent="0.3">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c r="AJ95" s="4" t="str">
        <f>IF(EmployeeData[[#This Row],[Age]]&lt;25,"Under 25",IF(EmployeeData[[#This Row],[Age]]&lt;35,"25-34",IF(EmployeeData[[#This Row],[Age]]&lt;45,"35-44",IF(EmployeeData[[#This Row],[Age]]&lt;55,"45-54","55+"))))</f>
        <v>45-54</v>
      </c>
      <c r="AK95" s="4" t="str">
        <f>IF(EmployeeData[[#This Row],[MonthlyIncome]]&lt;3000,"Below 3K",IF(EmployeeData[[#This Row],[MonthlyIncome]]&lt;6000,"3K-6K",IF(EmployeeData[[#This Row],[MonthlyIncome]]&lt;9000,"6K-9K",IF(EmployeeData[[#This Row],[MonthlyIncome]]&lt;12000,"9K-12K","12K+"))))</f>
        <v>9K-12K</v>
      </c>
    </row>
    <row r="96" spans="1:37" x14ac:dyDescent="0.3">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c r="AJ96" s="4" t="str">
        <f>IF(EmployeeData[[#This Row],[Age]]&lt;25,"Under 25",IF(EmployeeData[[#This Row],[Age]]&lt;35,"25-34",IF(EmployeeData[[#This Row],[Age]]&lt;45,"35-44",IF(EmployeeData[[#This Row],[Age]]&lt;55,"45-54","55+"))))</f>
        <v>25-34</v>
      </c>
      <c r="AK96" s="4" t="str">
        <f>IF(EmployeeData[[#This Row],[MonthlyIncome]]&lt;3000,"Below 3K",IF(EmployeeData[[#This Row],[MonthlyIncome]]&lt;6000,"3K-6K",IF(EmployeeData[[#This Row],[MonthlyIncome]]&lt;9000,"6K-9K",IF(EmployeeData[[#This Row],[MonthlyIncome]]&lt;12000,"9K-12K","12K+"))))</f>
        <v>3K-6K</v>
      </c>
    </row>
    <row r="97" spans="1:37" x14ac:dyDescent="0.3">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c r="AJ97" s="4" t="str">
        <f>IF(EmployeeData[[#This Row],[Age]]&lt;25,"Under 25",IF(EmployeeData[[#This Row],[Age]]&lt;35,"25-34",IF(EmployeeData[[#This Row],[Age]]&lt;45,"35-44",IF(EmployeeData[[#This Row],[Age]]&lt;55,"45-54","55+"))))</f>
        <v>45-54</v>
      </c>
      <c r="AK97" s="4" t="str">
        <f>IF(EmployeeData[[#This Row],[MonthlyIncome]]&lt;3000,"Below 3K",IF(EmployeeData[[#This Row],[MonthlyIncome]]&lt;6000,"3K-6K",IF(EmployeeData[[#This Row],[MonthlyIncome]]&lt;9000,"6K-9K",IF(EmployeeData[[#This Row],[MonthlyIncome]]&lt;12000,"9K-12K","12K+"))))</f>
        <v>12K+</v>
      </c>
    </row>
    <row r="98" spans="1:37" x14ac:dyDescent="0.3">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c r="AJ98" s="4" t="str">
        <f>IF(EmployeeData[[#This Row],[Age]]&lt;25,"Under 25",IF(EmployeeData[[#This Row],[Age]]&lt;35,"25-34",IF(EmployeeData[[#This Row],[Age]]&lt;45,"35-44",IF(EmployeeData[[#This Row],[Age]]&lt;55,"45-54","55+"))))</f>
        <v>Under 25</v>
      </c>
      <c r="AK98" s="4" t="str">
        <f>IF(EmployeeData[[#This Row],[MonthlyIncome]]&lt;3000,"Below 3K",IF(EmployeeData[[#This Row],[MonthlyIncome]]&lt;6000,"3K-6K",IF(EmployeeData[[#This Row],[MonthlyIncome]]&lt;9000,"6K-9K",IF(EmployeeData[[#This Row],[MonthlyIncome]]&lt;12000,"9K-12K","12K+"))))</f>
        <v>3K-6K</v>
      </c>
    </row>
    <row r="99" spans="1:37" x14ac:dyDescent="0.3">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c r="AJ99" s="4" t="str">
        <f>IF(EmployeeData[[#This Row],[Age]]&lt;25,"Under 25",IF(EmployeeData[[#This Row],[Age]]&lt;35,"25-34",IF(EmployeeData[[#This Row],[Age]]&lt;45,"35-44",IF(EmployeeData[[#This Row],[Age]]&lt;55,"45-54","55+"))))</f>
        <v>25-34</v>
      </c>
      <c r="AK99" s="4" t="str">
        <f>IF(EmployeeData[[#This Row],[MonthlyIncome]]&lt;3000,"Below 3K",IF(EmployeeData[[#This Row],[MonthlyIncome]]&lt;6000,"3K-6K",IF(EmployeeData[[#This Row],[MonthlyIncome]]&lt;9000,"6K-9K",IF(EmployeeData[[#This Row],[MonthlyIncome]]&lt;12000,"9K-12K","12K+"))))</f>
        <v>3K-6K</v>
      </c>
    </row>
    <row r="100" spans="1:37" x14ac:dyDescent="0.3">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c r="AJ100" s="4" t="str">
        <f>IF(EmployeeData[[#This Row],[Age]]&lt;25,"Under 25",IF(EmployeeData[[#This Row],[Age]]&lt;35,"25-34",IF(EmployeeData[[#This Row],[Age]]&lt;45,"35-44",IF(EmployeeData[[#This Row],[Age]]&lt;55,"45-54","55+"))))</f>
        <v>55+</v>
      </c>
      <c r="AK100" s="4" t="str">
        <f>IF(EmployeeData[[#This Row],[MonthlyIncome]]&lt;3000,"Below 3K",IF(EmployeeData[[#This Row],[MonthlyIncome]]&lt;6000,"3K-6K",IF(EmployeeData[[#This Row],[MonthlyIncome]]&lt;9000,"6K-9K",IF(EmployeeData[[#This Row],[MonthlyIncome]]&lt;12000,"9K-12K","12K+"))))</f>
        <v>12K+</v>
      </c>
    </row>
    <row r="101" spans="1:37" x14ac:dyDescent="0.3">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c r="AJ101" s="4" t="str">
        <f>IF(EmployeeData[[#This Row],[Age]]&lt;25,"Under 25",IF(EmployeeData[[#This Row],[Age]]&lt;35,"25-34",IF(EmployeeData[[#This Row],[Age]]&lt;45,"35-44",IF(EmployeeData[[#This Row],[Age]]&lt;55,"45-54","55+"))))</f>
        <v>35-44</v>
      </c>
      <c r="AK101" s="4" t="str">
        <f>IF(EmployeeData[[#This Row],[MonthlyIncome]]&lt;3000,"Below 3K",IF(EmployeeData[[#This Row],[MonthlyIncome]]&lt;6000,"3K-6K",IF(EmployeeData[[#This Row],[MonthlyIncome]]&lt;9000,"6K-9K",IF(EmployeeData[[#This Row],[MonthlyIncome]]&lt;12000,"9K-12K","12K+"))))</f>
        <v>Below 3K</v>
      </c>
    </row>
    <row r="102" spans="1:37" x14ac:dyDescent="0.3">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c r="AJ102" s="4" t="str">
        <f>IF(EmployeeData[[#This Row],[Age]]&lt;25,"Under 25",IF(EmployeeData[[#This Row],[Age]]&lt;35,"25-34",IF(EmployeeData[[#This Row],[Age]]&lt;45,"35-44",IF(EmployeeData[[#This Row],[Age]]&lt;55,"45-54","55+"))))</f>
        <v>35-44</v>
      </c>
      <c r="AK102" s="4" t="str">
        <f>IF(EmployeeData[[#This Row],[MonthlyIncome]]&lt;3000,"Below 3K",IF(EmployeeData[[#This Row],[MonthlyIncome]]&lt;6000,"3K-6K",IF(EmployeeData[[#This Row],[MonthlyIncome]]&lt;9000,"6K-9K",IF(EmployeeData[[#This Row],[MonthlyIncome]]&lt;12000,"9K-12K","12K+"))))</f>
        <v>Below 3K</v>
      </c>
    </row>
    <row r="103" spans="1:37" x14ac:dyDescent="0.3">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c r="AJ103" s="4" t="str">
        <f>IF(EmployeeData[[#This Row],[Age]]&lt;25,"Under 25",IF(EmployeeData[[#This Row],[Age]]&lt;35,"25-34",IF(EmployeeData[[#This Row],[Age]]&lt;45,"35-44",IF(EmployeeData[[#This Row],[Age]]&lt;55,"45-54","55+"))))</f>
        <v>25-34</v>
      </c>
      <c r="AK103" s="4" t="str">
        <f>IF(EmployeeData[[#This Row],[MonthlyIncome]]&lt;3000,"Below 3K",IF(EmployeeData[[#This Row],[MonthlyIncome]]&lt;6000,"3K-6K",IF(EmployeeData[[#This Row],[MonthlyIncome]]&lt;9000,"6K-9K",IF(EmployeeData[[#This Row],[MonthlyIncome]]&lt;12000,"9K-12K","12K+"))))</f>
        <v>Below 3K</v>
      </c>
    </row>
    <row r="104" spans="1:37" x14ac:dyDescent="0.3">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c r="AJ104" s="4" t="str">
        <f>IF(EmployeeData[[#This Row],[Age]]&lt;25,"Under 25",IF(EmployeeData[[#This Row],[Age]]&lt;35,"25-34",IF(EmployeeData[[#This Row],[Age]]&lt;45,"35-44",IF(EmployeeData[[#This Row],[Age]]&lt;55,"45-54","55+"))))</f>
        <v>Under 25</v>
      </c>
      <c r="AK104" s="4" t="str">
        <f>IF(EmployeeData[[#This Row],[MonthlyIncome]]&lt;3000,"Below 3K",IF(EmployeeData[[#This Row],[MonthlyIncome]]&lt;6000,"3K-6K",IF(EmployeeData[[#This Row],[MonthlyIncome]]&lt;9000,"6K-9K",IF(EmployeeData[[#This Row],[MonthlyIncome]]&lt;12000,"9K-12K","12K+"))))</f>
        <v>Below 3K</v>
      </c>
    </row>
    <row r="105" spans="1:37" x14ac:dyDescent="0.3">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c r="AJ105" s="4" t="str">
        <f>IF(EmployeeData[[#This Row],[Age]]&lt;25,"Under 25",IF(EmployeeData[[#This Row],[Age]]&lt;35,"25-34",IF(EmployeeData[[#This Row],[Age]]&lt;45,"35-44",IF(EmployeeData[[#This Row],[Age]]&lt;55,"45-54","55+"))))</f>
        <v>25-34</v>
      </c>
      <c r="AK105" s="4" t="str">
        <f>IF(EmployeeData[[#This Row],[MonthlyIncome]]&lt;3000,"Below 3K",IF(EmployeeData[[#This Row],[MonthlyIncome]]&lt;6000,"3K-6K",IF(EmployeeData[[#This Row],[MonthlyIncome]]&lt;9000,"6K-9K",IF(EmployeeData[[#This Row],[MonthlyIncome]]&lt;12000,"9K-12K","12K+"))))</f>
        <v>3K-6K</v>
      </c>
    </row>
    <row r="106" spans="1:37" x14ac:dyDescent="0.3">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c r="AJ106" s="4" t="str">
        <f>IF(EmployeeData[[#This Row],[Age]]&lt;25,"Under 25",IF(EmployeeData[[#This Row],[Age]]&lt;35,"25-34",IF(EmployeeData[[#This Row],[Age]]&lt;45,"35-44",IF(EmployeeData[[#This Row],[Age]]&lt;55,"45-54","55+"))))</f>
        <v>35-44</v>
      </c>
      <c r="AK106" s="4" t="str">
        <f>IF(EmployeeData[[#This Row],[MonthlyIncome]]&lt;3000,"Below 3K",IF(EmployeeData[[#This Row],[MonthlyIncome]]&lt;6000,"3K-6K",IF(EmployeeData[[#This Row],[MonthlyIncome]]&lt;9000,"6K-9K",IF(EmployeeData[[#This Row],[MonthlyIncome]]&lt;12000,"9K-12K","12K+"))))</f>
        <v>3K-6K</v>
      </c>
    </row>
    <row r="107" spans="1:37" x14ac:dyDescent="0.3">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c r="AJ107" s="4" t="str">
        <f>IF(EmployeeData[[#This Row],[Age]]&lt;25,"Under 25",IF(EmployeeData[[#This Row],[Age]]&lt;35,"25-34",IF(EmployeeData[[#This Row],[Age]]&lt;45,"35-44",IF(EmployeeData[[#This Row],[Age]]&lt;55,"45-54","55+"))))</f>
        <v>55+</v>
      </c>
      <c r="AK107" s="4" t="str">
        <f>IF(EmployeeData[[#This Row],[MonthlyIncome]]&lt;3000,"Below 3K",IF(EmployeeData[[#This Row],[MonthlyIncome]]&lt;6000,"3K-6K",IF(EmployeeData[[#This Row],[MonthlyIncome]]&lt;9000,"6K-9K",IF(EmployeeData[[#This Row],[MonthlyIncome]]&lt;12000,"9K-12K","12K+"))))</f>
        <v>12K+</v>
      </c>
    </row>
    <row r="108" spans="1:37" x14ac:dyDescent="0.3">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c r="AJ108" s="4" t="str">
        <f>IF(EmployeeData[[#This Row],[Age]]&lt;25,"Under 25",IF(EmployeeData[[#This Row],[Age]]&lt;35,"25-34",IF(EmployeeData[[#This Row],[Age]]&lt;45,"35-44",IF(EmployeeData[[#This Row],[Age]]&lt;55,"45-54","55+"))))</f>
        <v>45-54</v>
      </c>
      <c r="AK108" s="4" t="str">
        <f>IF(EmployeeData[[#This Row],[MonthlyIncome]]&lt;3000,"Below 3K",IF(EmployeeData[[#This Row],[MonthlyIncome]]&lt;6000,"3K-6K",IF(EmployeeData[[#This Row],[MonthlyIncome]]&lt;9000,"6K-9K",IF(EmployeeData[[#This Row],[MonthlyIncome]]&lt;12000,"9K-12K","12K+"))))</f>
        <v>12K+</v>
      </c>
    </row>
    <row r="109" spans="1:37" x14ac:dyDescent="0.3">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c r="AJ109" s="4" t="str">
        <f>IF(EmployeeData[[#This Row],[Age]]&lt;25,"Under 25",IF(EmployeeData[[#This Row],[Age]]&lt;35,"25-34",IF(EmployeeData[[#This Row],[Age]]&lt;45,"35-44",IF(EmployeeData[[#This Row],[Age]]&lt;55,"45-54","55+"))))</f>
        <v>25-34</v>
      </c>
      <c r="AK109" s="4" t="str">
        <f>IF(EmployeeData[[#This Row],[MonthlyIncome]]&lt;3000,"Below 3K",IF(EmployeeData[[#This Row],[MonthlyIncome]]&lt;6000,"3K-6K",IF(EmployeeData[[#This Row],[MonthlyIncome]]&lt;9000,"6K-9K",IF(EmployeeData[[#This Row],[MonthlyIncome]]&lt;12000,"9K-12K","12K+"))))</f>
        <v>3K-6K</v>
      </c>
    </row>
    <row r="110" spans="1:37" x14ac:dyDescent="0.3">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c r="AJ110" s="4" t="str">
        <f>IF(EmployeeData[[#This Row],[Age]]&lt;25,"Under 25",IF(EmployeeData[[#This Row],[Age]]&lt;35,"25-34",IF(EmployeeData[[#This Row],[Age]]&lt;45,"35-44",IF(EmployeeData[[#This Row],[Age]]&lt;55,"45-54","55+"))))</f>
        <v>25-34</v>
      </c>
      <c r="AK110" s="4" t="str">
        <f>IF(EmployeeData[[#This Row],[MonthlyIncome]]&lt;3000,"Below 3K",IF(EmployeeData[[#This Row],[MonthlyIncome]]&lt;6000,"3K-6K",IF(EmployeeData[[#This Row],[MonthlyIncome]]&lt;9000,"6K-9K",IF(EmployeeData[[#This Row],[MonthlyIncome]]&lt;12000,"9K-12K","12K+"))))</f>
        <v>Below 3K</v>
      </c>
    </row>
    <row r="111" spans="1:37" x14ac:dyDescent="0.3">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c r="AJ111" s="4" t="str">
        <f>IF(EmployeeData[[#This Row],[Age]]&lt;25,"Under 25",IF(EmployeeData[[#This Row],[Age]]&lt;35,"25-34",IF(EmployeeData[[#This Row],[Age]]&lt;45,"35-44",IF(EmployeeData[[#This Row],[Age]]&lt;55,"45-54","55+"))))</f>
        <v>Under 25</v>
      </c>
      <c r="AK111" s="4" t="str">
        <f>IF(EmployeeData[[#This Row],[MonthlyIncome]]&lt;3000,"Below 3K",IF(EmployeeData[[#This Row],[MonthlyIncome]]&lt;6000,"3K-6K",IF(EmployeeData[[#This Row],[MonthlyIncome]]&lt;9000,"6K-9K",IF(EmployeeData[[#This Row],[MonthlyIncome]]&lt;12000,"9K-12K","12K+"))))</f>
        <v>Below 3K</v>
      </c>
    </row>
    <row r="112" spans="1:37" x14ac:dyDescent="0.3">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c r="AJ112" s="4" t="str">
        <f>IF(EmployeeData[[#This Row],[Age]]&lt;25,"Under 25",IF(EmployeeData[[#This Row],[Age]]&lt;35,"25-34",IF(EmployeeData[[#This Row],[Age]]&lt;45,"35-44",IF(EmployeeData[[#This Row],[Age]]&lt;55,"45-54","55+"))))</f>
        <v>45-54</v>
      </c>
      <c r="AK112" s="4" t="str">
        <f>IF(EmployeeData[[#This Row],[MonthlyIncome]]&lt;3000,"Below 3K",IF(EmployeeData[[#This Row],[MonthlyIncome]]&lt;6000,"3K-6K",IF(EmployeeData[[#This Row],[MonthlyIncome]]&lt;9000,"6K-9K",IF(EmployeeData[[#This Row],[MonthlyIncome]]&lt;12000,"9K-12K","12K+"))))</f>
        <v>6K-9K</v>
      </c>
    </row>
    <row r="113" spans="1:37" x14ac:dyDescent="0.3">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c r="AJ113" s="4" t="str">
        <f>IF(EmployeeData[[#This Row],[Age]]&lt;25,"Under 25",IF(EmployeeData[[#This Row],[Age]]&lt;35,"25-34",IF(EmployeeData[[#This Row],[Age]]&lt;45,"35-44",IF(EmployeeData[[#This Row],[Age]]&lt;55,"45-54","55+"))))</f>
        <v>25-34</v>
      </c>
      <c r="AK113" s="4" t="str">
        <f>IF(EmployeeData[[#This Row],[MonthlyIncome]]&lt;3000,"Below 3K",IF(EmployeeData[[#This Row],[MonthlyIncome]]&lt;6000,"3K-6K",IF(EmployeeData[[#This Row],[MonthlyIncome]]&lt;9000,"6K-9K",IF(EmployeeData[[#This Row],[MonthlyIncome]]&lt;12000,"9K-12K","12K+"))))</f>
        <v>6K-9K</v>
      </c>
    </row>
    <row r="114" spans="1:37" x14ac:dyDescent="0.3">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c r="AJ114" s="4" t="str">
        <f>IF(EmployeeData[[#This Row],[Age]]&lt;25,"Under 25",IF(EmployeeData[[#This Row],[Age]]&lt;35,"25-34",IF(EmployeeData[[#This Row],[Age]]&lt;45,"35-44",IF(EmployeeData[[#This Row],[Age]]&lt;55,"45-54","55+"))))</f>
        <v>45-54</v>
      </c>
      <c r="AK114" s="4" t="str">
        <f>IF(EmployeeData[[#This Row],[MonthlyIncome]]&lt;3000,"Below 3K",IF(EmployeeData[[#This Row],[MonthlyIncome]]&lt;6000,"3K-6K",IF(EmployeeData[[#This Row],[MonthlyIncome]]&lt;9000,"6K-9K",IF(EmployeeData[[#This Row],[MonthlyIncome]]&lt;12000,"9K-12K","12K+"))))</f>
        <v>12K+</v>
      </c>
    </row>
    <row r="115" spans="1:37" x14ac:dyDescent="0.3">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c r="AJ115" s="4" t="str">
        <f>IF(EmployeeData[[#This Row],[Age]]&lt;25,"Under 25",IF(EmployeeData[[#This Row],[Age]]&lt;35,"25-34",IF(EmployeeData[[#This Row],[Age]]&lt;45,"35-44",IF(EmployeeData[[#This Row],[Age]]&lt;55,"45-54","55+"))))</f>
        <v>Under 25</v>
      </c>
      <c r="AK115" s="4" t="str">
        <f>IF(EmployeeData[[#This Row],[MonthlyIncome]]&lt;3000,"Below 3K",IF(EmployeeData[[#This Row],[MonthlyIncome]]&lt;6000,"3K-6K",IF(EmployeeData[[#This Row],[MonthlyIncome]]&lt;9000,"6K-9K",IF(EmployeeData[[#This Row],[MonthlyIncome]]&lt;12000,"9K-12K","12K+"))))</f>
        <v>Below 3K</v>
      </c>
    </row>
    <row r="116" spans="1:37" x14ac:dyDescent="0.3">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c r="AJ116" s="4" t="str">
        <f>IF(EmployeeData[[#This Row],[Age]]&lt;25,"Under 25",IF(EmployeeData[[#This Row],[Age]]&lt;35,"25-34",IF(EmployeeData[[#This Row],[Age]]&lt;45,"35-44",IF(EmployeeData[[#This Row],[Age]]&lt;55,"45-54","55+"))))</f>
        <v>25-34</v>
      </c>
      <c r="AK116" s="4" t="str">
        <f>IF(EmployeeData[[#This Row],[MonthlyIncome]]&lt;3000,"Below 3K",IF(EmployeeData[[#This Row],[MonthlyIncome]]&lt;6000,"3K-6K",IF(EmployeeData[[#This Row],[MonthlyIncome]]&lt;9000,"6K-9K",IF(EmployeeData[[#This Row],[MonthlyIncome]]&lt;12000,"9K-12K","12K+"))))</f>
        <v>3K-6K</v>
      </c>
    </row>
    <row r="117" spans="1:37" x14ac:dyDescent="0.3">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c r="AJ117" s="4" t="str">
        <f>IF(EmployeeData[[#This Row],[Age]]&lt;25,"Under 25",IF(EmployeeData[[#This Row],[Age]]&lt;35,"25-34",IF(EmployeeData[[#This Row],[Age]]&lt;45,"35-44",IF(EmployeeData[[#This Row],[Age]]&lt;55,"45-54","55+"))))</f>
        <v>35-44</v>
      </c>
      <c r="AK117" s="4" t="str">
        <f>IF(EmployeeData[[#This Row],[MonthlyIncome]]&lt;3000,"Below 3K",IF(EmployeeData[[#This Row],[MonthlyIncome]]&lt;6000,"3K-6K",IF(EmployeeData[[#This Row],[MonthlyIncome]]&lt;9000,"6K-9K",IF(EmployeeData[[#This Row],[MonthlyIncome]]&lt;12000,"9K-12K","12K+"))))</f>
        <v>6K-9K</v>
      </c>
    </row>
    <row r="118" spans="1:37" x14ac:dyDescent="0.3">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c r="AJ118" s="4" t="str">
        <f>IF(EmployeeData[[#This Row],[Age]]&lt;25,"Under 25",IF(EmployeeData[[#This Row],[Age]]&lt;35,"25-34",IF(EmployeeData[[#This Row],[Age]]&lt;45,"35-44",IF(EmployeeData[[#This Row],[Age]]&lt;55,"45-54","55+"))))</f>
        <v>25-34</v>
      </c>
      <c r="AK118" s="4" t="str">
        <f>IF(EmployeeData[[#This Row],[MonthlyIncome]]&lt;3000,"Below 3K",IF(EmployeeData[[#This Row],[MonthlyIncome]]&lt;6000,"3K-6K",IF(EmployeeData[[#This Row],[MonthlyIncome]]&lt;9000,"6K-9K",IF(EmployeeData[[#This Row],[MonthlyIncome]]&lt;12000,"9K-12K","12K+"))))</f>
        <v>9K-12K</v>
      </c>
    </row>
    <row r="119" spans="1:37" x14ac:dyDescent="0.3">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c r="AJ119" s="4" t="str">
        <f>IF(EmployeeData[[#This Row],[Age]]&lt;25,"Under 25",IF(EmployeeData[[#This Row],[Age]]&lt;35,"25-34",IF(EmployeeData[[#This Row],[Age]]&lt;45,"35-44",IF(EmployeeData[[#This Row],[Age]]&lt;55,"45-54","55+"))))</f>
        <v>35-44</v>
      </c>
      <c r="AK119" s="4" t="str">
        <f>IF(EmployeeData[[#This Row],[MonthlyIncome]]&lt;3000,"Below 3K",IF(EmployeeData[[#This Row],[MonthlyIncome]]&lt;6000,"3K-6K",IF(EmployeeData[[#This Row],[MonthlyIncome]]&lt;9000,"6K-9K",IF(EmployeeData[[#This Row],[MonthlyIncome]]&lt;12000,"9K-12K","12K+"))))</f>
        <v>9K-12K</v>
      </c>
    </row>
    <row r="120" spans="1:37" x14ac:dyDescent="0.3">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c r="AJ120" s="4" t="str">
        <f>IF(EmployeeData[[#This Row],[Age]]&lt;25,"Under 25",IF(EmployeeData[[#This Row],[Age]]&lt;35,"25-34",IF(EmployeeData[[#This Row],[Age]]&lt;45,"35-44",IF(EmployeeData[[#This Row],[Age]]&lt;55,"45-54","55+"))))</f>
        <v>35-44</v>
      </c>
      <c r="AK120" s="4" t="str">
        <f>IF(EmployeeData[[#This Row],[MonthlyIncome]]&lt;3000,"Below 3K",IF(EmployeeData[[#This Row],[MonthlyIncome]]&lt;6000,"3K-6K",IF(EmployeeData[[#This Row],[MonthlyIncome]]&lt;9000,"6K-9K",IF(EmployeeData[[#This Row],[MonthlyIncome]]&lt;12000,"9K-12K","12K+"))))</f>
        <v>Below 3K</v>
      </c>
    </row>
    <row r="121" spans="1:37" x14ac:dyDescent="0.3">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c r="AJ121" s="4" t="str">
        <f>IF(EmployeeData[[#This Row],[Age]]&lt;25,"Under 25",IF(EmployeeData[[#This Row],[Age]]&lt;35,"25-34",IF(EmployeeData[[#This Row],[Age]]&lt;45,"35-44",IF(EmployeeData[[#This Row],[Age]]&lt;55,"45-54","55+"))))</f>
        <v>35-44</v>
      </c>
      <c r="AK121" s="4" t="str">
        <f>IF(EmployeeData[[#This Row],[MonthlyIncome]]&lt;3000,"Below 3K",IF(EmployeeData[[#This Row],[MonthlyIncome]]&lt;6000,"3K-6K",IF(EmployeeData[[#This Row],[MonthlyIncome]]&lt;9000,"6K-9K",IF(EmployeeData[[#This Row],[MonthlyIncome]]&lt;12000,"9K-12K","12K+"))))</f>
        <v>12K+</v>
      </c>
    </row>
    <row r="122" spans="1:37" x14ac:dyDescent="0.3">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c r="AJ122" s="4" t="str">
        <f>IF(EmployeeData[[#This Row],[Age]]&lt;25,"Under 25",IF(EmployeeData[[#This Row],[Age]]&lt;35,"25-34",IF(EmployeeData[[#This Row],[Age]]&lt;45,"35-44",IF(EmployeeData[[#This Row],[Age]]&lt;55,"45-54","55+"))))</f>
        <v>25-34</v>
      </c>
      <c r="AK122" s="4" t="str">
        <f>IF(EmployeeData[[#This Row],[MonthlyIncome]]&lt;3000,"Below 3K",IF(EmployeeData[[#This Row],[MonthlyIncome]]&lt;6000,"3K-6K",IF(EmployeeData[[#This Row],[MonthlyIncome]]&lt;9000,"6K-9K",IF(EmployeeData[[#This Row],[MonthlyIncome]]&lt;12000,"9K-12K","12K+"))))</f>
        <v>Below 3K</v>
      </c>
    </row>
    <row r="123" spans="1:37" x14ac:dyDescent="0.3">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c r="AJ123" s="4" t="str">
        <f>IF(EmployeeData[[#This Row],[Age]]&lt;25,"Under 25",IF(EmployeeData[[#This Row],[Age]]&lt;35,"25-34",IF(EmployeeData[[#This Row],[Age]]&lt;45,"35-44",IF(EmployeeData[[#This Row],[Age]]&lt;55,"45-54","55+"))))</f>
        <v>25-34</v>
      </c>
      <c r="AK123" s="4" t="str">
        <f>IF(EmployeeData[[#This Row],[MonthlyIncome]]&lt;3000,"Below 3K",IF(EmployeeData[[#This Row],[MonthlyIncome]]&lt;6000,"3K-6K",IF(EmployeeData[[#This Row],[MonthlyIncome]]&lt;9000,"6K-9K",IF(EmployeeData[[#This Row],[MonthlyIncome]]&lt;12000,"9K-12K","12K+"))))</f>
        <v>6K-9K</v>
      </c>
    </row>
    <row r="124" spans="1:37" x14ac:dyDescent="0.3">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c r="AJ124" s="4" t="str">
        <f>IF(EmployeeData[[#This Row],[Age]]&lt;25,"Under 25",IF(EmployeeData[[#This Row],[Age]]&lt;35,"25-34",IF(EmployeeData[[#This Row],[Age]]&lt;45,"35-44",IF(EmployeeData[[#This Row],[Age]]&lt;55,"45-54","55+"))))</f>
        <v>55+</v>
      </c>
      <c r="AK124" s="4" t="str">
        <f>IF(EmployeeData[[#This Row],[MonthlyIncome]]&lt;3000,"Below 3K",IF(EmployeeData[[#This Row],[MonthlyIncome]]&lt;6000,"3K-6K",IF(EmployeeData[[#This Row],[MonthlyIncome]]&lt;9000,"6K-9K",IF(EmployeeData[[#This Row],[MonthlyIncome]]&lt;12000,"9K-12K","12K+"))))</f>
        <v>3K-6K</v>
      </c>
    </row>
    <row r="125" spans="1:37" x14ac:dyDescent="0.3">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c r="AJ125" s="4" t="str">
        <f>IF(EmployeeData[[#This Row],[Age]]&lt;25,"Under 25",IF(EmployeeData[[#This Row],[Age]]&lt;35,"25-34",IF(EmployeeData[[#This Row],[Age]]&lt;45,"35-44",IF(EmployeeData[[#This Row],[Age]]&lt;55,"45-54","55+"))))</f>
        <v>45-54</v>
      </c>
      <c r="AK125" s="4" t="str">
        <f>IF(EmployeeData[[#This Row],[MonthlyIncome]]&lt;3000,"Below 3K",IF(EmployeeData[[#This Row],[MonthlyIncome]]&lt;6000,"3K-6K",IF(EmployeeData[[#This Row],[MonthlyIncome]]&lt;9000,"6K-9K",IF(EmployeeData[[#This Row],[MonthlyIncome]]&lt;12000,"9K-12K","12K+"))))</f>
        <v>12K+</v>
      </c>
    </row>
    <row r="126" spans="1:37" x14ac:dyDescent="0.3">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c r="AJ126" s="4" t="str">
        <f>IF(EmployeeData[[#This Row],[Age]]&lt;25,"Under 25",IF(EmployeeData[[#This Row],[Age]]&lt;35,"25-34",IF(EmployeeData[[#This Row],[Age]]&lt;45,"35-44",IF(EmployeeData[[#This Row],[Age]]&lt;55,"45-54","55+"))))</f>
        <v>25-34</v>
      </c>
      <c r="AK126" s="4" t="str">
        <f>IF(EmployeeData[[#This Row],[MonthlyIncome]]&lt;3000,"Below 3K",IF(EmployeeData[[#This Row],[MonthlyIncome]]&lt;6000,"3K-6K",IF(EmployeeData[[#This Row],[MonthlyIncome]]&lt;9000,"6K-9K",IF(EmployeeData[[#This Row],[MonthlyIncome]]&lt;12000,"9K-12K","12K+"))))</f>
        <v>6K-9K</v>
      </c>
    </row>
    <row r="127" spans="1:37" x14ac:dyDescent="0.3">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c r="AJ127" s="4" t="str">
        <f>IF(EmployeeData[[#This Row],[Age]]&lt;25,"Under 25",IF(EmployeeData[[#This Row],[Age]]&lt;35,"25-34",IF(EmployeeData[[#This Row],[Age]]&lt;45,"35-44",IF(EmployeeData[[#This Row],[Age]]&lt;55,"45-54","55+"))))</f>
        <v>25-34</v>
      </c>
      <c r="AK127" s="4" t="str">
        <f>IF(EmployeeData[[#This Row],[MonthlyIncome]]&lt;3000,"Below 3K",IF(EmployeeData[[#This Row],[MonthlyIncome]]&lt;6000,"3K-6K",IF(EmployeeData[[#This Row],[MonthlyIncome]]&lt;9000,"6K-9K",IF(EmployeeData[[#This Row],[MonthlyIncome]]&lt;12000,"9K-12K","12K+"))))</f>
        <v>Below 3K</v>
      </c>
    </row>
    <row r="128" spans="1:37" x14ac:dyDescent="0.3">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c r="AJ128" s="4" t="str">
        <f>IF(EmployeeData[[#This Row],[Age]]&lt;25,"Under 25",IF(EmployeeData[[#This Row],[Age]]&lt;35,"25-34",IF(EmployeeData[[#This Row],[Age]]&lt;45,"35-44",IF(EmployeeData[[#This Row],[Age]]&lt;55,"45-54","55+"))))</f>
        <v>55+</v>
      </c>
      <c r="AK128" s="4" t="str">
        <f>IF(EmployeeData[[#This Row],[MonthlyIncome]]&lt;3000,"Below 3K",IF(EmployeeData[[#This Row],[MonthlyIncome]]&lt;6000,"3K-6K",IF(EmployeeData[[#This Row],[MonthlyIncome]]&lt;9000,"6K-9K",IF(EmployeeData[[#This Row],[MonthlyIncome]]&lt;12000,"9K-12K","12K+"))))</f>
        <v>9K-12K</v>
      </c>
    </row>
    <row r="129" spans="1:37" x14ac:dyDescent="0.3">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c r="AJ129" s="4" t="str">
        <f>IF(EmployeeData[[#This Row],[Age]]&lt;25,"Under 25",IF(EmployeeData[[#This Row],[Age]]&lt;35,"25-34",IF(EmployeeData[[#This Row],[Age]]&lt;45,"35-44",IF(EmployeeData[[#This Row],[Age]]&lt;55,"45-54","55+"))))</f>
        <v>Under 25</v>
      </c>
      <c r="AK129" s="4" t="str">
        <f>IF(EmployeeData[[#This Row],[MonthlyIncome]]&lt;3000,"Below 3K",IF(EmployeeData[[#This Row],[MonthlyIncome]]&lt;6000,"3K-6K",IF(EmployeeData[[#This Row],[MonthlyIncome]]&lt;9000,"6K-9K",IF(EmployeeData[[#This Row],[MonthlyIncome]]&lt;12000,"9K-12K","12K+"))))</f>
        <v>Below 3K</v>
      </c>
    </row>
    <row r="130" spans="1:37" x14ac:dyDescent="0.3">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c r="AJ130" s="4" t="str">
        <f>IF(EmployeeData[[#This Row],[Age]]&lt;25,"Under 25",IF(EmployeeData[[#This Row],[Age]]&lt;35,"25-34",IF(EmployeeData[[#This Row],[Age]]&lt;45,"35-44",IF(EmployeeData[[#This Row],[Age]]&lt;55,"45-54","55+"))))</f>
        <v>Under 25</v>
      </c>
      <c r="AK130" s="4" t="str">
        <f>IF(EmployeeData[[#This Row],[MonthlyIncome]]&lt;3000,"Below 3K",IF(EmployeeData[[#This Row],[MonthlyIncome]]&lt;6000,"3K-6K",IF(EmployeeData[[#This Row],[MonthlyIncome]]&lt;9000,"6K-9K",IF(EmployeeData[[#This Row],[MonthlyIncome]]&lt;12000,"9K-12K","12K+"))))</f>
        <v>Below 3K</v>
      </c>
    </row>
    <row r="131" spans="1:37" x14ac:dyDescent="0.3">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c r="AJ131" s="4" t="str">
        <f>IF(EmployeeData[[#This Row],[Age]]&lt;25,"Under 25",IF(EmployeeData[[#This Row],[Age]]&lt;35,"25-34",IF(EmployeeData[[#This Row],[Age]]&lt;45,"35-44",IF(EmployeeData[[#This Row],[Age]]&lt;55,"45-54","55+"))))</f>
        <v>45-54</v>
      </c>
      <c r="AK131" s="4" t="str">
        <f>IF(EmployeeData[[#This Row],[MonthlyIncome]]&lt;3000,"Below 3K",IF(EmployeeData[[#This Row],[MonthlyIncome]]&lt;6000,"3K-6K",IF(EmployeeData[[#This Row],[MonthlyIncome]]&lt;9000,"6K-9K",IF(EmployeeData[[#This Row],[MonthlyIncome]]&lt;12000,"9K-12K","12K+"))))</f>
        <v>6K-9K</v>
      </c>
    </row>
    <row r="132" spans="1:37" x14ac:dyDescent="0.3">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c r="AJ132" s="4" t="str">
        <f>IF(EmployeeData[[#This Row],[Age]]&lt;25,"Under 25",IF(EmployeeData[[#This Row],[Age]]&lt;35,"25-34",IF(EmployeeData[[#This Row],[Age]]&lt;45,"35-44",IF(EmployeeData[[#This Row],[Age]]&lt;55,"45-54","55+"))))</f>
        <v>35-44</v>
      </c>
      <c r="AK132" s="4" t="str">
        <f>IF(EmployeeData[[#This Row],[MonthlyIncome]]&lt;3000,"Below 3K",IF(EmployeeData[[#This Row],[MonthlyIncome]]&lt;6000,"3K-6K",IF(EmployeeData[[#This Row],[MonthlyIncome]]&lt;9000,"6K-9K",IF(EmployeeData[[#This Row],[MonthlyIncome]]&lt;12000,"9K-12K","12K+"))))</f>
        <v>3K-6K</v>
      </c>
    </row>
    <row r="133" spans="1:37" x14ac:dyDescent="0.3">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c r="AJ133" s="4" t="str">
        <f>IF(EmployeeData[[#This Row],[Age]]&lt;25,"Under 25",IF(EmployeeData[[#This Row],[Age]]&lt;35,"25-34",IF(EmployeeData[[#This Row],[Age]]&lt;45,"35-44",IF(EmployeeData[[#This Row],[Age]]&lt;55,"45-54","55+"))))</f>
        <v>45-54</v>
      </c>
      <c r="AK133" s="4" t="str">
        <f>IF(EmployeeData[[#This Row],[MonthlyIncome]]&lt;3000,"Below 3K",IF(EmployeeData[[#This Row],[MonthlyIncome]]&lt;6000,"3K-6K",IF(EmployeeData[[#This Row],[MonthlyIncome]]&lt;9000,"6K-9K",IF(EmployeeData[[#This Row],[MonthlyIncome]]&lt;12000,"9K-12K","12K+"))))</f>
        <v>9K-12K</v>
      </c>
    </row>
    <row r="134" spans="1:37" x14ac:dyDescent="0.3">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c r="AJ134" s="4" t="str">
        <f>IF(EmployeeData[[#This Row],[Age]]&lt;25,"Under 25",IF(EmployeeData[[#This Row],[Age]]&lt;35,"25-34",IF(EmployeeData[[#This Row],[Age]]&lt;45,"35-44",IF(EmployeeData[[#This Row],[Age]]&lt;55,"45-54","55+"))))</f>
        <v>25-34</v>
      </c>
      <c r="AK134" s="4" t="str">
        <f>IF(EmployeeData[[#This Row],[MonthlyIncome]]&lt;3000,"Below 3K",IF(EmployeeData[[#This Row],[MonthlyIncome]]&lt;6000,"3K-6K",IF(EmployeeData[[#This Row],[MonthlyIncome]]&lt;9000,"6K-9K",IF(EmployeeData[[#This Row],[MonthlyIncome]]&lt;12000,"9K-12K","12K+"))))</f>
        <v>3K-6K</v>
      </c>
    </row>
    <row r="135" spans="1:37" x14ac:dyDescent="0.3">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c r="AJ135" s="4" t="str">
        <f>IF(EmployeeData[[#This Row],[Age]]&lt;25,"Under 25",IF(EmployeeData[[#This Row],[Age]]&lt;35,"25-34",IF(EmployeeData[[#This Row],[Age]]&lt;45,"35-44",IF(EmployeeData[[#This Row],[Age]]&lt;55,"45-54","55+"))))</f>
        <v>35-44</v>
      </c>
      <c r="AK135" s="4" t="str">
        <f>IF(EmployeeData[[#This Row],[MonthlyIncome]]&lt;3000,"Below 3K",IF(EmployeeData[[#This Row],[MonthlyIncome]]&lt;6000,"3K-6K",IF(EmployeeData[[#This Row],[MonthlyIncome]]&lt;9000,"6K-9K",IF(EmployeeData[[#This Row],[MonthlyIncome]]&lt;12000,"9K-12K","12K+"))))</f>
        <v>6K-9K</v>
      </c>
    </row>
    <row r="136" spans="1:37" x14ac:dyDescent="0.3">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c r="AJ136" s="4" t="str">
        <f>IF(EmployeeData[[#This Row],[Age]]&lt;25,"Under 25",IF(EmployeeData[[#This Row],[Age]]&lt;35,"25-34",IF(EmployeeData[[#This Row],[Age]]&lt;45,"35-44",IF(EmployeeData[[#This Row],[Age]]&lt;55,"45-54","55+"))))</f>
        <v>25-34</v>
      </c>
      <c r="AK136" s="4" t="str">
        <f>IF(EmployeeData[[#This Row],[MonthlyIncome]]&lt;3000,"Below 3K",IF(EmployeeData[[#This Row],[MonthlyIncome]]&lt;6000,"3K-6K",IF(EmployeeData[[#This Row],[MonthlyIncome]]&lt;9000,"6K-9K",IF(EmployeeData[[#This Row],[MonthlyIncome]]&lt;12000,"9K-12K","12K+"))))</f>
        <v>Below 3K</v>
      </c>
    </row>
    <row r="137" spans="1:37" x14ac:dyDescent="0.3">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c r="AJ137" s="4" t="str">
        <f>IF(EmployeeData[[#This Row],[Age]]&lt;25,"Under 25",IF(EmployeeData[[#This Row],[Age]]&lt;35,"25-34",IF(EmployeeData[[#This Row],[Age]]&lt;45,"35-44",IF(EmployeeData[[#This Row],[Age]]&lt;55,"45-54","55+"))))</f>
        <v>35-44</v>
      </c>
      <c r="AK137" s="4" t="str">
        <f>IF(EmployeeData[[#This Row],[MonthlyIncome]]&lt;3000,"Below 3K",IF(EmployeeData[[#This Row],[MonthlyIncome]]&lt;6000,"3K-6K",IF(EmployeeData[[#This Row],[MonthlyIncome]]&lt;9000,"6K-9K",IF(EmployeeData[[#This Row],[MonthlyIncome]]&lt;12000,"9K-12K","12K+"))))</f>
        <v>3K-6K</v>
      </c>
    </row>
    <row r="138" spans="1:37" x14ac:dyDescent="0.3">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c r="AJ138" s="4" t="str">
        <f>IF(EmployeeData[[#This Row],[Age]]&lt;25,"Under 25",IF(EmployeeData[[#This Row],[Age]]&lt;35,"25-34",IF(EmployeeData[[#This Row],[Age]]&lt;45,"35-44",IF(EmployeeData[[#This Row],[Age]]&lt;55,"45-54","55+"))))</f>
        <v>45-54</v>
      </c>
      <c r="AK138" s="4" t="str">
        <f>IF(EmployeeData[[#This Row],[MonthlyIncome]]&lt;3000,"Below 3K",IF(EmployeeData[[#This Row],[MonthlyIncome]]&lt;6000,"3K-6K",IF(EmployeeData[[#This Row],[MonthlyIncome]]&lt;9000,"6K-9K",IF(EmployeeData[[#This Row],[MonthlyIncome]]&lt;12000,"9K-12K","12K+"))))</f>
        <v>9K-12K</v>
      </c>
    </row>
    <row r="139" spans="1:37" x14ac:dyDescent="0.3">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c r="AJ139" s="4" t="str">
        <f>IF(EmployeeData[[#This Row],[Age]]&lt;25,"Under 25",IF(EmployeeData[[#This Row],[Age]]&lt;35,"25-34",IF(EmployeeData[[#This Row],[Age]]&lt;45,"35-44",IF(EmployeeData[[#This Row],[Age]]&lt;55,"45-54","55+"))))</f>
        <v>35-44</v>
      </c>
      <c r="AK139" s="4" t="str">
        <f>IF(EmployeeData[[#This Row],[MonthlyIncome]]&lt;3000,"Below 3K",IF(EmployeeData[[#This Row],[MonthlyIncome]]&lt;6000,"3K-6K",IF(EmployeeData[[#This Row],[MonthlyIncome]]&lt;9000,"6K-9K",IF(EmployeeData[[#This Row],[MonthlyIncome]]&lt;12000,"9K-12K","12K+"))))</f>
        <v>3K-6K</v>
      </c>
    </row>
    <row r="140" spans="1:37" x14ac:dyDescent="0.3">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c r="AJ140" s="4" t="str">
        <f>IF(EmployeeData[[#This Row],[Age]]&lt;25,"Under 25",IF(EmployeeData[[#This Row],[Age]]&lt;35,"25-34",IF(EmployeeData[[#This Row],[Age]]&lt;45,"35-44",IF(EmployeeData[[#This Row],[Age]]&lt;55,"45-54","55+"))))</f>
        <v>25-34</v>
      </c>
      <c r="AK140" s="4" t="str">
        <f>IF(EmployeeData[[#This Row],[MonthlyIncome]]&lt;3000,"Below 3K",IF(EmployeeData[[#This Row],[MonthlyIncome]]&lt;6000,"3K-6K",IF(EmployeeData[[#This Row],[MonthlyIncome]]&lt;9000,"6K-9K",IF(EmployeeData[[#This Row],[MonthlyIncome]]&lt;12000,"9K-12K","12K+"))))</f>
        <v>6K-9K</v>
      </c>
    </row>
    <row r="141" spans="1:37" x14ac:dyDescent="0.3">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c r="AJ141" s="4" t="str">
        <f>IF(EmployeeData[[#This Row],[Age]]&lt;25,"Under 25",IF(EmployeeData[[#This Row],[Age]]&lt;35,"25-34",IF(EmployeeData[[#This Row],[Age]]&lt;45,"35-44",IF(EmployeeData[[#This Row],[Age]]&lt;55,"45-54","55+"))))</f>
        <v>25-34</v>
      </c>
      <c r="AK141" s="4" t="str">
        <f>IF(EmployeeData[[#This Row],[MonthlyIncome]]&lt;3000,"Below 3K",IF(EmployeeData[[#This Row],[MonthlyIncome]]&lt;6000,"3K-6K",IF(EmployeeData[[#This Row],[MonthlyIncome]]&lt;9000,"6K-9K",IF(EmployeeData[[#This Row],[MonthlyIncome]]&lt;12000,"9K-12K","12K+"))))</f>
        <v>6K-9K</v>
      </c>
    </row>
    <row r="142" spans="1:37" x14ac:dyDescent="0.3">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c r="AJ142" s="4" t="str">
        <f>IF(EmployeeData[[#This Row],[Age]]&lt;25,"Under 25",IF(EmployeeData[[#This Row],[Age]]&lt;35,"25-34",IF(EmployeeData[[#This Row],[Age]]&lt;45,"35-44",IF(EmployeeData[[#This Row],[Age]]&lt;55,"45-54","55+"))))</f>
        <v>25-34</v>
      </c>
      <c r="AK142" s="4" t="str">
        <f>IF(EmployeeData[[#This Row],[MonthlyIncome]]&lt;3000,"Below 3K",IF(EmployeeData[[#This Row],[MonthlyIncome]]&lt;6000,"3K-6K",IF(EmployeeData[[#This Row],[MonthlyIncome]]&lt;9000,"6K-9K",IF(EmployeeData[[#This Row],[MonthlyIncome]]&lt;12000,"9K-12K","12K+"))))</f>
        <v>3K-6K</v>
      </c>
    </row>
    <row r="143" spans="1:37" x14ac:dyDescent="0.3">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c r="AJ143" s="4" t="str">
        <f>IF(EmployeeData[[#This Row],[Age]]&lt;25,"Under 25",IF(EmployeeData[[#This Row],[Age]]&lt;35,"25-34",IF(EmployeeData[[#This Row],[Age]]&lt;45,"35-44",IF(EmployeeData[[#This Row],[Age]]&lt;55,"45-54","55+"))))</f>
        <v>45-54</v>
      </c>
      <c r="AK143" s="4" t="str">
        <f>IF(EmployeeData[[#This Row],[MonthlyIncome]]&lt;3000,"Below 3K",IF(EmployeeData[[#This Row],[MonthlyIncome]]&lt;6000,"3K-6K",IF(EmployeeData[[#This Row],[MonthlyIncome]]&lt;9000,"6K-9K",IF(EmployeeData[[#This Row],[MonthlyIncome]]&lt;12000,"9K-12K","12K+"))))</f>
        <v>3K-6K</v>
      </c>
    </row>
    <row r="144" spans="1:37" x14ac:dyDescent="0.3">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c r="AJ144" s="4" t="str">
        <f>IF(EmployeeData[[#This Row],[Age]]&lt;25,"Under 25",IF(EmployeeData[[#This Row],[Age]]&lt;35,"25-34",IF(EmployeeData[[#This Row],[Age]]&lt;45,"35-44",IF(EmployeeData[[#This Row],[Age]]&lt;55,"45-54","55+"))))</f>
        <v>35-44</v>
      </c>
      <c r="AK144" s="4" t="str">
        <f>IF(EmployeeData[[#This Row],[MonthlyIncome]]&lt;3000,"Below 3K",IF(EmployeeData[[#This Row],[MonthlyIncome]]&lt;6000,"3K-6K",IF(EmployeeData[[#This Row],[MonthlyIncome]]&lt;9000,"6K-9K",IF(EmployeeData[[#This Row],[MonthlyIncome]]&lt;12000,"9K-12K","12K+"))))</f>
        <v>3K-6K</v>
      </c>
    </row>
    <row r="145" spans="1:37" x14ac:dyDescent="0.3">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c r="AJ145" s="4" t="str">
        <f>IF(EmployeeData[[#This Row],[Age]]&lt;25,"Under 25",IF(EmployeeData[[#This Row],[Age]]&lt;35,"25-34",IF(EmployeeData[[#This Row],[Age]]&lt;45,"35-44",IF(EmployeeData[[#This Row],[Age]]&lt;55,"45-54","55+"))))</f>
        <v>25-34</v>
      </c>
      <c r="AK145" s="4" t="str">
        <f>IF(EmployeeData[[#This Row],[MonthlyIncome]]&lt;3000,"Below 3K",IF(EmployeeData[[#This Row],[MonthlyIncome]]&lt;6000,"3K-6K",IF(EmployeeData[[#This Row],[MonthlyIncome]]&lt;9000,"6K-9K",IF(EmployeeData[[#This Row],[MonthlyIncome]]&lt;12000,"9K-12K","12K+"))))</f>
        <v>Below 3K</v>
      </c>
    </row>
    <row r="146" spans="1:37" x14ac:dyDescent="0.3">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c r="AJ146" s="4" t="str">
        <f>IF(EmployeeData[[#This Row],[Age]]&lt;25,"Under 25",IF(EmployeeData[[#This Row],[Age]]&lt;35,"25-34",IF(EmployeeData[[#This Row],[Age]]&lt;45,"35-44",IF(EmployeeData[[#This Row],[Age]]&lt;55,"45-54","55+"))))</f>
        <v>25-34</v>
      </c>
      <c r="AK146" s="4" t="str">
        <f>IF(EmployeeData[[#This Row],[MonthlyIncome]]&lt;3000,"Below 3K",IF(EmployeeData[[#This Row],[MonthlyIncome]]&lt;6000,"3K-6K",IF(EmployeeData[[#This Row],[MonthlyIncome]]&lt;9000,"6K-9K",IF(EmployeeData[[#This Row],[MonthlyIncome]]&lt;12000,"9K-12K","12K+"))))</f>
        <v>3K-6K</v>
      </c>
    </row>
    <row r="147" spans="1:37" x14ac:dyDescent="0.3">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c r="AJ147" s="4" t="str">
        <f>IF(EmployeeData[[#This Row],[Age]]&lt;25,"Under 25",IF(EmployeeData[[#This Row],[Age]]&lt;35,"25-34",IF(EmployeeData[[#This Row],[Age]]&lt;45,"35-44",IF(EmployeeData[[#This Row],[Age]]&lt;55,"45-54","55+"))))</f>
        <v>25-34</v>
      </c>
      <c r="AK147" s="4" t="str">
        <f>IF(EmployeeData[[#This Row],[MonthlyIncome]]&lt;3000,"Below 3K",IF(EmployeeData[[#This Row],[MonthlyIncome]]&lt;6000,"3K-6K",IF(EmployeeData[[#This Row],[MonthlyIncome]]&lt;9000,"6K-9K",IF(EmployeeData[[#This Row],[MonthlyIncome]]&lt;12000,"9K-12K","12K+"))))</f>
        <v>3K-6K</v>
      </c>
    </row>
    <row r="148" spans="1:37" x14ac:dyDescent="0.3">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c r="AJ148" s="4" t="str">
        <f>IF(EmployeeData[[#This Row],[Age]]&lt;25,"Under 25",IF(EmployeeData[[#This Row],[Age]]&lt;35,"25-34",IF(EmployeeData[[#This Row],[Age]]&lt;45,"35-44",IF(EmployeeData[[#This Row],[Age]]&lt;55,"45-54","55+"))))</f>
        <v>25-34</v>
      </c>
      <c r="AK148" s="4" t="str">
        <f>IF(EmployeeData[[#This Row],[MonthlyIncome]]&lt;3000,"Below 3K",IF(EmployeeData[[#This Row],[MonthlyIncome]]&lt;6000,"3K-6K",IF(EmployeeData[[#This Row],[MonthlyIncome]]&lt;9000,"6K-9K",IF(EmployeeData[[#This Row],[MonthlyIncome]]&lt;12000,"9K-12K","12K+"))))</f>
        <v>Below 3K</v>
      </c>
    </row>
    <row r="149" spans="1:37" x14ac:dyDescent="0.3">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c r="AJ149" s="4" t="str">
        <f>IF(EmployeeData[[#This Row],[Age]]&lt;25,"Under 25",IF(EmployeeData[[#This Row],[Age]]&lt;35,"25-34",IF(EmployeeData[[#This Row],[Age]]&lt;45,"35-44",IF(EmployeeData[[#This Row],[Age]]&lt;55,"45-54","55+"))))</f>
        <v>35-44</v>
      </c>
      <c r="AK149" s="4" t="str">
        <f>IF(EmployeeData[[#This Row],[MonthlyIncome]]&lt;3000,"Below 3K",IF(EmployeeData[[#This Row],[MonthlyIncome]]&lt;6000,"3K-6K",IF(EmployeeData[[#This Row],[MonthlyIncome]]&lt;9000,"6K-9K",IF(EmployeeData[[#This Row],[MonthlyIncome]]&lt;12000,"9K-12K","12K+"))))</f>
        <v>12K+</v>
      </c>
    </row>
    <row r="150" spans="1:37" x14ac:dyDescent="0.3">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c r="AJ150" s="4" t="str">
        <f>IF(EmployeeData[[#This Row],[Age]]&lt;25,"Under 25",IF(EmployeeData[[#This Row],[Age]]&lt;35,"25-34",IF(EmployeeData[[#This Row],[Age]]&lt;45,"35-44",IF(EmployeeData[[#This Row],[Age]]&lt;55,"45-54","55+"))))</f>
        <v>35-44</v>
      </c>
      <c r="AK150" s="4" t="str">
        <f>IF(EmployeeData[[#This Row],[MonthlyIncome]]&lt;3000,"Below 3K",IF(EmployeeData[[#This Row],[MonthlyIncome]]&lt;6000,"3K-6K",IF(EmployeeData[[#This Row],[MonthlyIncome]]&lt;9000,"6K-9K",IF(EmployeeData[[#This Row],[MonthlyIncome]]&lt;12000,"9K-12K","12K+"))))</f>
        <v>Below 3K</v>
      </c>
    </row>
    <row r="151" spans="1:37" x14ac:dyDescent="0.3">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c r="AJ151" s="4" t="str">
        <f>IF(EmployeeData[[#This Row],[Age]]&lt;25,"Under 25",IF(EmployeeData[[#This Row],[Age]]&lt;35,"25-34",IF(EmployeeData[[#This Row],[Age]]&lt;45,"35-44",IF(EmployeeData[[#This Row],[Age]]&lt;55,"45-54","55+"))))</f>
        <v>Under 25</v>
      </c>
      <c r="AK151" s="4" t="str">
        <f>IF(EmployeeData[[#This Row],[MonthlyIncome]]&lt;3000,"Below 3K",IF(EmployeeData[[#This Row],[MonthlyIncome]]&lt;6000,"3K-6K",IF(EmployeeData[[#This Row],[MonthlyIncome]]&lt;9000,"6K-9K",IF(EmployeeData[[#This Row],[MonthlyIncome]]&lt;12000,"9K-12K","12K+"))))</f>
        <v>Below 3K</v>
      </c>
    </row>
    <row r="152" spans="1:37" x14ac:dyDescent="0.3">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c r="AJ152" s="4" t="str">
        <f>IF(EmployeeData[[#This Row],[Age]]&lt;25,"Under 25",IF(EmployeeData[[#This Row],[Age]]&lt;35,"25-34",IF(EmployeeData[[#This Row],[Age]]&lt;45,"35-44",IF(EmployeeData[[#This Row],[Age]]&lt;55,"45-54","55+"))))</f>
        <v>35-44</v>
      </c>
      <c r="AK152" s="4" t="str">
        <f>IF(EmployeeData[[#This Row],[MonthlyIncome]]&lt;3000,"Below 3K",IF(EmployeeData[[#This Row],[MonthlyIncome]]&lt;6000,"3K-6K",IF(EmployeeData[[#This Row],[MonthlyIncome]]&lt;9000,"6K-9K",IF(EmployeeData[[#This Row],[MonthlyIncome]]&lt;12000,"9K-12K","12K+"))))</f>
        <v>3K-6K</v>
      </c>
    </row>
    <row r="153" spans="1:37" x14ac:dyDescent="0.3">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c r="AJ153" s="4" t="str">
        <f>IF(EmployeeData[[#This Row],[Age]]&lt;25,"Under 25",IF(EmployeeData[[#This Row],[Age]]&lt;35,"25-34",IF(EmployeeData[[#This Row],[Age]]&lt;45,"35-44",IF(EmployeeData[[#This Row],[Age]]&lt;55,"45-54","55+"))))</f>
        <v>35-44</v>
      </c>
      <c r="AK153" s="4" t="str">
        <f>IF(EmployeeData[[#This Row],[MonthlyIncome]]&lt;3000,"Below 3K",IF(EmployeeData[[#This Row],[MonthlyIncome]]&lt;6000,"3K-6K",IF(EmployeeData[[#This Row],[MonthlyIncome]]&lt;9000,"6K-9K",IF(EmployeeData[[#This Row],[MonthlyIncome]]&lt;12000,"9K-12K","12K+"))))</f>
        <v>6K-9K</v>
      </c>
    </row>
    <row r="154" spans="1:37" x14ac:dyDescent="0.3">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c r="AJ154" s="4" t="str">
        <f>IF(EmployeeData[[#This Row],[Age]]&lt;25,"Under 25",IF(EmployeeData[[#This Row],[Age]]&lt;35,"25-34",IF(EmployeeData[[#This Row],[Age]]&lt;45,"35-44",IF(EmployeeData[[#This Row],[Age]]&lt;55,"45-54","55+"))))</f>
        <v>45-54</v>
      </c>
      <c r="AK154" s="4" t="str">
        <f>IF(EmployeeData[[#This Row],[MonthlyIncome]]&lt;3000,"Below 3K",IF(EmployeeData[[#This Row],[MonthlyIncome]]&lt;6000,"3K-6K",IF(EmployeeData[[#This Row],[MonthlyIncome]]&lt;9000,"6K-9K",IF(EmployeeData[[#This Row],[MonthlyIncome]]&lt;12000,"9K-12K","12K+"))))</f>
        <v>Below 3K</v>
      </c>
    </row>
    <row r="155" spans="1:37" x14ac:dyDescent="0.3">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c r="AJ155" s="4" t="str">
        <f>IF(EmployeeData[[#This Row],[Age]]&lt;25,"Under 25",IF(EmployeeData[[#This Row],[Age]]&lt;35,"25-34",IF(EmployeeData[[#This Row],[Age]]&lt;45,"35-44",IF(EmployeeData[[#This Row],[Age]]&lt;55,"45-54","55+"))))</f>
        <v>45-54</v>
      </c>
      <c r="AK155" s="4" t="str">
        <f>IF(EmployeeData[[#This Row],[MonthlyIncome]]&lt;3000,"Below 3K",IF(EmployeeData[[#This Row],[MonthlyIncome]]&lt;6000,"3K-6K",IF(EmployeeData[[#This Row],[MonthlyIncome]]&lt;9000,"6K-9K",IF(EmployeeData[[#This Row],[MonthlyIncome]]&lt;12000,"9K-12K","12K+"))))</f>
        <v>Below 3K</v>
      </c>
    </row>
    <row r="156" spans="1:37" x14ac:dyDescent="0.3">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c r="AJ156" s="4" t="str">
        <f>IF(EmployeeData[[#This Row],[Age]]&lt;25,"Under 25",IF(EmployeeData[[#This Row],[Age]]&lt;35,"25-34",IF(EmployeeData[[#This Row],[Age]]&lt;45,"35-44",IF(EmployeeData[[#This Row],[Age]]&lt;55,"45-54","55+"))))</f>
        <v>25-34</v>
      </c>
      <c r="AK156" s="4" t="str">
        <f>IF(EmployeeData[[#This Row],[MonthlyIncome]]&lt;3000,"Below 3K",IF(EmployeeData[[#This Row],[MonthlyIncome]]&lt;6000,"3K-6K",IF(EmployeeData[[#This Row],[MonthlyIncome]]&lt;9000,"6K-9K",IF(EmployeeData[[#This Row],[MonthlyIncome]]&lt;12000,"9K-12K","12K+"))))</f>
        <v>6K-9K</v>
      </c>
    </row>
    <row r="157" spans="1:37" x14ac:dyDescent="0.3">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c r="AJ157" s="4" t="str">
        <f>IF(EmployeeData[[#This Row],[Age]]&lt;25,"Under 25",IF(EmployeeData[[#This Row],[Age]]&lt;35,"25-34",IF(EmployeeData[[#This Row],[Age]]&lt;45,"35-44",IF(EmployeeData[[#This Row],[Age]]&lt;55,"45-54","55+"))))</f>
        <v>25-34</v>
      </c>
      <c r="AK157" s="4" t="str">
        <f>IF(EmployeeData[[#This Row],[MonthlyIncome]]&lt;3000,"Below 3K",IF(EmployeeData[[#This Row],[MonthlyIncome]]&lt;6000,"3K-6K",IF(EmployeeData[[#This Row],[MonthlyIncome]]&lt;9000,"6K-9K",IF(EmployeeData[[#This Row],[MonthlyIncome]]&lt;12000,"9K-12K","12K+"))))</f>
        <v>3K-6K</v>
      </c>
    </row>
    <row r="158" spans="1:37" x14ac:dyDescent="0.3">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c r="AJ158" s="4" t="str">
        <f>IF(EmployeeData[[#This Row],[Age]]&lt;25,"Under 25",IF(EmployeeData[[#This Row],[Age]]&lt;35,"25-34",IF(EmployeeData[[#This Row],[Age]]&lt;45,"35-44",IF(EmployeeData[[#This Row],[Age]]&lt;55,"45-54","55+"))))</f>
        <v>45-54</v>
      </c>
      <c r="AK158" s="4" t="str">
        <f>IF(EmployeeData[[#This Row],[MonthlyIncome]]&lt;3000,"Below 3K",IF(EmployeeData[[#This Row],[MonthlyIncome]]&lt;6000,"3K-6K",IF(EmployeeData[[#This Row],[MonthlyIncome]]&lt;9000,"6K-9K",IF(EmployeeData[[#This Row],[MonthlyIncome]]&lt;12000,"9K-12K","12K+"))))</f>
        <v>6K-9K</v>
      </c>
    </row>
    <row r="159" spans="1:37" x14ac:dyDescent="0.3">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c r="AJ159" s="4" t="str">
        <f>IF(EmployeeData[[#This Row],[Age]]&lt;25,"Under 25",IF(EmployeeData[[#This Row],[Age]]&lt;35,"25-34",IF(EmployeeData[[#This Row],[Age]]&lt;45,"35-44",IF(EmployeeData[[#This Row],[Age]]&lt;55,"45-54","55+"))))</f>
        <v>55+</v>
      </c>
      <c r="AK159" s="4" t="str">
        <f>IF(EmployeeData[[#This Row],[MonthlyIncome]]&lt;3000,"Below 3K",IF(EmployeeData[[#This Row],[MonthlyIncome]]&lt;6000,"3K-6K",IF(EmployeeData[[#This Row],[MonthlyIncome]]&lt;9000,"6K-9K",IF(EmployeeData[[#This Row],[MonthlyIncome]]&lt;12000,"9K-12K","12K+"))))</f>
        <v>3K-6K</v>
      </c>
    </row>
    <row r="160" spans="1:37" x14ac:dyDescent="0.3">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c r="AJ160" s="4" t="str">
        <f>IF(EmployeeData[[#This Row],[Age]]&lt;25,"Under 25",IF(EmployeeData[[#This Row],[Age]]&lt;35,"25-34",IF(EmployeeData[[#This Row],[Age]]&lt;45,"35-44",IF(EmployeeData[[#This Row],[Age]]&lt;55,"45-54","55+"))))</f>
        <v>35-44</v>
      </c>
      <c r="AK160" s="4" t="str">
        <f>IF(EmployeeData[[#This Row],[MonthlyIncome]]&lt;3000,"Below 3K",IF(EmployeeData[[#This Row],[MonthlyIncome]]&lt;6000,"3K-6K",IF(EmployeeData[[#This Row],[MonthlyIncome]]&lt;9000,"6K-9K",IF(EmployeeData[[#This Row],[MonthlyIncome]]&lt;12000,"9K-12K","12K+"))))</f>
        <v>9K-12K</v>
      </c>
    </row>
    <row r="161" spans="1:37" x14ac:dyDescent="0.3">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c r="AJ161" s="4" t="str">
        <f>IF(EmployeeData[[#This Row],[Age]]&lt;25,"Under 25",IF(EmployeeData[[#This Row],[Age]]&lt;35,"25-34",IF(EmployeeData[[#This Row],[Age]]&lt;45,"35-44",IF(EmployeeData[[#This Row],[Age]]&lt;55,"45-54","55+"))))</f>
        <v>25-34</v>
      </c>
      <c r="AK161" s="4" t="str">
        <f>IF(EmployeeData[[#This Row],[MonthlyIncome]]&lt;3000,"Below 3K",IF(EmployeeData[[#This Row],[MonthlyIncome]]&lt;6000,"3K-6K",IF(EmployeeData[[#This Row],[MonthlyIncome]]&lt;9000,"6K-9K",IF(EmployeeData[[#This Row],[MonthlyIncome]]&lt;12000,"9K-12K","12K+"))))</f>
        <v>Below 3K</v>
      </c>
    </row>
    <row r="162" spans="1:37" x14ac:dyDescent="0.3">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c r="AJ162" s="4" t="str">
        <f>IF(EmployeeData[[#This Row],[Age]]&lt;25,"Under 25",IF(EmployeeData[[#This Row],[Age]]&lt;35,"25-34",IF(EmployeeData[[#This Row],[Age]]&lt;45,"35-44",IF(EmployeeData[[#This Row],[Age]]&lt;55,"45-54","55+"))))</f>
        <v>Under 25</v>
      </c>
      <c r="AK162" s="4" t="str">
        <f>IF(EmployeeData[[#This Row],[MonthlyIncome]]&lt;3000,"Below 3K",IF(EmployeeData[[#This Row],[MonthlyIncome]]&lt;6000,"3K-6K",IF(EmployeeData[[#This Row],[MonthlyIncome]]&lt;9000,"6K-9K",IF(EmployeeData[[#This Row],[MonthlyIncome]]&lt;12000,"9K-12K","12K+"))))</f>
        <v>Below 3K</v>
      </c>
    </row>
    <row r="163" spans="1:37" x14ac:dyDescent="0.3">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c r="AJ163" s="4" t="str">
        <f>IF(EmployeeData[[#This Row],[Age]]&lt;25,"Under 25",IF(EmployeeData[[#This Row],[Age]]&lt;35,"25-34",IF(EmployeeData[[#This Row],[Age]]&lt;45,"35-44",IF(EmployeeData[[#This Row],[Age]]&lt;55,"45-54","55+"))))</f>
        <v>25-34</v>
      </c>
      <c r="AK163" s="4" t="str">
        <f>IF(EmployeeData[[#This Row],[MonthlyIncome]]&lt;3000,"Below 3K",IF(EmployeeData[[#This Row],[MonthlyIncome]]&lt;6000,"3K-6K",IF(EmployeeData[[#This Row],[MonthlyIncome]]&lt;9000,"6K-9K",IF(EmployeeData[[#This Row],[MonthlyIncome]]&lt;12000,"9K-12K","12K+"))))</f>
        <v>Below 3K</v>
      </c>
    </row>
    <row r="164" spans="1:37" x14ac:dyDescent="0.3">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c r="AJ164" s="4" t="str">
        <f>IF(EmployeeData[[#This Row],[Age]]&lt;25,"Under 25",IF(EmployeeData[[#This Row],[Age]]&lt;35,"25-34",IF(EmployeeData[[#This Row],[Age]]&lt;45,"35-44",IF(EmployeeData[[#This Row],[Age]]&lt;55,"45-54","55+"))))</f>
        <v>25-34</v>
      </c>
      <c r="AK164" s="4" t="str">
        <f>IF(EmployeeData[[#This Row],[MonthlyIncome]]&lt;3000,"Below 3K",IF(EmployeeData[[#This Row],[MonthlyIncome]]&lt;6000,"3K-6K",IF(EmployeeData[[#This Row],[MonthlyIncome]]&lt;9000,"6K-9K",IF(EmployeeData[[#This Row],[MonthlyIncome]]&lt;12000,"9K-12K","12K+"))))</f>
        <v>Below 3K</v>
      </c>
    </row>
    <row r="165" spans="1:37" x14ac:dyDescent="0.3">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c r="AJ165" s="4" t="str">
        <f>IF(EmployeeData[[#This Row],[Age]]&lt;25,"Under 25",IF(EmployeeData[[#This Row],[Age]]&lt;35,"25-34",IF(EmployeeData[[#This Row],[Age]]&lt;45,"35-44",IF(EmployeeData[[#This Row],[Age]]&lt;55,"45-54","55+"))))</f>
        <v>55+</v>
      </c>
      <c r="AK165" s="4" t="str">
        <f>IF(EmployeeData[[#This Row],[MonthlyIncome]]&lt;3000,"Below 3K",IF(EmployeeData[[#This Row],[MonthlyIncome]]&lt;6000,"3K-6K",IF(EmployeeData[[#This Row],[MonthlyIncome]]&lt;9000,"6K-9K",IF(EmployeeData[[#This Row],[MonthlyIncome]]&lt;12000,"9K-12K","12K+"))))</f>
        <v>9K-12K</v>
      </c>
    </row>
    <row r="166" spans="1:37" x14ac:dyDescent="0.3">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c r="AJ166" s="4" t="str">
        <f>IF(EmployeeData[[#This Row],[Age]]&lt;25,"Under 25",IF(EmployeeData[[#This Row],[Age]]&lt;35,"25-34",IF(EmployeeData[[#This Row],[Age]]&lt;45,"35-44",IF(EmployeeData[[#This Row],[Age]]&lt;55,"45-54","55+"))))</f>
        <v>25-34</v>
      </c>
      <c r="AK166" s="4" t="str">
        <f>IF(EmployeeData[[#This Row],[MonthlyIncome]]&lt;3000,"Below 3K",IF(EmployeeData[[#This Row],[MonthlyIncome]]&lt;6000,"3K-6K",IF(EmployeeData[[#This Row],[MonthlyIncome]]&lt;9000,"6K-9K",IF(EmployeeData[[#This Row],[MonthlyIncome]]&lt;12000,"9K-12K","12K+"))))</f>
        <v>Below 3K</v>
      </c>
    </row>
    <row r="167" spans="1:37" x14ac:dyDescent="0.3">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c r="AJ167" s="4" t="str">
        <f>IF(EmployeeData[[#This Row],[Age]]&lt;25,"Under 25",IF(EmployeeData[[#This Row],[Age]]&lt;35,"25-34",IF(EmployeeData[[#This Row],[Age]]&lt;45,"35-44",IF(EmployeeData[[#This Row],[Age]]&lt;55,"45-54","55+"))))</f>
        <v>45-54</v>
      </c>
      <c r="AK167" s="4" t="str">
        <f>IF(EmployeeData[[#This Row],[MonthlyIncome]]&lt;3000,"Below 3K",IF(EmployeeData[[#This Row],[MonthlyIncome]]&lt;6000,"3K-6K",IF(EmployeeData[[#This Row],[MonthlyIncome]]&lt;9000,"6K-9K",IF(EmployeeData[[#This Row],[MonthlyIncome]]&lt;12000,"9K-12K","12K+"))))</f>
        <v>12K+</v>
      </c>
    </row>
    <row r="168" spans="1:37" x14ac:dyDescent="0.3">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c r="AJ168" s="4" t="str">
        <f>IF(EmployeeData[[#This Row],[Age]]&lt;25,"Under 25",IF(EmployeeData[[#This Row],[Age]]&lt;35,"25-34",IF(EmployeeData[[#This Row],[Age]]&lt;45,"35-44",IF(EmployeeData[[#This Row],[Age]]&lt;55,"45-54","55+"))))</f>
        <v>35-44</v>
      </c>
      <c r="AK168" s="4" t="str">
        <f>IF(EmployeeData[[#This Row],[MonthlyIncome]]&lt;3000,"Below 3K",IF(EmployeeData[[#This Row],[MonthlyIncome]]&lt;6000,"3K-6K",IF(EmployeeData[[#This Row],[MonthlyIncome]]&lt;9000,"6K-9K",IF(EmployeeData[[#This Row],[MonthlyIncome]]&lt;12000,"9K-12K","12K+"))))</f>
        <v>Below 3K</v>
      </c>
    </row>
    <row r="169" spans="1:37" x14ac:dyDescent="0.3">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c r="AJ169" s="4" t="str">
        <f>IF(EmployeeData[[#This Row],[Age]]&lt;25,"Under 25",IF(EmployeeData[[#This Row],[Age]]&lt;35,"25-34",IF(EmployeeData[[#This Row],[Age]]&lt;45,"35-44",IF(EmployeeData[[#This Row],[Age]]&lt;55,"45-54","55+"))))</f>
        <v>25-34</v>
      </c>
      <c r="AK169" s="4" t="str">
        <f>IF(EmployeeData[[#This Row],[MonthlyIncome]]&lt;3000,"Below 3K",IF(EmployeeData[[#This Row],[MonthlyIncome]]&lt;6000,"3K-6K",IF(EmployeeData[[#This Row],[MonthlyIncome]]&lt;9000,"6K-9K",IF(EmployeeData[[#This Row],[MonthlyIncome]]&lt;12000,"9K-12K","12K+"))))</f>
        <v>9K-12K</v>
      </c>
    </row>
    <row r="170" spans="1:37" x14ac:dyDescent="0.3">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c r="AJ170" s="4" t="str">
        <f>IF(EmployeeData[[#This Row],[Age]]&lt;25,"Under 25",IF(EmployeeData[[#This Row],[Age]]&lt;35,"25-34",IF(EmployeeData[[#This Row],[Age]]&lt;45,"35-44",IF(EmployeeData[[#This Row],[Age]]&lt;55,"45-54","55+"))))</f>
        <v>35-44</v>
      </c>
      <c r="AK170" s="4" t="str">
        <f>IF(EmployeeData[[#This Row],[MonthlyIncome]]&lt;3000,"Below 3K",IF(EmployeeData[[#This Row],[MonthlyIncome]]&lt;6000,"3K-6K",IF(EmployeeData[[#This Row],[MonthlyIncome]]&lt;9000,"6K-9K",IF(EmployeeData[[#This Row],[MonthlyIncome]]&lt;12000,"9K-12K","12K+"))))</f>
        <v>6K-9K</v>
      </c>
    </row>
    <row r="171" spans="1:37" x14ac:dyDescent="0.3">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c r="AJ171" s="4" t="str">
        <f>IF(EmployeeData[[#This Row],[Age]]&lt;25,"Under 25",IF(EmployeeData[[#This Row],[Age]]&lt;35,"25-34",IF(EmployeeData[[#This Row],[Age]]&lt;45,"35-44",IF(EmployeeData[[#This Row],[Age]]&lt;55,"45-54","55+"))))</f>
        <v>25-34</v>
      </c>
      <c r="AK171" s="4" t="str">
        <f>IF(EmployeeData[[#This Row],[MonthlyIncome]]&lt;3000,"Below 3K",IF(EmployeeData[[#This Row],[MonthlyIncome]]&lt;6000,"3K-6K",IF(EmployeeData[[#This Row],[MonthlyIncome]]&lt;9000,"6K-9K",IF(EmployeeData[[#This Row],[MonthlyIncome]]&lt;12000,"9K-12K","12K+"))))</f>
        <v>3K-6K</v>
      </c>
    </row>
    <row r="172" spans="1:37" x14ac:dyDescent="0.3">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c r="AJ172" s="4" t="str">
        <f>IF(EmployeeData[[#This Row],[Age]]&lt;25,"Under 25",IF(EmployeeData[[#This Row],[Age]]&lt;35,"25-34",IF(EmployeeData[[#This Row],[Age]]&lt;45,"35-44",IF(EmployeeData[[#This Row],[Age]]&lt;55,"45-54","55+"))))</f>
        <v>25-34</v>
      </c>
      <c r="AK172" s="4" t="str">
        <f>IF(EmployeeData[[#This Row],[MonthlyIncome]]&lt;3000,"Below 3K",IF(EmployeeData[[#This Row],[MonthlyIncome]]&lt;6000,"3K-6K",IF(EmployeeData[[#This Row],[MonthlyIncome]]&lt;9000,"6K-9K",IF(EmployeeData[[#This Row],[MonthlyIncome]]&lt;12000,"9K-12K","12K+"))))</f>
        <v>3K-6K</v>
      </c>
    </row>
    <row r="173" spans="1:37" x14ac:dyDescent="0.3">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c r="AJ173" s="4" t="str">
        <f>IF(EmployeeData[[#This Row],[Age]]&lt;25,"Under 25",IF(EmployeeData[[#This Row],[Age]]&lt;35,"25-34",IF(EmployeeData[[#This Row],[Age]]&lt;45,"35-44",IF(EmployeeData[[#This Row],[Age]]&lt;55,"45-54","55+"))))</f>
        <v>Under 25</v>
      </c>
      <c r="AK173" s="4" t="str">
        <f>IF(EmployeeData[[#This Row],[MonthlyIncome]]&lt;3000,"Below 3K",IF(EmployeeData[[#This Row],[MonthlyIncome]]&lt;6000,"3K-6K",IF(EmployeeData[[#This Row],[MonthlyIncome]]&lt;9000,"6K-9K",IF(EmployeeData[[#This Row],[MonthlyIncome]]&lt;12000,"9K-12K","12K+"))))</f>
        <v>Below 3K</v>
      </c>
    </row>
    <row r="174" spans="1:37" x14ac:dyDescent="0.3">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c r="AJ174" s="4" t="str">
        <f>IF(EmployeeData[[#This Row],[Age]]&lt;25,"Under 25",IF(EmployeeData[[#This Row],[Age]]&lt;35,"25-34",IF(EmployeeData[[#This Row],[Age]]&lt;45,"35-44",IF(EmployeeData[[#This Row],[Age]]&lt;55,"45-54","55+"))))</f>
        <v>35-44</v>
      </c>
      <c r="AK174" s="4" t="str">
        <f>IF(EmployeeData[[#This Row],[MonthlyIncome]]&lt;3000,"Below 3K",IF(EmployeeData[[#This Row],[MonthlyIncome]]&lt;6000,"3K-6K",IF(EmployeeData[[#This Row],[MonthlyIncome]]&lt;9000,"6K-9K",IF(EmployeeData[[#This Row],[MonthlyIncome]]&lt;12000,"9K-12K","12K+"))))</f>
        <v>Below 3K</v>
      </c>
    </row>
    <row r="175" spans="1:37" x14ac:dyDescent="0.3">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c r="AJ175" s="4" t="str">
        <f>IF(EmployeeData[[#This Row],[Age]]&lt;25,"Under 25",IF(EmployeeData[[#This Row],[Age]]&lt;35,"25-34",IF(EmployeeData[[#This Row],[Age]]&lt;45,"35-44",IF(EmployeeData[[#This Row],[Age]]&lt;55,"45-54","55+"))))</f>
        <v>25-34</v>
      </c>
      <c r="AK175" s="4" t="str">
        <f>IF(EmployeeData[[#This Row],[MonthlyIncome]]&lt;3000,"Below 3K",IF(EmployeeData[[#This Row],[MonthlyIncome]]&lt;6000,"3K-6K",IF(EmployeeData[[#This Row],[MonthlyIncome]]&lt;9000,"6K-9K",IF(EmployeeData[[#This Row],[MonthlyIncome]]&lt;12000,"9K-12K","12K+"))))</f>
        <v>3K-6K</v>
      </c>
    </row>
    <row r="176" spans="1:37" x14ac:dyDescent="0.3">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c r="AJ176" s="4" t="str">
        <f>IF(EmployeeData[[#This Row],[Age]]&lt;25,"Under 25",IF(EmployeeData[[#This Row],[Age]]&lt;35,"25-34",IF(EmployeeData[[#This Row],[Age]]&lt;45,"35-44",IF(EmployeeData[[#This Row],[Age]]&lt;55,"45-54","55+"))))</f>
        <v>45-54</v>
      </c>
      <c r="AK176" s="4" t="str">
        <f>IF(EmployeeData[[#This Row],[MonthlyIncome]]&lt;3000,"Below 3K",IF(EmployeeData[[#This Row],[MonthlyIncome]]&lt;6000,"3K-6K",IF(EmployeeData[[#This Row],[MonthlyIncome]]&lt;9000,"6K-9K",IF(EmployeeData[[#This Row],[MonthlyIncome]]&lt;12000,"9K-12K","12K+"))))</f>
        <v>3K-6K</v>
      </c>
    </row>
    <row r="177" spans="1:37" x14ac:dyDescent="0.3">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c r="AJ177" s="4" t="str">
        <f>IF(EmployeeData[[#This Row],[Age]]&lt;25,"Under 25",IF(EmployeeData[[#This Row],[Age]]&lt;35,"25-34",IF(EmployeeData[[#This Row],[Age]]&lt;45,"35-44",IF(EmployeeData[[#This Row],[Age]]&lt;55,"45-54","55+"))))</f>
        <v>55+</v>
      </c>
      <c r="AK177" s="4" t="str">
        <f>IF(EmployeeData[[#This Row],[MonthlyIncome]]&lt;3000,"Below 3K",IF(EmployeeData[[#This Row],[MonthlyIncome]]&lt;6000,"3K-6K",IF(EmployeeData[[#This Row],[MonthlyIncome]]&lt;9000,"6K-9K",IF(EmployeeData[[#This Row],[MonthlyIncome]]&lt;12000,"9K-12K","12K+"))))</f>
        <v>3K-6K</v>
      </c>
    </row>
    <row r="178" spans="1:37" x14ac:dyDescent="0.3">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c r="AJ178" s="4" t="str">
        <f>IF(EmployeeData[[#This Row],[Age]]&lt;25,"Under 25",IF(EmployeeData[[#This Row],[Age]]&lt;35,"25-34",IF(EmployeeData[[#This Row],[Age]]&lt;45,"35-44",IF(EmployeeData[[#This Row],[Age]]&lt;55,"45-54","55+"))))</f>
        <v>25-34</v>
      </c>
      <c r="AK178" s="4" t="str">
        <f>IF(EmployeeData[[#This Row],[MonthlyIncome]]&lt;3000,"Below 3K",IF(EmployeeData[[#This Row],[MonthlyIncome]]&lt;6000,"3K-6K",IF(EmployeeData[[#This Row],[MonthlyIncome]]&lt;9000,"6K-9K",IF(EmployeeData[[#This Row],[MonthlyIncome]]&lt;12000,"9K-12K","12K+"))))</f>
        <v>Below 3K</v>
      </c>
    </row>
    <row r="179" spans="1:37" x14ac:dyDescent="0.3">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c r="AJ179" s="4" t="str">
        <f>IF(EmployeeData[[#This Row],[Age]]&lt;25,"Under 25",IF(EmployeeData[[#This Row],[Age]]&lt;35,"25-34",IF(EmployeeData[[#This Row],[Age]]&lt;45,"35-44",IF(EmployeeData[[#This Row],[Age]]&lt;55,"45-54","55+"))))</f>
        <v>Under 25</v>
      </c>
      <c r="AK179" s="4" t="str">
        <f>IF(EmployeeData[[#This Row],[MonthlyIncome]]&lt;3000,"Below 3K",IF(EmployeeData[[#This Row],[MonthlyIncome]]&lt;6000,"3K-6K",IF(EmployeeData[[#This Row],[MonthlyIncome]]&lt;9000,"6K-9K",IF(EmployeeData[[#This Row],[MonthlyIncome]]&lt;12000,"9K-12K","12K+"))))</f>
        <v>Below 3K</v>
      </c>
    </row>
    <row r="180" spans="1:37" x14ac:dyDescent="0.3">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c r="AJ180" s="4" t="str">
        <f>IF(EmployeeData[[#This Row],[Age]]&lt;25,"Under 25",IF(EmployeeData[[#This Row],[Age]]&lt;35,"25-34",IF(EmployeeData[[#This Row],[Age]]&lt;45,"35-44",IF(EmployeeData[[#This Row],[Age]]&lt;55,"45-54","55+"))))</f>
        <v>45-54</v>
      </c>
      <c r="AK180" s="4" t="str">
        <f>IF(EmployeeData[[#This Row],[MonthlyIncome]]&lt;3000,"Below 3K",IF(EmployeeData[[#This Row],[MonthlyIncome]]&lt;6000,"3K-6K",IF(EmployeeData[[#This Row],[MonthlyIncome]]&lt;9000,"6K-9K",IF(EmployeeData[[#This Row],[MonthlyIncome]]&lt;12000,"9K-12K","12K+"))))</f>
        <v>9K-12K</v>
      </c>
    </row>
    <row r="181" spans="1:37" x14ac:dyDescent="0.3">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c r="AJ181" s="4" t="str">
        <f>IF(EmployeeData[[#This Row],[Age]]&lt;25,"Under 25",IF(EmployeeData[[#This Row],[Age]]&lt;35,"25-34",IF(EmployeeData[[#This Row],[Age]]&lt;45,"35-44",IF(EmployeeData[[#This Row],[Age]]&lt;55,"45-54","55+"))))</f>
        <v>35-44</v>
      </c>
      <c r="AK181" s="4" t="str">
        <f>IF(EmployeeData[[#This Row],[MonthlyIncome]]&lt;3000,"Below 3K",IF(EmployeeData[[#This Row],[MonthlyIncome]]&lt;6000,"3K-6K",IF(EmployeeData[[#This Row],[MonthlyIncome]]&lt;9000,"6K-9K",IF(EmployeeData[[#This Row],[MonthlyIncome]]&lt;12000,"9K-12K","12K+"))))</f>
        <v>Below 3K</v>
      </c>
    </row>
    <row r="182" spans="1:37" x14ac:dyDescent="0.3">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c r="AJ182" s="4" t="str">
        <f>IF(EmployeeData[[#This Row],[Age]]&lt;25,"Under 25",IF(EmployeeData[[#This Row],[Age]]&lt;35,"25-34",IF(EmployeeData[[#This Row],[Age]]&lt;45,"35-44",IF(EmployeeData[[#This Row],[Age]]&lt;55,"45-54","55+"))))</f>
        <v>25-34</v>
      </c>
      <c r="AK182" s="4" t="str">
        <f>IF(EmployeeData[[#This Row],[MonthlyIncome]]&lt;3000,"Below 3K",IF(EmployeeData[[#This Row],[MonthlyIncome]]&lt;6000,"3K-6K",IF(EmployeeData[[#This Row],[MonthlyIncome]]&lt;9000,"6K-9K",IF(EmployeeData[[#This Row],[MonthlyIncome]]&lt;12000,"9K-12K","12K+"))))</f>
        <v>3K-6K</v>
      </c>
    </row>
    <row r="183" spans="1:37" x14ac:dyDescent="0.3">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c r="AJ183" s="4" t="str">
        <f>IF(EmployeeData[[#This Row],[Age]]&lt;25,"Under 25",IF(EmployeeData[[#This Row],[Age]]&lt;35,"25-34",IF(EmployeeData[[#This Row],[Age]]&lt;45,"35-44",IF(EmployeeData[[#This Row],[Age]]&lt;55,"45-54","55+"))))</f>
        <v>25-34</v>
      </c>
      <c r="AK183" s="4" t="str">
        <f>IF(EmployeeData[[#This Row],[MonthlyIncome]]&lt;3000,"Below 3K",IF(EmployeeData[[#This Row],[MonthlyIncome]]&lt;6000,"3K-6K",IF(EmployeeData[[#This Row],[MonthlyIncome]]&lt;9000,"6K-9K",IF(EmployeeData[[#This Row],[MonthlyIncome]]&lt;12000,"9K-12K","12K+"))))</f>
        <v>Below 3K</v>
      </c>
    </row>
    <row r="184" spans="1:37" x14ac:dyDescent="0.3">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c r="AJ184" s="4" t="str">
        <f>IF(EmployeeData[[#This Row],[Age]]&lt;25,"Under 25",IF(EmployeeData[[#This Row],[Age]]&lt;35,"25-34",IF(EmployeeData[[#This Row],[Age]]&lt;45,"35-44",IF(EmployeeData[[#This Row],[Age]]&lt;55,"45-54","55+"))))</f>
        <v>35-44</v>
      </c>
      <c r="AK184" s="4" t="str">
        <f>IF(EmployeeData[[#This Row],[MonthlyIncome]]&lt;3000,"Below 3K",IF(EmployeeData[[#This Row],[MonthlyIncome]]&lt;6000,"3K-6K",IF(EmployeeData[[#This Row],[MonthlyIncome]]&lt;9000,"6K-9K",IF(EmployeeData[[#This Row],[MonthlyIncome]]&lt;12000,"9K-12K","12K+"))))</f>
        <v>3K-6K</v>
      </c>
    </row>
    <row r="185" spans="1:37" x14ac:dyDescent="0.3">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c r="AJ185" s="4" t="str">
        <f>IF(EmployeeData[[#This Row],[Age]]&lt;25,"Under 25",IF(EmployeeData[[#This Row],[Age]]&lt;35,"25-34",IF(EmployeeData[[#This Row],[Age]]&lt;45,"35-44",IF(EmployeeData[[#This Row],[Age]]&lt;55,"45-54","55+"))))</f>
        <v>45-54</v>
      </c>
      <c r="AK185" s="4" t="str">
        <f>IF(EmployeeData[[#This Row],[MonthlyIncome]]&lt;3000,"Below 3K",IF(EmployeeData[[#This Row],[MonthlyIncome]]&lt;6000,"3K-6K",IF(EmployeeData[[#This Row],[MonthlyIncome]]&lt;9000,"6K-9K",IF(EmployeeData[[#This Row],[MonthlyIncome]]&lt;12000,"9K-12K","12K+"))))</f>
        <v>3K-6K</v>
      </c>
    </row>
    <row r="186" spans="1:37" x14ac:dyDescent="0.3">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c r="AJ186" s="4" t="str">
        <f>IF(EmployeeData[[#This Row],[Age]]&lt;25,"Under 25",IF(EmployeeData[[#This Row],[Age]]&lt;35,"25-34",IF(EmployeeData[[#This Row],[Age]]&lt;45,"35-44",IF(EmployeeData[[#This Row],[Age]]&lt;55,"45-54","55+"))))</f>
        <v>45-54</v>
      </c>
      <c r="AK186" s="4" t="str">
        <f>IF(EmployeeData[[#This Row],[MonthlyIncome]]&lt;3000,"Below 3K",IF(EmployeeData[[#This Row],[MonthlyIncome]]&lt;6000,"3K-6K",IF(EmployeeData[[#This Row],[MonthlyIncome]]&lt;9000,"6K-9K",IF(EmployeeData[[#This Row],[MonthlyIncome]]&lt;12000,"9K-12K","12K+"))))</f>
        <v>3K-6K</v>
      </c>
    </row>
    <row r="187" spans="1:37" x14ac:dyDescent="0.3">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c r="AJ187" s="4" t="str">
        <f>IF(EmployeeData[[#This Row],[Age]]&lt;25,"Under 25",IF(EmployeeData[[#This Row],[Age]]&lt;35,"25-34",IF(EmployeeData[[#This Row],[Age]]&lt;45,"35-44",IF(EmployeeData[[#This Row],[Age]]&lt;55,"45-54","55+"))))</f>
        <v>25-34</v>
      </c>
      <c r="AK187" s="4" t="str">
        <f>IF(EmployeeData[[#This Row],[MonthlyIncome]]&lt;3000,"Below 3K",IF(EmployeeData[[#This Row],[MonthlyIncome]]&lt;6000,"3K-6K",IF(EmployeeData[[#This Row],[MonthlyIncome]]&lt;9000,"6K-9K",IF(EmployeeData[[#This Row],[MonthlyIncome]]&lt;12000,"9K-12K","12K+"))))</f>
        <v>Below 3K</v>
      </c>
    </row>
    <row r="188" spans="1:37" x14ac:dyDescent="0.3">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c r="AJ188" s="4" t="str">
        <f>IF(EmployeeData[[#This Row],[Age]]&lt;25,"Under 25",IF(EmployeeData[[#This Row],[Age]]&lt;35,"25-34",IF(EmployeeData[[#This Row],[Age]]&lt;45,"35-44",IF(EmployeeData[[#This Row],[Age]]&lt;55,"45-54","55+"))))</f>
        <v>35-44</v>
      </c>
      <c r="AK188" s="4" t="str">
        <f>IF(EmployeeData[[#This Row],[MonthlyIncome]]&lt;3000,"Below 3K",IF(EmployeeData[[#This Row],[MonthlyIncome]]&lt;6000,"3K-6K",IF(EmployeeData[[#This Row],[MonthlyIncome]]&lt;9000,"6K-9K",IF(EmployeeData[[#This Row],[MonthlyIncome]]&lt;12000,"9K-12K","12K+"))))</f>
        <v>12K+</v>
      </c>
    </row>
    <row r="189" spans="1:37" x14ac:dyDescent="0.3">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c r="AJ189" s="4" t="str">
        <f>IF(EmployeeData[[#This Row],[Age]]&lt;25,"Under 25",IF(EmployeeData[[#This Row],[Age]]&lt;35,"25-34",IF(EmployeeData[[#This Row],[Age]]&lt;45,"35-44",IF(EmployeeData[[#This Row],[Age]]&lt;55,"45-54","55+"))))</f>
        <v>55+</v>
      </c>
      <c r="AK189" s="4" t="str">
        <f>IF(EmployeeData[[#This Row],[MonthlyIncome]]&lt;3000,"Below 3K",IF(EmployeeData[[#This Row],[MonthlyIncome]]&lt;6000,"3K-6K",IF(EmployeeData[[#This Row],[MonthlyIncome]]&lt;9000,"6K-9K",IF(EmployeeData[[#This Row],[MonthlyIncome]]&lt;12000,"9K-12K","12K+"))))</f>
        <v>12K+</v>
      </c>
    </row>
    <row r="190" spans="1:37" x14ac:dyDescent="0.3">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c r="AJ190" s="4" t="str">
        <f>IF(EmployeeData[[#This Row],[Age]]&lt;25,"Under 25",IF(EmployeeData[[#This Row],[Age]]&lt;35,"25-34",IF(EmployeeData[[#This Row],[Age]]&lt;45,"35-44",IF(EmployeeData[[#This Row],[Age]]&lt;55,"45-54","55+"))))</f>
        <v>25-34</v>
      </c>
      <c r="AK190" s="4" t="str">
        <f>IF(EmployeeData[[#This Row],[MonthlyIncome]]&lt;3000,"Below 3K",IF(EmployeeData[[#This Row],[MonthlyIncome]]&lt;6000,"3K-6K",IF(EmployeeData[[#This Row],[MonthlyIncome]]&lt;9000,"6K-9K",IF(EmployeeData[[#This Row],[MonthlyIncome]]&lt;12000,"9K-12K","12K+"))))</f>
        <v>9K-12K</v>
      </c>
    </row>
    <row r="191" spans="1:37" x14ac:dyDescent="0.3">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c r="AJ191" s="4" t="str">
        <f>IF(EmployeeData[[#This Row],[Age]]&lt;25,"Under 25",IF(EmployeeData[[#This Row],[Age]]&lt;35,"25-34",IF(EmployeeData[[#This Row],[Age]]&lt;45,"35-44",IF(EmployeeData[[#This Row],[Age]]&lt;55,"45-54","55+"))))</f>
        <v>45-54</v>
      </c>
      <c r="AK191" s="4" t="str">
        <f>IF(EmployeeData[[#This Row],[MonthlyIncome]]&lt;3000,"Below 3K",IF(EmployeeData[[#This Row],[MonthlyIncome]]&lt;6000,"3K-6K",IF(EmployeeData[[#This Row],[MonthlyIncome]]&lt;9000,"6K-9K",IF(EmployeeData[[#This Row],[MonthlyIncome]]&lt;12000,"9K-12K","12K+"))))</f>
        <v>12K+</v>
      </c>
    </row>
    <row r="192" spans="1:37" x14ac:dyDescent="0.3">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c r="AJ192" s="4" t="str">
        <f>IF(EmployeeData[[#This Row],[Age]]&lt;25,"Under 25",IF(EmployeeData[[#This Row],[Age]]&lt;35,"25-34",IF(EmployeeData[[#This Row],[Age]]&lt;45,"35-44",IF(EmployeeData[[#This Row],[Age]]&lt;55,"45-54","55+"))))</f>
        <v>45-54</v>
      </c>
      <c r="AK192" s="4" t="str">
        <f>IF(EmployeeData[[#This Row],[MonthlyIncome]]&lt;3000,"Below 3K",IF(EmployeeData[[#This Row],[MonthlyIncome]]&lt;6000,"3K-6K",IF(EmployeeData[[#This Row],[MonthlyIncome]]&lt;9000,"6K-9K",IF(EmployeeData[[#This Row],[MonthlyIncome]]&lt;12000,"9K-12K","12K+"))))</f>
        <v>12K+</v>
      </c>
    </row>
    <row r="193" spans="1:37" x14ac:dyDescent="0.3">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c r="AJ193" s="4" t="str">
        <f>IF(EmployeeData[[#This Row],[Age]]&lt;25,"Under 25",IF(EmployeeData[[#This Row],[Age]]&lt;35,"25-34",IF(EmployeeData[[#This Row],[Age]]&lt;45,"35-44",IF(EmployeeData[[#This Row],[Age]]&lt;55,"45-54","55+"))))</f>
        <v>25-34</v>
      </c>
      <c r="AK193" s="4" t="str">
        <f>IF(EmployeeData[[#This Row],[MonthlyIncome]]&lt;3000,"Below 3K",IF(EmployeeData[[#This Row],[MonthlyIncome]]&lt;6000,"3K-6K",IF(EmployeeData[[#This Row],[MonthlyIncome]]&lt;9000,"6K-9K",IF(EmployeeData[[#This Row],[MonthlyIncome]]&lt;12000,"9K-12K","12K+"))))</f>
        <v>Below 3K</v>
      </c>
    </row>
    <row r="194" spans="1:37" x14ac:dyDescent="0.3">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c r="AJ194" s="4" t="str">
        <f>IF(EmployeeData[[#This Row],[Age]]&lt;25,"Under 25",IF(EmployeeData[[#This Row],[Age]]&lt;35,"25-34",IF(EmployeeData[[#This Row],[Age]]&lt;45,"35-44",IF(EmployeeData[[#This Row],[Age]]&lt;55,"45-54","55+"))))</f>
        <v>35-44</v>
      </c>
      <c r="AK194" s="4" t="str">
        <f>IF(EmployeeData[[#This Row],[MonthlyIncome]]&lt;3000,"Below 3K",IF(EmployeeData[[#This Row],[MonthlyIncome]]&lt;6000,"3K-6K",IF(EmployeeData[[#This Row],[MonthlyIncome]]&lt;9000,"6K-9K",IF(EmployeeData[[#This Row],[MonthlyIncome]]&lt;12000,"9K-12K","12K+"))))</f>
        <v>3K-6K</v>
      </c>
    </row>
    <row r="195" spans="1:37" x14ac:dyDescent="0.3">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c r="AJ195" s="4" t="str">
        <f>IF(EmployeeData[[#This Row],[Age]]&lt;25,"Under 25",IF(EmployeeData[[#This Row],[Age]]&lt;35,"25-34",IF(EmployeeData[[#This Row],[Age]]&lt;45,"35-44",IF(EmployeeData[[#This Row],[Age]]&lt;55,"45-54","55+"))))</f>
        <v>35-44</v>
      </c>
      <c r="AK195" s="4" t="str">
        <f>IF(EmployeeData[[#This Row],[MonthlyIncome]]&lt;3000,"Below 3K",IF(EmployeeData[[#This Row],[MonthlyIncome]]&lt;6000,"3K-6K",IF(EmployeeData[[#This Row],[MonthlyIncome]]&lt;9000,"6K-9K",IF(EmployeeData[[#This Row],[MonthlyIncome]]&lt;12000,"9K-12K","12K+"))))</f>
        <v>Below 3K</v>
      </c>
    </row>
    <row r="196" spans="1:37" x14ac:dyDescent="0.3">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c r="AJ196" s="4" t="str">
        <f>IF(EmployeeData[[#This Row],[Age]]&lt;25,"Under 25",IF(EmployeeData[[#This Row],[Age]]&lt;35,"25-34",IF(EmployeeData[[#This Row],[Age]]&lt;45,"35-44",IF(EmployeeData[[#This Row],[Age]]&lt;55,"45-54","55+"))))</f>
        <v>45-54</v>
      </c>
      <c r="AK196" s="4" t="str">
        <f>IF(EmployeeData[[#This Row],[MonthlyIncome]]&lt;3000,"Below 3K",IF(EmployeeData[[#This Row],[MonthlyIncome]]&lt;6000,"3K-6K",IF(EmployeeData[[#This Row],[MonthlyIncome]]&lt;9000,"6K-9K",IF(EmployeeData[[#This Row],[MonthlyIncome]]&lt;12000,"9K-12K","12K+"))))</f>
        <v>12K+</v>
      </c>
    </row>
    <row r="197" spans="1:37" x14ac:dyDescent="0.3">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c r="AJ197" s="4" t="str">
        <f>IF(EmployeeData[[#This Row],[Age]]&lt;25,"Under 25",IF(EmployeeData[[#This Row],[Age]]&lt;35,"25-34",IF(EmployeeData[[#This Row],[Age]]&lt;45,"35-44",IF(EmployeeData[[#This Row],[Age]]&lt;55,"45-54","55+"))))</f>
        <v>35-44</v>
      </c>
      <c r="AK197" s="4" t="str">
        <f>IF(EmployeeData[[#This Row],[MonthlyIncome]]&lt;3000,"Below 3K",IF(EmployeeData[[#This Row],[MonthlyIncome]]&lt;6000,"3K-6K",IF(EmployeeData[[#This Row],[MonthlyIncome]]&lt;9000,"6K-9K",IF(EmployeeData[[#This Row],[MonthlyIncome]]&lt;12000,"9K-12K","12K+"))))</f>
        <v>3K-6K</v>
      </c>
    </row>
    <row r="198" spans="1:37" x14ac:dyDescent="0.3">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c r="AJ198" s="4" t="str">
        <f>IF(EmployeeData[[#This Row],[Age]]&lt;25,"Under 25",IF(EmployeeData[[#This Row],[Age]]&lt;35,"25-34",IF(EmployeeData[[#This Row],[Age]]&lt;45,"35-44",IF(EmployeeData[[#This Row],[Age]]&lt;55,"45-54","55+"))))</f>
        <v>35-44</v>
      </c>
      <c r="AK198" s="4" t="str">
        <f>IF(EmployeeData[[#This Row],[MonthlyIncome]]&lt;3000,"Below 3K",IF(EmployeeData[[#This Row],[MonthlyIncome]]&lt;6000,"3K-6K",IF(EmployeeData[[#This Row],[MonthlyIncome]]&lt;9000,"6K-9K",IF(EmployeeData[[#This Row],[MonthlyIncome]]&lt;12000,"9K-12K","12K+"))))</f>
        <v>3K-6K</v>
      </c>
    </row>
    <row r="199" spans="1:37" x14ac:dyDescent="0.3">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c r="AJ199" s="4" t="str">
        <f>IF(EmployeeData[[#This Row],[Age]]&lt;25,"Under 25",IF(EmployeeData[[#This Row],[Age]]&lt;35,"25-34",IF(EmployeeData[[#This Row],[Age]]&lt;45,"35-44",IF(EmployeeData[[#This Row],[Age]]&lt;55,"45-54","55+"))))</f>
        <v>35-44</v>
      </c>
      <c r="AK199" s="4" t="str">
        <f>IF(EmployeeData[[#This Row],[MonthlyIncome]]&lt;3000,"Below 3K",IF(EmployeeData[[#This Row],[MonthlyIncome]]&lt;6000,"3K-6K",IF(EmployeeData[[#This Row],[MonthlyIncome]]&lt;9000,"6K-9K",IF(EmployeeData[[#This Row],[MonthlyIncome]]&lt;12000,"9K-12K","12K+"))))</f>
        <v>3K-6K</v>
      </c>
    </row>
    <row r="200" spans="1:37" x14ac:dyDescent="0.3">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c r="AJ200" s="4" t="str">
        <f>IF(EmployeeData[[#This Row],[Age]]&lt;25,"Under 25",IF(EmployeeData[[#This Row],[Age]]&lt;35,"25-34",IF(EmployeeData[[#This Row],[Age]]&lt;45,"35-44",IF(EmployeeData[[#This Row],[Age]]&lt;55,"45-54","55+"))))</f>
        <v>35-44</v>
      </c>
      <c r="AK200" s="4" t="str">
        <f>IF(EmployeeData[[#This Row],[MonthlyIncome]]&lt;3000,"Below 3K",IF(EmployeeData[[#This Row],[MonthlyIncome]]&lt;6000,"3K-6K",IF(EmployeeData[[#This Row],[MonthlyIncome]]&lt;9000,"6K-9K",IF(EmployeeData[[#This Row],[MonthlyIncome]]&lt;12000,"9K-12K","12K+"))))</f>
        <v>6K-9K</v>
      </c>
    </row>
    <row r="201" spans="1:37" x14ac:dyDescent="0.3">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c r="AJ201" s="4" t="str">
        <f>IF(EmployeeData[[#This Row],[Age]]&lt;25,"Under 25",IF(EmployeeData[[#This Row],[Age]]&lt;35,"25-34",IF(EmployeeData[[#This Row],[Age]]&lt;45,"35-44",IF(EmployeeData[[#This Row],[Age]]&lt;55,"45-54","55+"))))</f>
        <v>35-44</v>
      </c>
      <c r="AK201" s="4" t="str">
        <f>IF(EmployeeData[[#This Row],[MonthlyIncome]]&lt;3000,"Below 3K",IF(EmployeeData[[#This Row],[MonthlyIncome]]&lt;6000,"3K-6K",IF(EmployeeData[[#This Row],[MonthlyIncome]]&lt;9000,"6K-9K",IF(EmployeeData[[#This Row],[MonthlyIncome]]&lt;12000,"9K-12K","12K+"))))</f>
        <v>6K-9K</v>
      </c>
    </row>
    <row r="202" spans="1:37" x14ac:dyDescent="0.3">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c r="AJ202" s="4" t="str">
        <f>IF(EmployeeData[[#This Row],[Age]]&lt;25,"Under 25",IF(EmployeeData[[#This Row],[Age]]&lt;35,"25-34",IF(EmployeeData[[#This Row],[Age]]&lt;45,"35-44",IF(EmployeeData[[#This Row],[Age]]&lt;55,"45-54","55+"))))</f>
        <v>25-34</v>
      </c>
      <c r="AK202" s="4" t="str">
        <f>IF(EmployeeData[[#This Row],[MonthlyIncome]]&lt;3000,"Below 3K",IF(EmployeeData[[#This Row],[MonthlyIncome]]&lt;6000,"3K-6K",IF(EmployeeData[[#This Row],[MonthlyIncome]]&lt;9000,"6K-9K",IF(EmployeeData[[#This Row],[MonthlyIncome]]&lt;12000,"9K-12K","12K+"))))</f>
        <v>3K-6K</v>
      </c>
    </row>
    <row r="203" spans="1:37" x14ac:dyDescent="0.3">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c r="AJ203" s="4" t="str">
        <f>IF(EmployeeData[[#This Row],[Age]]&lt;25,"Under 25",IF(EmployeeData[[#This Row],[Age]]&lt;35,"25-34",IF(EmployeeData[[#This Row],[Age]]&lt;45,"35-44",IF(EmployeeData[[#This Row],[Age]]&lt;55,"45-54","55+"))))</f>
        <v>45-54</v>
      </c>
      <c r="AK203" s="4" t="str">
        <f>IF(EmployeeData[[#This Row],[MonthlyIncome]]&lt;3000,"Below 3K",IF(EmployeeData[[#This Row],[MonthlyIncome]]&lt;6000,"3K-6K",IF(EmployeeData[[#This Row],[MonthlyIncome]]&lt;9000,"6K-9K",IF(EmployeeData[[#This Row],[MonthlyIncome]]&lt;12000,"9K-12K","12K+"))))</f>
        <v>6K-9K</v>
      </c>
    </row>
    <row r="204" spans="1:37" x14ac:dyDescent="0.3">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c r="AJ204" s="4" t="str">
        <f>IF(EmployeeData[[#This Row],[Age]]&lt;25,"Under 25",IF(EmployeeData[[#This Row],[Age]]&lt;35,"25-34",IF(EmployeeData[[#This Row],[Age]]&lt;45,"35-44",IF(EmployeeData[[#This Row],[Age]]&lt;55,"45-54","55+"))))</f>
        <v>25-34</v>
      </c>
      <c r="AK204" s="4" t="str">
        <f>IF(EmployeeData[[#This Row],[MonthlyIncome]]&lt;3000,"Below 3K",IF(EmployeeData[[#This Row],[MonthlyIncome]]&lt;6000,"3K-6K",IF(EmployeeData[[#This Row],[MonthlyIncome]]&lt;9000,"6K-9K",IF(EmployeeData[[#This Row],[MonthlyIncome]]&lt;12000,"9K-12K","12K+"))))</f>
        <v>3K-6K</v>
      </c>
    </row>
    <row r="205" spans="1:37" x14ac:dyDescent="0.3">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c r="AJ205" s="4" t="str">
        <f>IF(EmployeeData[[#This Row],[Age]]&lt;25,"Under 25",IF(EmployeeData[[#This Row],[Age]]&lt;35,"25-34",IF(EmployeeData[[#This Row],[Age]]&lt;45,"35-44",IF(EmployeeData[[#This Row],[Age]]&lt;55,"45-54","55+"))))</f>
        <v>35-44</v>
      </c>
      <c r="AK205" s="4" t="str">
        <f>IF(EmployeeData[[#This Row],[MonthlyIncome]]&lt;3000,"Below 3K",IF(EmployeeData[[#This Row],[MonthlyIncome]]&lt;6000,"3K-6K",IF(EmployeeData[[#This Row],[MonthlyIncome]]&lt;9000,"6K-9K",IF(EmployeeData[[#This Row],[MonthlyIncome]]&lt;12000,"9K-12K","12K+"))))</f>
        <v>Below 3K</v>
      </c>
    </row>
    <row r="206" spans="1:37" x14ac:dyDescent="0.3">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c r="AJ206" s="4" t="str">
        <f>IF(EmployeeData[[#This Row],[Age]]&lt;25,"Under 25",IF(EmployeeData[[#This Row],[Age]]&lt;35,"25-34",IF(EmployeeData[[#This Row],[Age]]&lt;45,"35-44",IF(EmployeeData[[#This Row],[Age]]&lt;55,"45-54","55+"))))</f>
        <v>35-44</v>
      </c>
      <c r="AK206" s="4" t="str">
        <f>IF(EmployeeData[[#This Row],[MonthlyIncome]]&lt;3000,"Below 3K",IF(EmployeeData[[#This Row],[MonthlyIncome]]&lt;6000,"3K-6K",IF(EmployeeData[[#This Row],[MonthlyIncome]]&lt;9000,"6K-9K",IF(EmployeeData[[#This Row],[MonthlyIncome]]&lt;12000,"9K-12K","12K+"))))</f>
        <v>6K-9K</v>
      </c>
    </row>
    <row r="207" spans="1:37" x14ac:dyDescent="0.3">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c r="AJ207" s="4" t="str">
        <f>IF(EmployeeData[[#This Row],[Age]]&lt;25,"Under 25",IF(EmployeeData[[#This Row],[Age]]&lt;35,"25-34",IF(EmployeeData[[#This Row],[Age]]&lt;45,"35-44",IF(EmployeeData[[#This Row],[Age]]&lt;55,"45-54","55+"))))</f>
        <v>25-34</v>
      </c>
      <c r="AK207" s="4" t="str">
        <f>IF(EmployeeData[[#This Row],[MonthlyIncome]]&lt;3000,"Below 3K",IF(EmployeeData[[#This Row],[MonthlyIncome]]&lt;6000,"3K-6K",IF(EmployeeData[[#This Row],[MonthlyIncome]]&lt;9000,"6K-9K",IF(EmployeeData[[#This Row],[MonthlyIncome]]&lt;12000,"9K-12K","12K+"))))</f>
        <v>6K-9K</v>
      </c>
    </row>
    <row r="208" spans="1:37" x14ac:dyDescent="0.3">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c r="AJ208" s="4" t="str">
        <f>IF(EmployeeData[[#This Row],[Age]]&lt;25,"Under 25",IF(EmployeeData[[#This Row],[Age]]&lt;35,"25-34",IF(EmployeeData[[#This Row],[Age]]&lt;45,"35-44",IF(EmployeeData[[#This Row],[Age]]&lt;55,"45-54","55+"))))</f>
        <v>Under 25</v>
      </c>
      <c r="AK208" s="4" t="str">
        <f>IF(EmployeeData[[#This Row],[MonthlyIncome]]&lt;3000,"Below 3K",IF(EmployeeData[[#This Row],[MonthlyIncome]]&lt;6000,"3K-6K",IF(EmployeeData[[#This Row],[MonthlyIncome]]&lt;9000,"6K-9K",IF(EmployeeData[[#This Row],[MonthlyIncome]]&lt;12000,"9K-12K","12K+"))))</f>
        <v>Below 3K</v>
      </c>
    </row>
    <row r="209" spans="1:37" x14ac:dyDescent="0.3">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c r="AJ209" s="4" t="str">
        <f>IF(EmployeeData[[#This Row],[Age]]&lt;25,"Under 25",IF(EmployeeData[[#This Row],[Age]]&lt;35,"25-34",IF(EmployeeData[[#This Row],[Age]]&lt;45,"35-44",IF(EmployeeData[[#This Row],[Age]]&lt;55,"45-54","55+"))))</f>
        <v>35-44</v>
      </c>
      <c r="AK209" s="4" t="str">
        <f>IF(EmployeeData[[#This Row],[MonthlyIncome]]&lt;3000,"Below 3K",IF(EmployeeData[[#This Row],[MonthlyIncome]]&lt;6000,"3K-6K",IF(EmployeeData[[#This Row],[MonthlyIncome]]&lt;9000,"6K-9K",IF(EmployeeData[[#This Row],[MonthlyIncome]]&lt;12000,"9K-12K","12K+"))))</f>
        <v>Below 3K</v>
      </c>
    </row>
    <row r="210" spans="1:37" x14ac:dyDescent="0.3">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c r="AJ210" s="4" t="str">
        <f>IF(EmployeeData[[#This Row],[Age]]&lt;25,"Under 25",IF(EmployeeData[[#This Row],[Age]]&lt;35,"25-34",IF(EmployeeData[[#This Row],[Age]]&lt;45,"35-44",IF(EmployeeData[[#This Row],[Age]]&lt;55,"45-54","55+"))))</f>
        <v>35-44</v>
      </c>
      <c r="AK210" s="4" t="str">
        <f>IF(EmployeeData[[#This Row],[MonthlyIncome]]&lt;3000,"Below 3K",IF(EmployeeData[[#This Row],[MonthlyIncome]]&lt;6000,"3K-6K",IF(EmployeeData[[#This Row],[MonthlyIncome]]&lt;9000,"6K-9K",IF(EmployeeData[[#This Row],[MonthlyIncome]]&lt;12000,"9K-12K","12K+"))))</f>
        <v>3K-6K</v>
      </c>
    </row>
    <row r="211" spans="1:37" x14ac:dyDescent="0.3">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c r="AJ211" s="4" t="str">
        <f>IF(EmployeeData[[#This Row],[Age]]&lt;25,"Under 25",IF(EmployeeData[[#This Row],[Age]]&lt;35,"25-34",IF(EmployeeData[[#This Row],[Age]]&lt;45,"35-44",IF(EmployeeData[[#This Row],[Age]]&lt;55,"45-54","55+"))))</f>
        <v>45-54</v>
      </c>
      <c r="AK211" s="4" t="str">
        <f>IF(EmployeeData[[#This Row],[MonthlyIncome]]&lt;3000,"Below 3K",IF(EmployeeData[[#This Row],[MonthlyIncome]]&lt;6000,"3K-6K",IF(EmployeeData[[#This Row],[MonthlyIncome]]&lt;9000,"6K-9K",IF(EmployeeData[[#This Row],[MonthlyIncome]]&lt;12000,"9K-12K","12K+"))))</f>
        <v>9K-12K</v>
      </c>
    </row>
    <row r="212" spans="1:37" x14ac:dyDescent="0.3">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c r="AJ212" s="4" t="str">
        <f>IF(EmployeeData[[#This Row],[Age]]&lt;25,"Under 25",IF(EmployeeData[[#This Row],[Age]]&lt;35,"25-34",IF(EmployeeData[[#This Row],[Age]]&lt;45,"35-44",IF(EmployeeData[[#This Row],[Age]]&lt;55,"45-54","55+"))))</f>
        <v>25-34</v>
      </c>
      <c r="AK212" s="4" t="str">
        <f>IF(EmployeeData[[#This Row],[MonthlyIncome]]&lt;3000,"Below 3K",IF(EmployeeData[[#This Row],[MonthlyIncome]]&lt;6000,"3K-6K",IF(EmployeeData[[#This Row],[MonthlyIncome]]&lt;9000,"6K-9K",IF(EmployeeData[[#This Row],[MonthlyIncome]]&lt;12000,"9K-12K","12K+"))))</f>
        <v>9K-12K</v>
      </c>
    </row>
    <row r="213" spans="1:37" x14ac:dyDescent="0.3">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c r="AJ213" s="4" t="str">
        <f>IF(EmployeeData[[#This Row],[Age]]&lt;25,"Under 25",IF(EmployeeData[[#This Row],[Age]]&lt;35,"25-34",IF(EmployeeData[[#This Row],[Age]]&lt;45,"35-44",IF(EmployeeData[[#This Row],[Age]]&lt;55,"45-54","55+"))))</f>
        <v>25-34</v>
      </c>
      <c r="AK213" s="4" t="str">
        <f>IF(EmployeeData[[#This Row],[MonthlyIncome]]&lt;3000,"Below 3K",IF(EmployeeData[[#This Row],[MonthlyIncome]]&lt;6000,"3K-6K",IF(EmployeeData[[#This Row],[MonthlyIncome]]&lt;9000,"6K-9K",IF(EmployeeData[[#This Row],[MonthlyIncome]]&lt;12000,"9K-12K","12K+"))))</f>
        <v>6K-9K</v>
      </c>
    </row>
    <row r="214" spans="1:37" x14ac:dyDescent="0.3">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c r="AJ214" s="4" t="str">
        <f>IF(EmployeeData[[#This Row],[Age]]&lt;25,"Under 25",IF(EmployeeData[[#This Row],[Age]]&lt;35,"25-34",IF(EmployeeData[[#This Row],[Age]]&lt;45,"35-44",IF(EmployeeData[[#This Row],[Age]]&lt;55,"45-54","55+"))))</f>
        <v>25-34</v>
      </c>
      <c r="AK214" s="4" t="str">
        <f>IF(EmployeeData[[#This Row],[MonthlyIncome]]&lt;3000,"Below 3K",IF(EmployeeData[[#This Row],[MonthlyIncome]]&lt;6000,"3K-6K",IF(EmployeeData[[#This Row],[MonthlyIncome]]&lt;9000,"6K-9K",IF(EmployeeData[[#This Row],[MonthlyIncome]]&lt;12000,"9K-12K","12K+"))))</f>
        <v>9K-12K</v>
      </c>
    </row>
    <row r="215" spans="1:37" x14ac:dyDescent="0.3">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c r="AJ215" s="4" t="str">
        <f>IF(EmployeeData[[#This Row],[Age]]&lt;25,"Under 25",IF(EmployeeData[[#This Row],[Age]]&lt;35,"25-34",IF(EmployeeData[[#This Row],[Age]]&lt;45,"35-44",IF(EmployeeData[[#This Row],[Age]]&lt;55,"45-54","55+"))))</f>
        <v>45-54</v>
      </c>
      <c r="AK215" s="4" t="str">
        <f>IF(EmployeeData[[#This Row],[MonthlyIncome]]&lt;3000,"Below 3K",IF(EmployeeData[[#This Row],[MonthlyIncome]]&lt;6000,"3K-6K",IF(EmployeeData[[#This Row],[MonthlyIncome]]&lt;9000,"6K-9K",IF(EmployeeData[[#This Row],[MonthlyIncome]]&lt;12000,"9K-12K","12K+"))))</f>
        <v>12K+</v>
      </c>
    </row>
    <row r="216" spans="1:37" x14ac:dyDescent="0.3">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c r="AJ216" s="4" t="str">
        <f>IF(EmployeeData[[#This Row],[Age]]&lt;25,"Under 25",IF(EmployeeData[[#This Row],[Age]]&lt;35,"25-34",IF(EmployeeData[[#This Row],[Age]]&lt;45,"35-44",IF(EmployeeData[[#This Row],[Age]]&lt;55,"45-54","55+"))))</f>
        <v>25-34</v>
      </c>
      <c r="AK216" s="4" t="str">
        <f>IF(EmployeeData[[#This Row],[MonthlyIncome]]&lt;3000,"Below 3K",IF(EmployeeData[[#This Row],[MonthlyIncome]]&lt;6000,"3K-6K",IF(EmployeeData[[#This Row],[MonthlyIncome]]&lt;9000,"6K-9K",IF(EmployeeData[[#This Row],[MonthlyIncome]]&lt;12000,"9K-12K","12K+"))))</f>
        <v>Below 3K</v>
      </c>
    </row>
    <row r="217" spans="1:37" x14ac:dyDescent="0.3">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c r="AJ217" s="4" t="str">
        <f>IF(EmployeeData[[#This Row],[Age]]&lt;25,"Under 25",IF(EmployeeData[[#This Row],[Age]]&lt;35,"25-34",IF(EmployeeData[[#This Row],[Age]]&lt;45,"35-44",IF(EmployeeData[[#This Row],[Age]]&lt;55,"45-54","55+"))))</f>
        <v>35-44</v>
      </c>
      <c r="AK217" s="4" t="str">
        <f>IF(EmployeeData[[#This Row],[MonthlyIncome]]&lt;3000,"Below 3K",IF(EmployeeData[[#This Row],[MonthlyIncome]]&lt;6000,"3K-6K",IF(EmployeeData[[#This Row],[MonthlyIncome]]&lt;9000,"6K-9K",IF(EmployeeData[[#This Row],[MonthlyIncome]]&lt;12000,"9K-12K","12K+"))))</f>
        <v>12K+</v>
      </c>
    </row>
    <row r="218" spans="1:37" x14ac:dyDescent="0.3">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c r="AJ218" s="4" t="str">
        <f>IF(EmployeeData[[#This Row],[Age]]&lt;25,"Under 25",IF(EmployeeData[[#This Row],[Age]]&lt;35,"25-34",IF(EmployeeData[[#This Row],[Age]]&lt;45,"35-44",IF(EmployeeData[[#This Row],[Age]]&lt;55,"45-54","55+"))))</f>
        <v>25-34</v>
      </c>
      <c r="AK218" s="4" t="str">
        <f>IF(EmployeeData[[#This Row],[MonthlyIncome]]&lt;3000,"Below 3K",IF(EmployeeData[[#This Row],[MonthlyIncome]]&lt;6000,"3K-6K",IF(EmployeeData[[#This Row],[MonthlyIncome]]&lt;9000,"6K-9K",IF(EmployeeData[[#This Row],[MonthlyIncome]]&lt;12000,"9K-12K","12K+"))))</f>
        <v>6K-9K</v>
      </c>
    </row>
    <row r="219" spans="1:37" x14ac:dyDescent="0.3">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c r="AJ219" s="4" t="str">
        <f>IF(EmployeeData[[#This Row],[Age]]&lt;25,"Under 25",IF(EmployeeData[[#This Row],[Age]]&lt;35,"25-34",IF(EmployeeData[[#This Row],[Age]]&lt;45,"35-44",IF(EmployeeData[[#This Row],[Age]]&lt;55,"45-54","55+"))))</f>
        <v>25-34</v>
      </c>
      <c r="AK219" s="4" t="str">
        <f>IF(EmployeeData[[#This Row],[MonthlyIncome]]&lt;3000,"Below 3K",IF(EmployeeData[[#This Row],[MonthlyIncome]]&lt;6000,"3K-6K",IF(EmployeeData[[#This Row],[MonthlyIncome]]&lt;9000,"6K-9K",IF(EmployeeData[[#This Row],[MonthlyIncome]]&lt;12000,"9K-12K","12K+"))))</f>
        <v>Below 3K</v>
      </c>
    </row>
    <row r="220" spans="1:37" x14ac:dyDescent="0.3">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c r="AJ220" s="4" t="str">
        <f>IF(EmployeeData[[#This Row],[Age]]&lt;25,"Under 25",IF(EmployeeData[[#This Row],[Age]]&lt;35,"25-34",IF(EmployeeData[[#This Row],[Age]]&lt;45,"35-44",IF(EmployeeData[[#This Row],[Age]]&lt;55,"45-54","55+"))))</f>
        <v>45-54</v>
      </c>
      <c r="AK220" s="4" t="str">
        <f>IF(EmployeeData[[#This Row],[MonthlyIncome]]&lt;3000,"Below 3K",IF(EmployeeData[[#This Row],[MonthlyIncome]]&lt;6000,"3K-6K",IF(EmployeeData[[#This Row],[MonthlyIncome]]&lt;9000,"6K-9K",IF(EmployeeData[[#This Row],[MonthlyIncome]]&lt;12000,"9K-12K","12K+"))))</f>
        <v>6K-9K</v>
      </c>
    </row>
    <row r="221" spans="1:37" x14ac:dyDescent="0.3">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c r="AJ221" s="4" t="str">
        <f>IF(EmployeeData[[#This Row],[Age]]&lt;25,"Under 25",IF(EmployeeData[[#This Row],[Age]]&lt;35,"25-34",IF(EmployeeData[[#This Row],[Age]]&lt;45,"35-44",IF(EmployeeData[[#This Row],[Age]]&lt;55,"45-54","55+"))))</f>
        <v>45-54</v>
      </c>
      <c r="AK221" s="4" t="str">
        <f>IF(EmployeeData[[#This Row],[MonthlyIncome]]&lt;3000,"Below 3K",IF(EmployeeData[[#This Row],[MonthlyIncome]]&lt;6000,"3K-6K",IF(EmployeeData[[#This Row],[MonthlyIncome]]&lt;9000,"6K-9K",IF(EmployeeData[[#This Row],[MonthlyIncome]]&lt;12000,"9K-12K","12K+"))))</f>
        <v>3K-6K</v>
      </c>
    </row>
    <row r="222" spans="1:37" x14ac:dyDescent="0.3">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c r="AJ222" s="4" t="str">
        <f>IF(EmployeeData[[#This Row],[Age]]&lt;25,"Under 25",IF(EmployeeData[[#This Row],[Age]]&lt;35,"25-34",IF(EmployeeData[[#This Row],[Age]]&lt;45,"35-44",IF(EmployeeData[[#This Row],[Age]]&lt;55,"45-54","55+"))))</f>
        <v>35-44</v>
      </c>
      <c r="AK222" s="4" t="str">
        <f>IF(EmployeeData[[#This Row],[MonthlyIncome]]&lt;3000,"Below 3K",IF(EmployeeData[[#This Row],[MonthlyIncome]]&lt;6000,"3K-6K",IF(EmployeeData[[#This Row],[MonthlyIncome]]&lt;9000,"6K-9K",IF(EmployeeData[[#This Row],[MonthlyIncome]]&lt;12000,"9K-12K","12K+"))))</f>
        <v>3K-6K</v>
      </c>
    </row>
    <row r="223" spans="1:37" x14ac:dyDescent="0.3">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c r="AJ223" s="4" t="str">
        <f>IF(EmployeeData[[#This Row],[Age]]&lt;25,"Under 25",IF(EmployeeData[[#This Row],[Age]]&lt;35,"25-34",IF(EmployeeData[[#This Row],[Age]]&lt;45,"35-44",IF(EmployeeData[[#This Row],[Age]]&lt;55,"45-54","55+"))))</f>
        <v>25-34</v>
      </c>
      <c r="AK223" s="4" t="str">
        <f>IF(EmployeeData[[#This Row],[MonthlyIncome]]&lt;3000,"Below 3K",IF(EmployeeData[[#This Row],[MonthlyIncome]]&lt;6000,"3K-6K",IF(EmployeeData[[#This Row],[MonthlyIncome]]&lt;9000,"6K-9K",IF(EmployeeData[[#This Row],[MonthlyIncome]]&lt;12000,"9K-12K","12K+"))))</f>
        <v>Below 3K</v>
      </c>
    </row>
    <row r="224" spans="1:37" x14ac:dyDescent="0.3">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c r="AJ224" s="4" t="str">
        <f>IF(EmployeeData[[#This Row],[Age]]&lt;25,"Under 25",IF(EmployeeData[[#This Row],[Age]]&lt;35,"25-34",IF(EmployeeData[[#This Row],[Age]]&lt;45,"35-44",IF(EmployeeData[[#This Row],[Age]]&lt;55,"45-54","55+"))))</f>
        <v>35-44</v>
      </c>
      <c r="AK224" s="4" t="str">
        <f>IF(EmployeeData[[#This Row],[MonthlyIncome]]&lt;3000,"Below 3K",IF(EmployeeData[[#This Row],[MonthlyIncome]]&lt;6000,"3K-6K",IF(EmployeeData[[#This Row],[MonthlyIncome]]&lt;9000,"6K-9K",IF(EmployeeData[[#This Row],[MonthlyIncome]]&lt;12000,"9K-12K","12K+"))))</f>
        <v>12K+</v>
      </c>
    </row>
    <row r="225" spans="1:37" x14ac:dyDescent="0.3">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c r="AJ225" s="4" t="str">
        <f>IF(EmployeeData[[#This Row],[Age]]&lt;25,"Under 25",IF(EmployeeData[[#This Row],[Age]]&lt;35,"25-34",IF(EmployeeData[[#This Row],[Age]]&lt;45,"35-44",IF(EmployeeData[[#This Row],[Age]]&lt;55,"45-54","55+"))))</f>
        <v>35-44</v>
      </c>
      <c r="AK225" s="4" t="str">
        <f>IF(EmployeeData[[#This Row],[MonthlyIncome]]&lt;3000,"Below 3K",IF(EmployeeData[[#This Row],[MonthlyIncome]]&lt;6000,"3K-6K",IF(EmployeeData[[#This Row],[MonthlyIncome]]&lt;9000,"6K-9K",IF(EmployeeData[[#This Row],[MonthlyIncome]]&lt;12000,"9K-12K","12K+"))))</f>
        <v>9K-12K</v>
      </c>
    </row>
    <row r="226" spans="1:37" x14ac:dyDescent="0.3">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c r="AJ226" s="4" t="str">
        <f>IF(EmployeeData[[#This Row],[Age]]&lt;25,"Under 25",IF(EmployeeData[[#This Row],[Age]]&lt;35,"25-34",IF(EmployeeData[[#This Row],[Age]]&lt;45,"35-44",IF(EmployeeData[[#This Row],[Age]]&lt;55,"45-54","55+"))))</f>
        <v>25-34</v>
      </c>
      <c r="AK226" s="4" t="str">
        <f>IF(EmployeeData[[#This Row],[MonthlyIncome]]&lt;3000,"Below 3K",IF(EmployeeData[[#This Row],[MonthlyIncome]]&lt;6000,"3K-6K",IF(EmployeeData[[#This Row],[MonthlyIncome]]&lt;9000,"6K-9K",IF(EmployeeData[[#This Row],[MonthlyIncome]]&lt;12000,"9K-12K","12K+"))))</f>
        <v>3K-6K</v>
      </c>
    </row>
    <row r="227" spans="1:37" x14ac:dyDescent="0.3">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c r="AJ227" s="4" t="str">
        <f>IF(EmployeeData[[#This Row],[Age]]&lt;25,"Under 25",IF(EmployeeData[[#This Row],[Age]]&lt;35,"25-34",IF(EmployeeData[[#This Row],[Age]]&lt;45,"35-44",IF(EmployeeData[[#This Row],[Age]]&lt;55,"45-54","55+"))))</f>
        <v>55+</v>
      </c>
      <c r="AK227" s="4" t="str">
        <f>IF(EmployeeData[[#This Row],[MonthlyIncome]]&lt;3000,"Below 3K",IF(EmployeeData[[#This Row],[MonthlyIncome]]&lt;6000,"3K-6K",IF(EmployeeData[[#This Row],[MonthlyIncome]]&lt;9000,"6K-9K",IF(EmployeeData[[#This Row],[MonthlyIncome]]&lt;12000,"9K-12K","12K+"))))</f>
        <v>Below 3K</v>
      </c>
    </row>
    <row r="228" spans="1:37" x14ac:dyDescent="0.3">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c r="AJ228" s="4" t="str">
        <f>IF(EmployeeData[[#This Row],[Age]]&lt;25,"Under 25",IF(EmployeeData[[#This Row],[Age]]&lt;35,"25-34",IF(EmployeeData[[#This Row],[Age]]&lt;45,"35-44",IF(EmployeeData[[#This Row],[Age]]&lt;55,"45-54","55+"))))</f>
        <v>35-44</v>
      </c>
      <c r="AK228" s="4" t="str">
        <f>IF(EmployeeData[[#This Row],[MonthlyIncome]]&lt;3000,"Below 3K",IF(EmployeeData[[#This Row],[MonthlyIncome]]&lt;6000,"3K-6K",IF(EmployeeData[[#This Row],[MonthlyIncome]]&lt;9000,"6K-9K",IF(EmployeeData[[#This Row],[MonthlyIncome]]&lt;12000,"9K-12K","12K+"))))</f>
        <v>Below 3K</v>
      </c>
    </row>
    <row r="229" spans="1:37" x14ac:dyDescent="0.3">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c r="AJ229" s="4" t="str">
        <f>IF(EmployeeData[[#This Row],[Age]]&lt;25,"Under 25",IF(EmployeeData[[#This Row],[Age]]&lt;35,"25-34",IF(EmployeeData[[#This Row],[Age]]&lt;45,"35-44",IF(EmployeeData[[#This Row],[Age]]&lt;55,"45-54","55+"))))</f>
        <v>25-34</v>
      </c>
      <c r="AK229" s="4" t="str">
        <f>IF(EmployeeData[[#This Row],[MonthlyIncome]]&lt;3000,"Below 3K",IF(EmployeeData[[#This Row],[MonthlyIncome]]&lt;6000,"3K-6K",IF(EmployeeData[[#This Row],[MonthlyIncome]]&lt;9000,"6K-9K",IF(EmployeeData[[#This Row],[MonthlyIncome]]&lt;12000,"9K-12K","12K+"))))</f>
        <v>6K-9K</v>
      </c>
    </row>
    <row r="230" spans="1:37" x14ac:dyDescent="0.3">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c r="AJ230" s="4" t="str">
        <f>IF(EmployeeData[[#This Row],[Age]]&lt;25,"Under 25",IF(EmployeeData[[#This Row],[Age]]&lt;35,"25-34",IF(EmployeeData[[#This Row],[Age]]&lt;45,"35-44",IF(EmployeeData[[#This Row],[Age]]&lt;55,"45-54","55+"))))</f>
        <v>35-44</v>
      </c>
      <c r="AK230" s="4" t="str">
        <f>IF(EmployeeData[[#This Row],[MonthlyIncome]]&lt;3000,"Below 3K",IF(EmployeeData[[#This Row],[MonthlyIncome]]&lt;6000,"3K-6K",IF(EmployeeData[[#This Row],[MonthlyIncome]]&lt;9000,"6K-9K",IF(EmployeeData[[#This Row],[MonthlyIncome]]&lt;12000,"9K-12K","12K+"))))</f>
        <v>6K-9K</v>
      </c>
    </row>
    <row r="231" spans="1:37" x14ac:dyDescent="0.3">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c r="AJ231" s="4" t="str">
        <f>IF(EmployeeData[[#This Row],[Age]]&lt;25,"Under 25",IF(EmployeeData[[#This Row],[Age]]&lt;35,"25-34",IF(EmployeeData[[#This Row],[Age]]&lt;45,"35-44",IF(EmployeeData[[#This Row],[Age]]&lt;55,"45-54","55+"))))</f>
        <v>25-34</v>
      </c>
      <c r="AK231" s="4" t="str">
        <f>IF(EmployeeData[[#This Row],[MonthlyIncome]]&lt;3000,"Below 3K",IF(EmployeeData[[#This Row],[MonthlyIncome]]&lt;6000,"3K-6K",IF(EmployeeData[[#This Row],[MonthlyIncome]]&lt;9000,"6K-9K",IF(EmployeeData[[#This Row],[MonthlyIncome]]&lt;12000,"9K-12K","12K+"))))</f>
        <v>Below 3K</v>
      </c>
    </row>
    <row r="232" spans="1:37" x14ac:dyDescent="0.3">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c r="AJ232" s="4" t="str">
        <f>IF(EmployeeData[[#This Row],[Age]]&lt;25,"Under 25",IF(EmployeeData[[#This Row],[Age]]&lt;35,"25-34",IF(EmployeeData[[#This Row],[Age]]&lt;45,"35-44",IF(EmployeeData[[#This Row],[Age]]&lt;55,"45-54","55+"))))</f>
        <v>45-54</v>
      </c>
      <c r="AK232" s="4" t="str">
        <f>IF(EmployeeData[[#This Row],[MonthlyIncome]]&lt;3000,"Below 3K",IF(EmployeeData[[#This Row],[MonthlyIncome]]&lt;6000,"3K-6K",IF(EmployeeData[[#This Row],[MonthlyIncome]]&lt;9000,"6K-9K",IF(EmployeeData[[#This Row],[MonthlyIncome]]&lt;12000,"9K-12K","12K+"))))</f>
        <v>3K-6K</v>
      </c>
    </row>
    <row r="233" spans="1:37" x14ac:dyDescent="0.3">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c r="AJ233" s="4" t="str">
        <f>IF(EmployeeData[[#This Row],[Age]]&lt;25,"Under 25",IF(EmployeeData[[#This Row],[Age]]&lt;35,"25-34",IF(EmployeeData[[#This Row],[Age]]&lt;45,"35-44",IF(EmployeeData[[#This Row],[Age]]&lt;55,"45-54","55+"))))</f>
        <v>35-44</v>
      </c>
      <c r="AK233" s="4" t="str">
        <f>IF(EmployeeData[[#This Row],[MonthlyIncome]]&lt;3000,"Below 3K",IF(EmployeeData[[#This Row],[MonthlyIncome]]&lt;6000,"3K-6K",IF(EmployeeData[[#This Row],[MonthlyIncome]]&lt;9000,"6K-9K",IF(EmployeeData[[#This Row],[MonthlyIncome]]&lt;12000,"9K-12K","12K+"))))</f>
        <v>12K+</v>
      </c>
    </row>
    <row r="234" spans="1:37" x14ac:dyDescent="0.3">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c r="AJ234" s="4" t="str">
        <f>IF(EmployeeData[[#This Row],[Age]]&lt;25,"Under 25",IF(EmployeeData[[#This Row],[Age]]&lt;35,"25-34",IF(EmployeeData[[#This Row],[Age]]&lt;45,"35-44",IF(EmployeeData[[#This Row],[Age]]&lt;55,"45-54","55+"))))</f>
        <v>55+</v>
      </c>
      <c r="AK234" s="4" t="str">
        <f>IF(EmployeeData[[#This Row],[MonthlyIncome]]&lt;3000,"Below 3K",IF(EmployeeData[[#This Row],[MonthlyIncome]]&lt;6000,"3K-6K",IF(EmployeeData[[#This Row],[MonthlyIncome]]&lt;9000,"6K-9K",IF(EmployeeData[[#This Row],[MonthlyIncome]]&lt;12000,"9K-12K","12K+"))))</f>
        <v>Below 3K</v>
      </c>
    </row>
    <row r="235" spans="1:37" x14ac:dyDescent="0.3">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c r="AJ235" s="4" t="str">
        <f>IF(EmployeeData[[#This Row],[Age]]&lt;25,"Under 25",IF(EmployeeData[[#This Row],[Age]]&lt;35,"25-34",IF(EmployeeData[[#This Row],[Age]]&lt;45,"35-44",IF(EmployeeData[[#This Row],[Age]]&lt;55,"45-54","55+"))))</f>
        <v>45-54</v>
      </c>
      <c r="AK235" s="4" t="str">
        <f>IF(EmployeeData[[#This Row],[MonthlyIncome]]&lt;3000,"Below 3K",IF(EmployeeData[[#This Row],[MonthlyIncome]]&lt;6000,"3K-6K",IF(EmployeeData[[#This Row],[MonthlyIncome]]&lt;9000,"6K-9K",IF(EmployeeData[[#This Row],[MonthlyIncome]]&lt;12000,"9K-12K","12K+"))))</f>
        <v>12K+</v>
      </c>
    </row>
    <row r="236" spans="1:37" x14ac:dyDescent="0.3">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c r="AJ236" s="4" t="str">
        <f>IF(EmployeeData[[#This Row],[Age]]&lt;25,"Under 25",IF(EmployeeData[[#This Row],[Age]]&lt;35,"25-34",IF(EmployeeData[[#This Row],[Age]]&lt;45,"35-44",IF(EmployeeData[[#This Row],[Age]]&lt;55,"45-54","55+"))))</f>
        <v>25-34</v>
      </c>
      <c r="AK236" s="4" t="str">
        <f>IF(EmployeeData[[#This Row],[MonthlyIncome]]&lt;3000,"Below 3K",IF(EmployeeData[[#This Row],[MonthlyIncome]]&lt;6000,"3K-6K",IF(EmployeeData[[#This Row],[MonthlyIncome]]&lt;9000,"6K-9K",IF(EmployeeData[[#This Row],[MonthlyIncome]]&lt;12000,"9K-12K","12K+"))))</f>
        <v>Below 3K</v>
      </c>
    </row>
    <row r="237" spans="1:37" x14ac:dyDescent="0.3">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c r="AJ237" s="4" t="str">
        <f>IF(EmployeeData[[#This Row],[Age]]&lt;25,"Under 25",IF(EmployeeData[[#This Row],[Age]]&lt;35,"25-34",IF(EmployeeData[[#This Row],[Age]]&lt;45,"35-44",IF(EmployeeData[[#This Row],[Age]]&lt;55,"45-54","55+"))))</f>
        <v>35-44</v>
      </c>
      <c r="AK237" s="4" t="str">
        <f>IF(EmployeeData[[#This Row],[MonthlyIncome]]&lt;3000,"Below 3K",IF(EmployeeData[[#This Row],[MonthlyIncome]]&lt;6000,"3K-6K",IF(EmployeeData[[#This Row],[MonthlyIncome]]&lt;9000,"6K-9K",IF(EmployeeData[[#This Row],[MonthlyIncome]]&lt;12000,"9K-12K","12K+"))))</f>
        <v>12K+</v>
      </c>
    </row>
    <row r="238" spans="1:37" x14ac:dyDescent="0.3">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c r="AJ238" s="4" t="str">
        <f>IF(EmployeeData[[#This Row],[Age]]&lt;25,"Under 25",IF(EmployeeData[[#This Row],[Age]]&lt;35,"25-34",IF(EmployeeData[[#This Row],[Age]]&lt;45,"35-44",IF(EmployeeData[[#This Row],[Age]]&lt;55,"45-54","55+"))))</f>
        <v>25-34</v>
      </c>
      <c r="AK238" s="4" t="str">
        <f>IF(EmployeeData[[#This Row],[MonthlyIncome]]&lt;3000,"Below 3K",IF(EmployeeData[[#This Row],[MonthlyIncome]]&lt;6000,"3K-6K",IF(EmployeeData[[#This Row],[MonthlyIncome]]&lt;9000,"6K-9K",IF(EmployeeData[[#This Row],[MonthlyIncome]]&lt;12000,"9K-12K","12K+"))))</f>
        <v>Below 3K</v>
      </c>
    </row>
    <row r="239" spans="1:37" x14ac:dyDescent="0.3">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c r="AJ239" s="4" t="str">
        <f>IF(EmployeeData[[#This Row],[Age]]&lt;25,"Under 25",IF(EmployeeData[[#This Row],[Age]]&lt;35,"25-34",IF(EmployeeData[[#This Row],[Age]]&lt;45,"35-44",IF(EmployeeData[[#This Row],[Age]]&lt;55,"45-54","55+"))))</f>
        <v>45-54</v>
      </c>
      <c r="AK239" s="4" t="str">
        <f>IF(EmployeeData[[#This Row],[MonthlyIncome]]&lt;3000,"Below 3K",IF(EmployeeData[[#This Row],[MonthlyIncome]]&lt;6000,"3K-6K",IF(EmployeeData[[#This Row],[MonthlyIncome]]&lt;9000,"6K-9K",IF(EmployeeData[[#This Row],[MonthlyIncome]]&lt;12000,"9K-12K","12K+"))))</f>
        <v>12K+</v>
      </c>
    </row>
    <row r="240" spans="1:37" x14ac:dyDescent="0.3">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c r="AJ240" s="4" t="str">
        <f>IF(EmployeeData[[#This Row],[Age]]&lt;25,"Under 25",IF(EmployeeData[[#This Row],[Age]]&lt;35,"25-34",IF(EmployeeData[[#This Row],[Age]]&lt;45,"35-44",IF(EmployeeData[[#This Row],[Age]]&lt;55,"45-54","55+"))))</f>
        <v>25-34</v>
      </c>
      <c r="AK240" s="4" t="str">
        <f>IF(EmployeeData[[#This Row],[MonthlyIncome]]&lt;3000,"Below 3K",IF(EmployeeData[[#This Row],[MonthlyIncome]]&lt;6000,"3K-6K",IF(EmployeeData[[#This Row],[MonthlyIncome]]&lt;9000,"6K-9K",IF(EmployeeData[[#This Row],[MonthlyIncome]]&lt;12000,"9K-12K","12K+"))))</f>
        <v>3K-6K</v>
      </c>
    </row>
    <row r="241" spans="1:37" x14ac:dyDescent="0.3">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c r="AJ241" s="4" t="str">
        <f>IF(EmployeeData[[#This Row],[Age]]&lt;25,"Under 25",IF(EmployeeData[[#This Row],[Age]]&lt;35,"25-34",IF(EmployeeData[[#This Row],[Age]]&lt;45,"35-44",IF(EmployeeData[[#This Row],[Age]]&lt;55,"45-54","55+"))))</f>
        <v>25-34</v>
      </c>
      <c r="AK241" s="4" t="str">
        <f>IF(EmployeeData[[#This Row],[MonthlyIncome]]&lt;3000,"Below 3K",IF(EmployeeData[[#This Row],[MonthlyIncome]]&lt;6000,"3K-6K",IF(EmployeeData[[#This Row],[MonthlyIncome]]&lt;9000,"6K-9K",IF(EmployeeData[[#This Row],[MonthlyIncome]]&lt;12000,"9K-12K","12K+"))))</f>
        <v>3K-6K</v>
      </c>
    </row>
    <row r="242" spans="1:37" x14ac:dyDescent="0.3">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c r="AJ242" s="4" t="str">
        <f>IF(EmployeeData[[#This Row],[Age]]&lt;25,"Under 25",IF(EmployeeData[[#This Row],[Age]]&lt;35,"25-34",IF(EmployeeData[[#This Row],[Age]]&lt;45,"35-44",IF(EmployeeData[[#This Row],[Age]]&lt;55,"45-54","55+"))))</f>
        <v>35-44</v>
      </c>
      <c r="AK242" s="4" t="str">
        <f>IF(EmployeeData[[#This Row],[MonthlyIncome]]&lt;3000,"Below 3K",IF(EmployeeData[[#This Row],[MonthlyIncome]]&lt;6000,"3K-6K",IF(EmployeeData[[#This Row],[MonthlyIncome]]&lt;9000,"6K-9K",IF(EmployeeData[[#This Row],[MonthlyIncome]]&lt;12000,"9K-12K","12K+"))))</f>
        <v>Below 3K</v>
      </c>
    </row>
    <row r="243" spans="1:37" x14ac:dyDescent="0.3">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c r="AJ243" s="4" t="str">
        <f>IF(EmployeeData[[#This Row],[Age]]&lt;25,"Under 25",IF(EmployeeData[[#This Row],[Age]]&lt;35,"25-34",IF(EmployeeData[[#This Row],[Age]]&lt;45,"35-44",IF(EmployeeData[[#This Row],[Age]]&lt;55,"45-54","55+"))))</f>
        <v>25-34</v>
      </c>
      <c r="AK243" s="4" t="str">
        <f>IF(EmployeeData[[#This Row],[MonthlyIncome]]&lt;3000,"Below 3K",IF(EmployeeData[[#This Row],[MonthlyIncome]]&lt;6000,"3K-6K",IF(EmployeeData[[#This Row],[MonthlyIncome]]&lt;9000,"6K-9K",IF(EmployeeData[[#This Row],[MonthlyIncome]]&lt;12000,"9K-12K","12K+"))))</f>
        <v>3K-6K</v>
      </c>
    </row>
    <row r="244" spans="1:37" x14ac:dyDescent="0.3">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c r="AJ244" s="4" t="str">
        <f>IF(EmployeeData[[#This Row],[Age]]&lt;25,"Under 25",IF(EmployeeData[[#This Row],[Age]]&lt;35,"25-34",IF(EmployeeData[[#This Row],[Age]]&lt;45,"35-44",IF(EmployeeData[[#This Row],[Age]]&lt;55,"45-54","55+"))))</f>
        <v>35-44</v>
      </c>
      <c r="AK244" s="4" t="str">
        <f>IF(EmployeeData[[#This Row],[MonthlyIncome]]&lt;3000,"Below 3K",IF(EmployeeData[[#This Row],[MonthlyIncome]]&lt;6000,"3K-6K",IF(EmployeeData[[#This Row],[MonthlyIncome]]&lt;9000,"6K-9K",IF(EmployeeData[[#This Row],[MonthlyIncome]]&lt;12000,"9K-12K","12K+"))))</f>
        <v>3K-6K</v>
      </c>
    </row>
    <row r="245" spans="1:37" x14ac:dyDescent="0.3">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c r="AJ245" s="4" t="str">
        <f>IF(EmployeeData[[#This Row],[Age]]&lt;25,"Under 25",IF(EmployeeData[[#This Row],[Age]]&lt;35,"25-34",IF(EmployeeData[[#This Row],[Age]]&lt;45,"35-44",IF(EmployeeData[[#This Row],[Age]]&lt;55,"45-54","55+"))))</f>
        <v>35-44</v>
      </c>
      <c r="AK245" s="4" t="str">
        <f>IF(EmployeeData[[#This Row],[MonthlyIncome]]&lt;3000,"Below 3K",IF(EmployeeData[[#This Row],[MonthlyIncome]]&lt;6000,"3K-6K",IF(EmployeeData[[#This Row],[MonthlyIncome]]&lt;9000,"6K-9K",IF(EmployeeData[[#This Row],[MonthlyIncome]]&lt;12000,"9K-12K","12K+"))))</f>
        <v>3K-6K</v>
      </c>
    </row>
    <row r="246" spans="1:37" x14ac:dyDescent="0.3">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c r="AJ246" s="4" t="str">
        <f>IF(EmployeeData[[#This Row],[Age]]&lt;25,"Under 25",IF(EmployeeData[[#This Row],[Age]]&lt;35,"25-34",IF(EmployeeData[[#This Row],[Age]]&lt;45,"35-44",IF(EmployeeData[[#This Row],[Age]]&lt;55,"45-54","55+"))))</f>
        <v>45-54</v>
      </c>
      <c r="AK246" s="4" t="str">
        <f>IF(EmployeeData[[#This Row],[MonthlyIncome]]&lt;3000,"Below 3K",IF(EmployeeData[[#This Row],[MonthlyIncome]]&lt;6000,"3K-6K",IF(EmployeeData[[#This Row],[MonthlyIncome]]&lt;9000,"6K-9K",IF(EmployeeData[[#This Row],[MonthlyIncome]]&lt;12000,"9K-12K","12K+"))))</f>
        <v>12K+</v>
      </c>
    </row>
    <row r="247" spans="1:37" x14ac:dyDescent="0.3">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c r="AJ247" s="4" t="str">
        <f>IF(EmployeeData[[#This Row],[Age]]&lt;25,"Under 25",IF(EmployeeData[[#This Row],[Age]]&lt;35,"25-34",IF(EmployeeData[[#This Row],[Age]]&lt;45,"35-44",IF(EmployeeData[[#This Row],[Age]]&lt;55,"45-54","55+"))))</f>
        <v>25-34</v>
      </c>
      <c r="AK247" s="4" t="str">
        <f>IF(EmployeeData[[#This Row],[MonthlyIncome]]&lt;3000,"Below 3K",IF(EmployeeData[[#This Row],[MonthlyIncome]]&lt;6000,"3K-6K",IF(EmployeeData[[#This Row],[MonthlyIncome]]&lt;9000,"6K-9K",IF(EmployeeData[[#This Row],[MonthlyIncome]]&lt;12000,"9K-12K","12K+"))))</f>
        <v>12K+</v>
      </c>
    </row>
    <row r="248" spans="1:37" x14ac:dyDescent="0.3">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c r="AJ248" s="4" t="str">
        <f>IF(EmployeeData[[#This Row],[Age]]&lt;25,"Under 25",IF(EmployeeData[[#This Row],[Age]]&lt;35,"25-34",IF(EmployeeData[[#This Row],[Age]]&lt;45,"35-44",IF(EmployeeData[[#This Row],[Age]]&lt;55,"45-54","55+"))))</f>
        <v>25-34</v>
      </c>
      <c r="AK248" s="4" t="str">
        <f>IF(EmployeeData[[#This Row],[MonthlyIncome]]&lt;3000,"Below 3K",IF(EmployeeData[[#This Row],[MonthlyIncome]]&lt;6000,"3K-6K",IF(EmployeeData[[#This Row],[MonthlyIncome]]&lt;9000,"6K-9K",IF(EmployeeData[[#This Row],[MonthlyIncome]]&lt;12000,"9K-12K","12K+"))))</f>
        <v>Below 3K</v>
      </c>
    </row>
    <row r="249" spans="1:37" x14ac:dyDescent="0.3">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c r="AJ249" s="4" t="str">
        <f>IF(EmployeeData[[#This Row],[Age]]&lt;25,"Under 25",IF(EmployeeData[[#This Row],[Age]]&lt;35,"25-34",IF(EmployeeData[[#This Row],[Age]]&lt;45,"35-44",IF(EmployeeData[[#This Row],[Age]]&lt;55,"45-54","55+"))))</f>
        <v>25-34</v>
      </c>
      <c r="AK249" s="4" t="str">
        <f>IF(EmployeeData[[#This Row],[MonthlyIncome]]&lt;3000,"Below 3K",IF(EmployeeData[[#This Row],[MonthlyIncome]]&lt;6000,"3K-6K",IF(EmployeeData[[#This Row],[MonthlyIncome]]&lt;9000,"6K-9K",IF(EmployeeData[[#This Row],[MonthlyIncome]]&lt;12000,"9K-12K","12K+"))))</f>
        <v>3K-6K</v>
      </c>
    </row>
    <row r="250" spans="1:37" x14ac:dyDescent="0.3">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c r="AJ250" s="4" t="str">
        <f>IF(EmployeeData[[#This Row],[Age]]&lt;25,"Under 25",IF(EmployeeData[[#This Row],[Age]]&lt;35,"25-34",IF(EmployeeData[[#This Row],[Age]]&lt;45,"35-44",IF(EmployeeData[[#This Row],[Age]]&lt;55,"45-54","55+"))))</f>
        <v>35-44</v>
      </c>
      <c r="AK250" s="4" t="str">
        <f>IF(EmployeeData[[#This Row],[MonthlyIncome]]&lt;3000,"Below 3K",IF(EmployeeData[[#This Row],[MonthlyIncome]]&lt;6000,"3K-6K",IF(EmployeeData[[#This Row],[MonthlyIncome]]&lt;9000,"6K-9K",IF(EmployeeData[[#This Row],[MonthlyIncome]]&lt;12000,"9K-12K","12K+"))))</f>
        <v>3K-6K</v>
      </c>
    </row>
    <row r="251" spans="1:37" x14ac:dyDescent="0.3">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c r="AJ251" s="4" t="str">
        <f>IF(EmployeeData[[#This Row],[Age]]&lt;25,"Under 25",IF(EmployeeData[[#This Row],[Age]]&lt;35,"25-34",IF(EmployeeData[[#This Row],[Age]]&lt;45,"35-44",IF(EmployeeData[[#This Row],[Age]]&lt;55,"45-54","55+"))))</f>
        <v>45-54</v>
      </c>
      <c r="AK251" s="4" t="str">
        <f>IF(EmployeeData[[#This Row],[MonthlyIncome]]&lt;3000,"Below 3K",IF(EmployeeData[[#This Row],[MonthlyIncome]]&lt;6000,"3K-6K",IF(EmployeeData[[#This Row],[MonthlyIncome]]&lt;9000,"6K-9K",IF(EmployeeData[[#This Row],[MonthlyIncome]]&lt;12000,"9K-12K","12K+"))))</f>
        <v>6K-9K</v>
      </c>
    </row>
    <row r="252" spans="1:37" x14ac:dyDescent="0.3">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c r="AJ252" s="4" t="str">
        <f>IF(EmployeeData[[#This Row],[Age]]&lt;25,"Under 25",IF(EmployeeData[[#This Row],[Age]]&lt;35,"25-34",IF(EmployeeData[[#This Row],[Age]]&lt;45,"35-44",IF(EmployeeData[[#This Row],[Age]]&lt;55,"45-54","55+"))))</f>
        <v>35-44</v>
      </c>
      <c r="AK252" s="4" t="str">
        <f>IF(EmployeeData[[#This Row],[MonthlyIncome]]&lt;3000,"Below 3K",IF(EmployeeData[[#This Row],[MonthlyIncome]]&lt;6000,"3K-6K",IF(EmployeeData[[#This Row],[MonthlyIncome]]&lt;9000,"6K-9K",IF(EmployeeData[[#This Row],[MonthlyIncome]]&lt;12000,"9K-12K","12K+"))))</f>
        <v>9K-12K</v>
      </c>
    </row>
    <row r="253" spans="1:37" x14ac:dyDescent="0.3">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c r="AJ253" s="4" t="str">
        <f>IF(EmployeeData[[#This Row],[Age]]&lt;25,"Under 25",IF(EmployeeData[[#This Row],[Age]]&lt;35,"25-34",IF(EmployeeData[[#This Row],[Age]]&lt;45,"35-44",IF(EmployeeData[[#This Row],[Age]]&lt;55,"45-54","55+"))))</f>
        <v>35-44</v>
      </c>
      <c r="AK253" s="4" t="str">
        <f>IF(EmployeeData[[#This Row],[MonthlyIncome]]&lt;3000,"Below 3K",IF(EmployeeData[[#This Row],[MonthlyIncome]]&lt;6000,"3K-6K",IF(EmployeeData[[#This Row],[MonthlyIncome]]&lt;9000,"6K-9K",IF(EmployeeData[[#This Row],[MonthlyIncome]]&lt;12000,"9K-12K","12K+"))))</f>
        <v>9K-12K</v>
      </c>
    </row>
    <row r="254" spans="1:37" x14ac:dyDescent="0.3">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c r="AJ254" s="4" t="str">
        <f>IF(EmployeeData[[#This Row],[Age]]&lt;25,"Under 25",IF(EmployeeData[[#This Row],[Age]]&lt;35,"25-34",IF(EmployeeData[[#This Row],[Age]]&lt;45,"35-44",IF(EmployeeData[[#This Row],[Age]]&lt;55,"45-54","55+"))))</f>
        <v>25-34</v>
      </c>
      <c r="AK254" s="4" t="str">
        <f>IF(EmployeeData[[#This Row],[MonthlyIncome]]&lt;3000,"Below 3K",IF(EmployeeData[[#This Row],[MonthlyIncome]]&lt;6000,"3K-6K",IF(EmployeeData[[#This Row],[MonthlyIncome]]&lt;9000,"6K-9K",IF(EmployeeData[[#This Row],[MonthlyIncome]]&lt;12000,"9K-12K","12K+"))))</f>
        <v>Below 3K</v>
      </c>
    </row>
    <row r="255" spans="1:37" x14ac:dyDescent="0.3">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c r="AJ255" s="4" t="str">
        <f>IF(EmployeeData[[#This Row],[Age]]&lt;25,"Under 25",IF(EmployeeData[[#This Row],[Age]]&lt;35,"25-34",IF(EmployeeData[[#This Row],[Age]]&lt;45,"35-44",IF(EmployeeData[[#This Row],[Age]]&lt;55,"45-54","55+"))))</f>
        <v>35-44</v>
      </c>
      <c r="AK255" s="4" t="str">
        <f>IF(EmployeeData[[#This Row],[MonthlyIncome]]&lt;3000,"Below 3K",IF(EmployeeData[[#This Row],[MonthlyIncome]]&lt;6000,"3K-6K",IF(EmployeeData[[#This Row],[MonthlyIncome]]&lt;9000,"6K-9K",IF(EmployeeData[[#This Row],[MonthlyIncome]]&lt;12000,"9K-12K","12K+"))))</f>
        <v>6K-9K</v>
      </c>
    </row>
    <row r="256" spans="1:37" x14ac:dyDescent="0.3">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c r="AJ256" s="4" t="str">
        <f>IF(EmployeeData[[#This Row],[Age]]&lt;25,"Under 25",IF(EmployeeData[[#This Row],[Age]]&lt;35,"25-34",IF(EmployeeData[[#This Row],[Age]]&lt;45,"35-44",IF(EmployeeData[[#This Row],[Age]]&lt;55,"45-54","55+"))))</f>
        <v>25-34</v>
      </c>
      <c r="AK256" s="4" t="str">
        <f>IF(EmployeeData[[#This Row],[MonthlyIncome]]&lt;3000,"Below 3K",IF(EmployeeData[[#This Row],[MonthlyIncome]]&lt;6000,"3K-6K",IF(EmployeeData[[#This Row],[MonthlyIncome]]&lt;9000,"6K-9K",IF(EmployeeData[[#This Row],[MonthlyIncome]]&lt;12000,"9K-12K","12K+"))))</f>
        <v>6K-9K</v>
      </c>
    </row>
    <row r="257" spans="1:37" x14ac:dyDescent="0.3">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c r="AJ257" s="4" t="str">
        <f>IF(EmployeeData[[#This Row],[Age]]&lt;25,"Under 25",IF(EmployeeData[[#This Row],[Age]]&lt;35,"25-34",IF(EmployeeData[[#This Row],[Age]]&lt;45,"35-44",IF(EmployeeData[[#This Row],[Age]]&lt;55,"45-54","55+"))))</f>
        <v>25-34</v>
      </c>
      <c r="AK257" s="4" t="str">
        <f>IF(EmployeeData[[#This Row],[MonthlyIncome]]&lt;3000,"Below 3K",IF(EmployeeData[[#This Row],[MonthlyIncome]]&lt;6000,"3K-6K",IF(EmployeeData[[#This Row],[MonthlyIncome]]&lt;9000,"6K-9K",IF(EmployeeData[[#This Row],[MonthlyIncome]]&lt;12000,"9K-12K","12K+"))))</f>
        <v>3K-6K</v>
      </c>
    </row>
    <row r="258" spans="1:37" x14ac:dyDescent="0.3">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c r="AJ258" s="4" t="str">
        <f>IF(EmployeeData[[#This Row],[Age]]&lt;25,"Under 25",IF(EmployeeData[[#This Row],[Age]]&lt;35,"25-34",IF(EmployeeData[[#This Row],[Age]]&lt;45,"35-44",IF(EmployeeData[[#This Row],[Age]]&lt;55,"45-54","55+"))))</f>
        <v>35-44</v>
      </c>
      <c r="AK258" s="4" t="str">
        <f>IF(EmployeeData[[#This Row],[MonthlyIncome]]&lt;3000,"Below 3K",IF(EmployeeData[[#This Row],[MonthlyIncome]]&lt;6000,"3K-6K",IF(EmployeeData[[#This Row],[MonthlyIncome]]&lt;9000,"6K-9K",IF(EmployeeData[[#This Row],[MonthlyIncome]]&lt;12000,"9K-12K","12K+"))))</f>
        <v>Below 3K</v>
      </c>
    </row>
    <row r="259" spans="1:37" x14ac:dyDescent="0.3">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c r="AJ259" s="4" t="str">
        <f>IF(EmployeeData[[#This Row],[Age]]&lt;25,"Under 25",IF(EmployeeData[[#This Row],[Age]]&lt;35,"25-34",IF(EmployeeData[[#This Row],[Age]]&lt;45,"35-44",IF(EmployeeData[[#This Row],[Age]]&lt;55,"45-54","55+"))))</f>
        <v>35-44</v>
      </c>
      <c r="AK259" s="4" t="str">
        <f>IF(EmployeeData[[#This Row],[MonthlyIncome]]&lt;3000,"Below 3K",IF(EmployeeData[[#This Row],[MonthlyIncome]]&lt;6000,"3K-6K",IF(EmployeeData[[#This Row],[MonthlyIncome]]&lt;9000,"6K-9K",IF(EmployeeData[[#This Row],[MonthlyIncome]]&lt;12000,"9K-12K","12K+"))))</f>
        <v>12K+</v>
      </c>
    </row>
    <row r="260" spans="1:37" x14ac:dyDescent="0.3">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c r="AJ260" s="4" t="str">
        <f>IF(EmployeeData[[#This Row],[Age]]&lt;25,"Under 25",IF(EmployeeData[[#This Row],[Age]]&lt;35,"25-34",IF(EmployeeData[[#This Row],[Age]]&lt;45,"35-44",IF(EmployeeData[[#This Row],[Age]]&lt;55,"45-54","55+"))))</f>
        <v>45-54</v>
      </c>
      <c r="AK260" s="4" t="str">
        <f>IF(EmployeeData[[#This Row],[MonthlyIncome]]&lt;3000,"Below 3K",IF(EmployeeData[[#This Row],[MonthlyIncome]]&lt;6000,"3K-6K",IF(EmployeeData[[#This Row],[MonthlyIncome]]&lt;9000,"6K-9K",IF(EmployeeData[[#This Row],[MonthlyIncome]]&lt;12000,"9K-12K","12K+"))))</f>
        <v>Below 3K</v>
      </c>
    </row>
    <row r="261" spans="1:37" x14ac:dyDescent="0.3">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c r="AJ261" s="4" t="str">
        <f>IF(EmployeeData[[#This Row],[Age]]&lt;25,"Under 25",IF(EmployeeData[[#This Row],[Age]]&lt;35,"25-34",IF(EmployeeData[[#This Row],[Age]]&lt;45,"35-44",IF(EmployeeData[[#This Row],[Age]]&lt;55,"45-54","55+"))))</f>
        <v>25-34</v>
      </c>
      <c r="AK261" s="4" t="str">
        <f>IF(EmployeeData[[#This Row],[MonthlyIncome]]&lt;3000,"Below 3K",IF(EmployeeData[[#This Row],[MonthlyIncome]]&lt;6000,"3K-6K",IF(EmployeeData[[#This Row],[MonthlyIncome]]&lt;9000,"6K-9K",IF(EmployeeData[[#This Row],[MonthlyIncome]]&lt;12000,"9K-12K","12K+"))))</f>
        <v>3K-6K</v>
      </c>
    </row>
    <row r="262" spans="1:37" x14ac:dyDescent="0.3">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c r="AJ262" s="4" t="str">
        <f>IF(EmployeeData[[#This Row],[Age]]&lt;25,"Under 25",IF(EmployeeData[[#This Row],[Age]]&lt;35,"25-34",IF(EmployeeData[[#This Row],[Age]]&lt;45,"35-44",IF(EmployeeData[[#This Row],[Age]]&lt;55,"45-54","55+"))))</f>
        <v>25-34</v>
      </c>
      <c r="AK262" s="4" t="str">
        <f>IF(EmployeeData[[#This Row],[MonthlyIncome]]&lt;3000,"Below 3K",IF(EmployeeData[[#This Row],[MonthlyIncome]]&lt;6000,"3K-6K",IF(EmployeeData[[#This Row],[MonthlyIncome]]&lt;9000,"6K-9K",IF(EmployeeData[[#This Row],[MonthlyIncome]]&lt;12000,"9K-12K","12K+"))))</f>
        <v>Below 3K</v>
      </c>
    </row>
    <row r="263" spans="1:37" x14ac:dyDescent="0.3">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c r="AJ263" s="4" t="str">
        <f>IF(EmployeeData[[#This Row],[Age]]&lt;25,"Under 25",IF(EmployeeData[[#This Row],[Age]]&lt;35,"25-34",IF(EmployeeData[[#This Row],[Age]]&lt;45,"35-44",IF(EmployeeData[[#This Row],[Age]]&lt;55,"45-54","55+"))))</f>
        <v>35-44</v>
      </c>
      <c r="AK263" s="4" t="str">
        <f>IF(EmployeeData[[#This Row],[MonthlyIncome]]&lt;3000,"Below 3K",IF(EmployeeData[[#This Row],[MonthlyIncome]]&lt;6000,"3K-6K",IF(EmployeeData[[#This Row],[MonthlyIncome]]&lt;9000,"6K-9K",IF(EmployeeData[[#This Row],[MonthlyIncome]]&lt;12000,"9K-12K","12K+"))))</f>
        <v>3K-6K</v>
      </c>
    </row>
    <row r="264" spans="1:37" x14ac:dyDescent="0.3">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c r="AJ264" s="4" t="str">
        <f>IF(EmployeeData[[#This Row],[Age]]&lt;25,"Under 25",IF(EmployeeData[[#This Row],[Age]]&lt;35,"25-34",IF(EmployeeData[[#This Row],[Age]]&lt;45,"35-44",IF(EmployeeData[[#This Row],[Age]]&lt;55,"45-54","55+"))))</f>
        <v>25-34</v>
      </c>
      <c r="AK264" s="4" t="str">
        <f>IF(EmployeeData[[#This Row],[MonthlyIncome]]&lt;3000,"Below 3K",IF(EmployeeData[[#This Row],[MonthlyIncome]]&lt;6000,"3K-6K",IF(EmployeeData[[#This Row],[MonthlyIncome]]&lt;9000,"6K-9K",IF(EmployeeData[[#This Row],[MonthlyIncome]]&lt;12000,"9K-12K","12K+"))))</f>
        <v>Below 3K</v>
      </c>
    </row>
    <row r="265" spans="1:37" x14ac:dyDescent="0.3">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c r="AJ265" s="4" t="str">
        <f>IF(EmployeeData[[#This Row],[Age]]&lt;25,"Under 25",IF(EmployeeData[[#This Row],[Age]]&lt;35,"25-34",IF(EmployeeData[[#This Row],[Age]]&lt;45,"35-44",IF(EmployeeData[[#This Row],[Age]]&lt;55,"45-54","55+"))))</f>
        <v>45-54</v>
      </c>
      <c r="AK265" s="4" t="str">
        <f>IF(EmployeeData[[#This Row],[MonthlyIncome]]&lt;3000,"Below 3K",IF(EmployeeData[[#This Row],[MonthlyIncome]]&lt;6000,"3K-6K",IF(EmployeeData[[#This Row],[MonthlyIncome]]&lt;9000,"6K-9K",IF(EmployeeData[[#This Row],[MonthlyIncome]]&lt;12000,"9K-12K","12K+"))))</f>
        <v>12K+</v>
      </c>
    </row>
    <row r="266" spans="1:37" x14ac:dyDescent="0.3">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c r="AJ266" s="4" t="str">
        <f>IF(EmployeeData[[#This Row],[Age]]&lt;25,"Under 25",IF(EmployeeData[[#This Row],[Age]]&lt;35,"25-34",IF(EmployeeData[[#This Row],[Age]]&lt;45,"35-44",IF(EmployeeData[[#This Row],[Age]]&lt;55,"45-54","55+"))))</f>
        <v>25-34</v>
      </c>
      <c r="AK266" s="4" t="str">
        <f>IF(EmployeeData[[#This Row],[MonthlyIncome]]&lt;3000,"Below 3K",IF(EmployeeData[[#This Row],[MonthlyIncome]]&lt;6000,"3K-6K",IF(EmployeeData[[#This Row],[MonthlyIncome]]&lt;9000,"6K-9K",IF(EmployeeData[[#This Row],[MonthlyIncome]]&lt;12000,"9K-12K","12K+"))))</f>
        <v>3K-6K</v>
      </c>
    </row>
    <row r="267" spans="1:37" x14ac:dyDescent="0.3">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c r="AJ267" s="4" t="str">
        <f>IF(EmployeeData[[#This Row],[Age]]&lt;25,"Under 25",IF(EmployeeData[[#This Row],[Age]]&lt;35,"25-34",IF(EmployeeData[[#This Row],[Age]]&lt;45,"35-44",IF(EmployeeData[[#This Row],[Age]]&lt;55,"45-54","55+"))))</f>
        <v>25-34</v>
      </c>
      <c r="AK267" s="4" t="str">
        <f>IF(EmployeeData[[#This Row],[MonthlyIncome]]&lt;3000,"Below 3K",IF(EmployeeData[[#This Row],[MonthlyIncome]]&lt;6000,"3K-6K",IF(EmployeeData[[#This Row],[MonthlyIncome]]&lt;9000,"6K-9K",IF(EmployeeData[[#This Row],[MonthlyIncome]]&lt;12000,"9K-12K","12K+"))))</f>
        <v>6K-9K</v>
      </c>
    </row>
    <row r="268" spans="1:37" x14ac:dyDescent="0.3">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c r="AJ268" s="4" t="str">
        <f>IF(EmployeeData[[#This Row],[Age]]&lt;25,"Under 25",IF(EmployeeData[[#This Row],[Age]]&lt;35,"25-34",IF(EmployeeData[[#This Row],[Age]]&lt;45,"35-44",IF(EmployeeData[[#This Row],[Age]]&lt;55,"45-54","55+"))))</f>
        <v>25-34</v>
      </c>
      <c r="AK268" s="4" t="str">
        <f>IF(EmployeeData[[#This Row],[MonthlyIncome]]&lt;3000,"Below 3K",IF(EmployeeData[[#This Row],[MonthlyIncome]]&lt;6000,"3K-6K",IF(EmployeeData[[#This Row],[MonthlyIncome]]&lt;9000,"6K-9K",IF(EmployeeData[[#This Row],[MonthlyIncome]]&lt;12000,"9K-12K","12K+"))))</f>
        <v>3K-6K</v>
      </c>
    </row>
    <row r="269" spans="1:37" x14ac:dyDescent="0.3">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c r="AJ269" s="4" t="str">
        <f>IF(EmployeeData[[#This Row],[Age]]&lt;25,"Under 25",IF(EmployeeData[[#This Row],[Age]]&lt;35,"25-34",IF(EmployeeData[[#This Row],[Age]]&lt;45,"35-44",IF(EmployeeData[[#This Row],[Age]]&lt;55,"45-54","55+"))))</f>
        <v>25-34</v>
      </c>
      <c r="AK269" s="4" t="str">
        <f>IF(EmployeeData[[#This Row],[MonthlyIncome]]&lt;3000,"Below 3K",IF(EmployeeData[[#This Row],[MonthlyIncome]]&lt;6000,"3K-6K",IF(EmployeeData[[#This Row],[MonthlyIncome]]&lt;9000,"6K-9K",IF(EmployeeData[[#This Row],[MonthlyIncome]]&lt;12000,"9K-12K","12K+"))))</f>
        <v>3K-6K</v>
      </c>
    </row>
    <row r="270" spans="1:37" x14ac:dyDescent="0.3">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c r="AJ270" s="4" t="str">
        <f>IF(EmployeeData[[#This Row],[Age]]&lt;25,"Under 25",IF(EmployeeData[[#This Row],[Age]]&lt;35,"25-34",IF(EmployeeData[[#This Row],[Age]]&lt;45,"35-44",IF(EmployeeData[[#This Row],[Age]]&lt;55,"45-54","55+"))))</f>
        <v>45-54</v>
      </c>
      <c r="AK270" s="4" t="str">
        <f>IF(EmployeeData[[#This Row],[MonthlyIncome]]&lt;3000,"Below 3K",IF(EmployeeData[[#This Row],[MonthlyIncome]]&lt;6000,"3K-6K",IF(EmployeeData[[#This Row],[MonthlyIncome]]&lt;9000,"6K-9K",IF(EmployeeData[[#This Row],[MonthlyIncome]]&lt;12000,"9K-12K","12K+"))))</f>
        <v>12K+</v>
      </c>
    </row>
    <row r="271" spans="1:37" x14ac:dyDescent="0.3">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c r="AJ271" s="4" t="str">
        <f>IF(EmployeeData[[#This Row],[Age]]&lt;25,"Under 25",IF(EmployeeData[[#This Row],[Age]]&lt;35,"25-34",IF(EmployeeData[[#This Row],[Age]]&lt;45,"35-44",IF(EmployeeData[[#This Row],[Age]]&lt;55,"45-54","55+"))))</f>
        <v>35-44</v>
      </c>
      <c r="AK271" s="4" t="str">
        <f>IF(EmployeeData[[#This Row],[MonthlyIncome]]&lt;3000,"Below 3K",IF(EmployeeData[[#This Row],[MonthlyIncome]]&lt;6000,"3K-6K",IF(EmployeeData[[#This Row],[MonthlyIncome]]&lt;9000,"6K-9K",IF(EmployeeData[[#This Row],[MonthlyIncome]]&lt;12000,"9K-12K","12K+"))))</f>
        <v>3K-6K</v>
      </c>
    </row>
    <row r="272" spans="1:37" x14ac:dyDescent="0.3">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c r="AJ272" s="4" t="str">
        <f>IF(EmployeeData[[#This Row],[Age]]&lt;25,"Under 25",IF(EmployeeData[[#This Row],[Age]]&lt;35,"25-34",IF(EmployeeData[[#This Row],[Age]]&lt;45,"35-44",IF(EmployeeData[[#This Row],[Age]]&lt;55,"45-54","55+"))))</f>
        <v>55+</v>
      </c>
      <c r="AK272" s="4" t="str">
        <f>IF(EmployeeData[[#This Row],[MonthlyIncome]]&lt;3000,"Below 3K",IF(EmployeeData[[#This Row],[MonthlyIncome]]&lt;6000,"3K-6K",IF(EmployeeData[[#This Row],[MonthlyIncome]]&lt;9000,"6K-9K",IF(EmployeeData[[#This Row],[MonthlyIncome]]&lt;12000,"9K-12K","12K+"))))</f>
        <v>12K+</v>
      </c>
    </row>
    <row r="273" spans="1:37" x14ac:dyDescent="0.3">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c r="AJ273" s="4" t="str">
        <f>IF(EmployeeData[[#This Row],[Age]]&lt;25,"Under 25",IF(EmployeeData[[#This Row],[Age]]&lt;35,"25-34",IF(EmployeeData[[#This Row],[Age]]&lt;45,"35-44",IF(EmployeeData[[#This Row],[Age]]&lt;55,"45-54","55+"))))</f>
        <v>45-54</v>
      </c>
      <c r="AK273" s="4" t="str">
        <f>IF(EmployeeData[[#This Row],[MonthlyIncome]]&lt;3000,"Below 3K",IF(EmployeeData[[#This Row],[MonthlyIncome]]&lt;6000,"3K-6K",IF(EmployeeData[[#This Row],[MonthlyIncome]]&lt;9000,"6K-9K",IF(EmployeeData[[#This Row],[MonthlyIncome]]&lt;12000,"9K-12K","12K+"))))</f>
        <v>9K-12K</v>
      </c>
    </row>
    <row r="274" spans="1:37" x14ac:dyDescent="0.3">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c r="AJ274" s="4" t="str">
        <f>IF(EmployeeData[[#This Row],[Age]]&lt;25,"Under 25",IF(EmployeeData[[#This Row],[Age]]&lt;35,"25-34",IF(EmployeeData[[#This Row],[Age]]&lt;45,"35-44",IF(EmployeeData[[#This Row],[Age]]&lt;55,"45-54","55+"))))</f>
        <v>25-34</v>
      </c>
      <c r="AK274" s="4" t="str">
        <f>IF(EmployeeData[[#This Row],[MonthlyIncome]]&lt;3000,"Below 3K",IF(EmployeeData[[#This Row],[MonthlyIncome]]&lt;6000,"3K-6K",IF(EmployeeData[[#This Row],[MonthlyIncome]]&lt;9000,"6K-9K",IF(EmployeeData[[#This Row],[MonthlyIncome]]&lt;12000,"9K-12K","12K+"))))</f>
        <v>Below 3K</v>
      </c>
    </row>
    <row r="275" spans="1:37" x14ac:dyDescent="0.3">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c r="AJ275" s="4" t="str">
        <f>IF(EmployeeData[[#This Row],[Age]]&lt;25,"Under 25",IF(EmployeeData[[#This Row],[Age]]&lt;35,"25-34",IF(EmployeeData[[#This Row],[Age]]&lt;45,"35-44",IF(EmployeeData[[#This Row],[Age]]&lt;55,"45-54","55+"))))</f>
        <v>35-44</v>
      </c>
      <c r="AK275" s="4" t="str">
        <f>IF(EmployeeData[[#This Row],[MonthlyIncome]]&lt;3000,"Below 3K",IF(EmployeeData[[#This Row],[MonthlyIncome]]&lt;6000,"3K-6K",IF(EmployeeData[[#This Row],[MonthlyIncome]]&lt;9000,"6K-9K",IF(EmployeeData[[#This Row],[MonthlyIncome]]&lt;12000,"9K-12K","12K+"))))</f>
        <v>6K-9K</v>
      </c>
    </row>
    <row r="276" spans="1:37" x14ac:dyDescent="0.3">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c r="AJ276" s="4" t="str">
        <f>IF(EmployeeData[[#This Row],[Age]]&lt;25,"Under 25",IF(EmployeeData[[#This Row],[Age]]&lt;35,"25-34",IF(EmployeeData[[#This Row],[Age]]&lt;45,"35-44",IF(EmployeeData[[#This Row],[Age]]&lt;55,"45-54","55+"))))</f>
        <v>Under 25</v>
      </c>
      <c r="AK276" s="4" t="str">
        <f>IF(EmployeeData[[#This Row],[MonthlyIncome]]&lt;3000,"Below 3K",IF(EmployeeData[[#This Row],[MonthlyIncome]]&lt;6000,"3K-6K",IF(EmployeeData[[#This Row],[MonthlyIncome]]&lt;9000,"6K-9K",IF(EmployeeData[[#This Row],[MonthlyIncome]]&lt;12000,"9K-12K","12K+"))))</f>
        <v>3K-6K</v>
      </c>
    </row>
    <row r="277" spans="1:37" x14ac:dyDescent="0.3">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c r="AJ277" s="4" t="str">
        <f>IF(EmployeeData[[#This Row],[Age]]&lt;25,"Under 25",IF(EmployeeData[[#This Row],[Age]]&lt;35,"25-34",IF(EmployeeData[[#This Row],[Age]]&lt;45,"35-44",IF(EmployeeData[[#This Row],[Age]]&lt;55,"45-54","55+"))))</f>
        <v>35-44</v>
      </c>
      <c r="AK277" s="4" t="str">
        <f>IF(EmployeeData[[#This Row],[MonthlyIncome]]&lt;3000,"Below 3K",IF(EmployeeData[[#This Row],[MonthlyIncome]]&lt;6000,"3K-6K",IF(EmployeeData[[#This Row],[MonthlyIncome]]&lt;9000,"6K-9K",IF(EmployeeData[[#This Row],[MonthlyIncome]]&lt;12000,"9K-12K","12K+"))))</f>
        <v>12K+</v>
      </c>
    </row>
    <row r="278" spans="1:37" x14ac:dyDescent="0.3">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c r="AJ278" s="4" t="str">
        <f>IF(EmployeeData[[#This Row],[Age]]&lt;25,"Under 25",IF(EmployeeData[[#This Row],[Age]]&lt;35,"25-34",IF(EmployeeData[[#This Row],[Age]]&lt;45,"35-44",IF(EmployeeData[[#This Row],[Age]]&lt;55,"45-54","55+"))))</f>
        <v>35-44</v>
      </c>
      <c r="AK278" s="4" t="str">
        <f>IF(EmployeeData[[#This Row],[MonthlyIncome]]&lt;3000,"Below 3K",IF(EmployeeData[[#This Row],[MonthlyIncome]]&lt;6000,"3K-6K",IF(EmployeeData[[#This Row],[MonthlyIncome]]&lt;9000,"6K-9K",IF(EmployeeData[[#This Row],[MonthlyIncome]]&lt;12000,"9K-12K","12K+"))))</f>
        <v>9K-12K</v>
      </c>
    </row>
    <row r="279" spans="1:37" x14ac:dyDescent="0.3">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c r="AJ279" s="4" t="str">
        <f>IF(EmployeeData[[#This Row],[Age]]&lt;25,"Under 25",IF(EmployeeData[[#This Row],[Age]]&lt;35,"25-34",IF(EmployeeData[[#This Row],[Age]]&lt;45,"35-44",IF(EmployeeData[[#This Row],[Age]]&lt;55,"45-54","55+"))))</f>
        <v>35-44</v>
      </c>
      <c r="AK279" s="4" t="str">
        <f>IF(EmployeeData[[#This Row],[MonthlyIncome]]&lt;3000,"Below 3K",IF(EmployeeData[[#This Row],[MonthlyIncome]]&lt;6000,"3K-6K",IF(EmployeeData[[#This Row],[MonthlyIncome]]&lt;9000,"6K-9K",IF(EmployeeData[[#This Row],[MonthlyIncome]]&lt;12000,"9K-12K","12K+"))))</f>
        <v>3K-6K</v>
      </c>
    </row>
    <row r="280" spans="1:37" x14ac:dyDescent="0.3">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c r="AJ280" s="4" t="str">
        <f>IF(EmployeeData[[#This Row],[Age]]&lt;25,"Under 25",IF(EmployeeData[[#This Row],[Age]]&lt;35,"25-34",IF(EmployeeData[[#This Row],[Age]]&lt;45,"35-44",IF(EmployeeData[[#This Row],[Age]]&lt;55,"45-54","55+"))))</f>
        <v>25-34</v>
      </c>
      <c r="AK280" s="4" t="str">
        <f>IF(EmployeeData[[#This Row],[MonthlyIncome]]&lt;3000,"Below 3K",IF(EmployeeData[[#This Row],[MonthlyIncome]]&lt;6000,"3K-6K",IF(EmployeeData[[#This Row],[MonthlyIncome]]&lt;9000,"6K-9K",IF(EmployeeData[[#This Row],[MonthlyIncome]]&lt;12000,"9K-12K","12K+"))))</f>
        <v>6K-9K</v>
      </c>
    </row>
    <row r="281" spans="1:37" x14ac:dyDescent="0.3">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c r="AJ281" s="4" t="str">
        <f>IF(EmployeeData[[#This Row],[Age]]&lt;25,"Under 25",IF(EmployeeData[[#This Row],[Age]]&lt;35,"25-34",IF(EmployeeData[[#This Row],[Age]]&lt;45,"35-44",IF(EmployeeData[[#This Row],[Age]]&lt;55,"45-54","55+"))))</f>
        <v>45-54</v>
      </c>
      <c r="AK281" s="4" t="str">
        <f>IF(EmployeeData[[#This Row],[MonthlyIncome]]&lt;3000,"Below 3K",IF(EmployeeData[[#This Row],[MonthlyIncome]]&lt;6000,"3K-6K",IF(EmployeeData[[#This Row],[MonthlyIncome]]&lt;9000,"6K-9K",IF(EmployeeData[[#This Row],[MonthlyIncome]]&lt;12000,"9K-12K","12K+"))))</f>
        <v>12K+</v>
      </c>
    </row>
    <row r="282" spans="1:37" x14ac:dyDescent="0.3">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c r="AJ282" s="4" t="str">
        <f>IF(EmployeeData[[#This Row],[Age]]&lt;25,"Under 25",IF(EmployeeData[[#This Row],[Age]]&lt;35,"25-34",IF(EmployeeData[[#This Row],[Age]]&lt;45,"35-44",IF(EmployeeData[[#This Row],[Age]]&lt;55,"45-54","55+"))))</f>
        <v>45-54</v>
      </c>
      <c r="AK282" s="4" t="str">
        <f>IF(EmployeeData[[#This Row],[MonthlyIncome]]&lt;3000,"Below 3K",IF(EmployeeData[[#This Row],[MonthlyIncome]]&lt;6000,"3K-6K",IF(EmployeeData[[#This Row],[MonthlyIncome]]&lt;9000,"6K-9K",IF(EmployeeData[[#This Row],[MonthlyIncome]]&lt;12000,"9K-12K","12K+"))))</f>
        <v>12K+</v>
      </c>
    </row>
    <row r="283" spans="1:37" x14ac:dyDescent="0.3">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c r="AJ283" s="4" t="str">
        <f>IF(EmployeeData[[#This Row],[Age]]&lt;25,"Under 25",IF(EmployeeData[[#This Row],[Age]]&lt;35,"25-34",IF(EmployeeData[[#This Row],[Age]]&lt;45,"35-44",IF(EmployeeData[[#This Row],[Age]]&lt;55,"45-54","55+"))))</f>
        <v>35-44</v>
      </c>
      <c r="AK283" s="4" t="str">
        <f>IF(EmployeeData[[#This Row],[MonthlyIncome]]&lt;3000,"Below 3K",IF(EmployeeData[[#This Row],[MonthlyIncome]]&lt;6000,"3K-6K",IF(EmployeeData[[#This Row],[MonthlyIncome]]&lt;9000,"6K-9K",IF(EmployeeData[[#This Row],[MonthlyIncome]]&lt;12000,"9K-12K","12K+"))))</f>
        <v>3K-6K</v>
      </c>
    </row>
    <row r="284" spans="1:37" x14ac:dyDescent="0.3">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c r="AJ284" s="4" t="str">
        <f>IF(EmployeeData[[#This Row],[Age]]&lt;25,"Under 25",IF(EmployeeData[[#This Row],[Age]]&lt;35,"25-34",IF(EmployeeData[[#This Row],[Age]]&lt;45,"35-44",IF(EmployeeData[[#This Row],[Age]]&lt;55,"45-54","55+"))))</f>
        <v>25-34</v>
      </c>
      <c r="AK284" s="4" t="str">
        <f>IF(EmployeeData[[#This Row],[MonthlyIncome]]&lt;3000,"Below 3K",IF(EmployeeData[[#This Row],[MonthlyIncome]]&lt;6000,"3K-6K",IF(EmployeeData[[#This Row],[MonthlyIncome]]&lt;9000,"6K-9K",IF(EmployeeData[[#This Row],[MonthlyIncome]]&lt;12000,"9K-12K","12K+"))))</f>
        <v>3K-6K</v>
      </c>
    </row>
    <row r="285" spans="1:37" x14ac:dyDescent="0.3">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c r="AJ285" s="4" t="str">
        <f>IF(EmployeeData[[#This Row],[Age]]&lt;25,"Under 25",IF(EmployeeData[[#This Row],[Age]]&lt;35,"25-34",IF(EmployeeData[[#This Row],[Age]]&lt;45,"35-44",IF(EmployeeData[[#This Row],[Age]]&lt;55,"45-54","55+"))))</f>
        <v>55+</v>
      </c>
      <c r="AK285" s="4" t="str">
        <f>IF(EmployeeData[[#This Row],[MonthlyIncome]]&lt;3000,"Below 3K",IF(EmployeeData[[#This Row],[MonthlyIncome]]&lt;6000,"3K-6K",IF(EmployeeData[[#This Row],[MonthlyIncome]]&lt;9000,"6K-9K",IF(EmployeeData[[#This Row],[MonthlyIncome]]&lt;12000,"9K-12K","12K+"))))</f>
        <v>3K-6K</v>
      </c>
    </row>
    <row r="286" spans="1:37" x14ac:dyDescent="0.3">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c r="AJ286" s="4" t="str">
        <f>IF(EmployeeData[[#This Row],[Age]]&lt;25,"Under 25",IF(EmployeeData[[#This Row],[Age]]&lt;35,"25-34",IF(EmployeeData[[#This Row],[Age]]&lt;45,"35-44",IF(EmployeeData[[#This Row],[Age]]&lt;55,"45-54","55+"))))</f>
        <v>25-34</v>
      </c>
      <c r="AK286" s="4" t="str">
        <f>IF(EmployeeData[[#This Row],[MonthlyIncome]]&lt;3000,"Below 3K",IF(EmployeeData[[#This Row],[MonthlyIncome]]&lt;6000,"3K-6K",IF(EmployeeData[[#This Row],[MonthlyIncome]]&lt;9000,"6K-9K",IF(EmployeeData[[#This Row],[MonthlyIncome]]&lt;12000,"9K-12K","12K+"))))</f>
        <v>3K-6K</v>
      </c>
    </row>
    <row r="287" spans="1:37" x14ac:dyDescent="0.3">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c r="AJ287" s="4" t="str">
        <f>IF(EmployeeData[[#This Row],[Age]]&lt;25,"Under 25",IF(EmployeeData[[#This Row],[Age]]&lt;35,"25-34",IF(EmployeeData[[#This Row],[Age]]&lt;45,"35-44",IF(EmployeeData[[#This Row],[Age]]&lt;55,"45-54","55+"))))</f>
        <v>35-44</v>
      </c>
      <c r="AK287" s="4" t="str">
        <f>IF(EmployeeData[[#This Row],[MonthlyIncome]]&lt;3000,"Below 3K",IF(EmployeeData[[#This Row],[MonthlyIncome]]&lt;6000,"3K-6K",IF(EmployeeData[[#This Row],[MonthlyIncome]]&lt;9000,"6K-9K",IF(EmployeeData[[#This Row],[MonthlyIncome]]&lt;12000,"9K-12K","12K+"))))</f>
        <v>Below 3K</v>
      </c>
    </row>
    <row r="288" spans="1:37" x14ac:dyDescent="0.3">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c r="AJ288" s="4" t="str">
        <f>IF(EmployeeData[[#This Row],[Age]]&lt;25,"Under 25",IF(EmployeeData[[#This Row],[Age]]&lt;35,"25-34",IF(EmployeeData[[#This Row],[Age]]&lt;45,"35-44",IF(EmployeeData[[#This Row],[Age]]&lt;55,"45-54","55+"))))</f>
        <v>35-44</v>
      </c>
      <c r="AK288" s="4" t="str">
        <f>IF(EmployeeData[[#This Row],[MonthlyIncome]]&lt;3000,"Below 3K",IF(EmployeeData[[#This Row],[MonthlyIncome]]&lt;6000,"3K-6K",IF(EmployeeData[[#This Row],[MonthlyIncome]]&lt;9000,"6K-9K",IF(EmployeeData[[#This Row],[MonthlyIncome]]&lt;12000,"9K-12K","12K+"))))</f>
        <v>3K-6K</v>
      </c>
    </row>
    <row r="289" spans="1:37" x14ac:dyDescent="0.3">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c r="AJ289" s="4" t="str">
        <f>IF(EmployeeData[[#This Row],[Age]]&lt;25,"Under 25",IF(EmployeeData[[#This Row],[Age]]&lt;35,"25-34",IF(EmployeeData[[#This Row],[Age]]&lt;45,"35-44",IF(EmployeeData[[#This Row],[Age]]&lt;55,"45-54","55+"))))</f>
        <v>35-44</v>
      </c>
      <c r="AK289" s="4" t="str">
        <f>IF(EmployeeData[[#This Row],[MonthlyIncome]]&lt;3000,"Below 3K",IF(EmployeeData[[#This Row],[MonthlyIncome]]&lt;6000,"3K-6K",IF(EmployeeData[[#This Row],[MonthlyIncome]]&lt;9000,"6K-9K",IF(EmployeeData[[#This Row],[MonthlyIncome]]&lt;12000,"9K-12K","12K+"))))</f>
        <v>3K-6K</v>
      </c>
    </row>
    <row r="290" spans="1:37" x14ac:dyDescent="0.3">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c r="AJ290" s="4" t="str">
        <f>IF(EmployeeData[[#This Row],[Age]]&lt;25,"Under 25",IF(EmployeeData[[#This Row],[Age]]&lt;35,"25-34",IF(EmployeeData[[#This Row],[Age]]&lt;45,"35-44",IF(EmployeeData[[#This Row],[Age]]&lt;55,"45-54","55+"))))</f>
        <v>25-34</v>
      </c>
      <c r="AK290" s="4" t="str">
        <f>IF(EmployeeData[[#This Row],[MonthlyIncome]]&lt;3000,"Below 3K",IF(EmployeeData[[#This Row],[MonthlyIncome]]&lt;6000,"3K-6K",IF(EmployeeData[[#This Row],[MonthlyIncome]]&lt;9000,"6K-9K",IF(EmployeeData[[#This Row],[MonthlyIncome]]&lt;12000,"9K-12K","12K+"))))</f>
        <v>Below 3K</v>
      </c>
    </row>
    <row r="291" spans="1:37" x14ac:dyDescent="0.3">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c r="AJ291" s="4" t="str">
        <f>IF(EmployeeData[[#This Row],[Age]]&lt;25,"Under 25",IF(EmployeeData[[#This Row],[Age]]&lt;35,"25-34",IF(EmployeeData[[#This Row],[Age]]&lt;45,"35-44",IF(EmployeeData[[#This Row],[Age]]&lt;55,"45-54","55+"))))</f>
        <v>25-34</v>
      </c>
      <c r="AK291" s="4" t="str">
        <f>IF(EmployeeData[[#This Row],[MonthlyIncome]]&lt;3000,"Below 3K",IF(EmployeeData[[#This Row],[MonthlyIncome]]&lt;6000,"3K-6K",IF(EmployeeData[[#This Row],[MonthlyIncome]]&lt;9000,"6K-9K",IF(EmployeeData[[#This Row],[MonthlyIncome]]&lt;12000,"9K-12K","12K+"))))</f>
        <v>3K-6K</v>
      </c>
    </row>
    <row r="292" spans="1:37" x14ac:dyDescent="0.3">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c r="AJ292" s="4" t="str">
        <f>IF(EmployeeData[[#This Row],[Age]]&lt;25,"Under 25",IF(EmployeeData[[#This Row],[Age]]&lt;35,"25-34",IF(EmployeeData[[#This Row],[Age]]&lt;45,"35-44",IF(EmployeeData[[#This Row],[Age]]&lt;55,"45-54","55+"))))</f>
        <v>45-54</v>
      </c>
      <c r="AK292" s="4" t="str">
        <f>IF(EmployeeData[[#This Row],[MonthlyIncome]]&lt;3000,"Below 3K",IF(EmployeeData[[#This Row],[MonthlyIncome]]&lt;6000,"3K-6K",IF(EmployeeData[[#This Row],[MonthlyIncome]]&lt;9000,"6K-9K",IF(EmployeeData[[#This Row],[MonthlyIncome]]&lt;12000,"9K-12K","12K+"))))</f>
        <v>12K+</v>
      </c>
    </row>
    <row r="293" spans="1:37" x14ac:dyDescent="0.3">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c r="AJ293" s="4" t="str">
        <f>IF(EmployeeData[[#This Row],[Age]]&lt;25,"Under 25",IF(EmployeeData[[#This Row],[Age]]&lt;35,"25-34",IF(EmployeeData[[#This Row],[Age]]&lt;45,"35-44",IF(EmployeeData[[#This Row],[Age]]&lt;55,"45-54","55+"))))</f>
        <v>35-44</v>
      </c>
      <c r="AK293" s="4" t="str">
        <f>IF(EmployeeData[[#This Row],[MonthlyIncome]]&lt;3000,"Below 3K",IF(EmployeeData[[#This Row],[MonthlyIncome]]&lt;6000,"3K-6K",IF(EmployeeData[[#This Row],[MonthlyIncome]]&lt;9000,"6K-9K",IF(EmployeeData[[#This Row],[MonthlyIncome]]&lt;12000,"9K-12K","12K+"))))</f>
        <v>3K-6K</v>
      </c>
    </row>
    <row r="294" spans="1:37" x14ac:dyDescent="0.3">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c r="AJ294" s="4" t="str">
        <f>IF(EmployeeData[[#This Row],[Age]]&lt;25,"Under 25",IF(EmployeeData[[#This Row],[Age]]&lt;35,"25-34",IF(EmployeeData[[#This Row],[Age]]&lt;45,"35-44",IF(EmployeeData[[#This Row],[Age]]&lt;55,"45-54","55+"))))</f>
        <v>25-34</v>
      </c>
      <c r="AK294" s="4" t="str">
        <f>IF(EmployeeData[[#This Row],[MonthlyIncome]]&lt;3000,"Below 3K",IF(EmployeeData[[#This Row],[MonthlyIncome]]&lt;6000,"3K-6K",IF(EmployeeData[[#This Row],[MonthlyIncome]]&lt;9000,"6K-9K",IF(EmployeeData[[#This Row],[MonthlyIncome]]&lt;12000,"9K-12K","12K+"))))</f>
        <v>Below 3K</v>
      </c>
    </row>
    <row r="295" spans="1:37" x14ac:dyDescent="0.3">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c r="AJ295" s="4" t="str">
        <f>IF(EmployeeData[[#This Row],[Age]]&lt;25,"Under 25",IF(EmployeeData[[#This Row],[Age]]&lt;35,"25-34",IF(EmployeeData[[#This Row],[Age]]&lt;45,"35-44",IF(EmployeeData[[#This Row],[Age]]&lt;55,"45-54","55+"))))</f>
        <v>25-34</v>
      </c>
      <c r="AK295" s="4" t="str">
        <f>IF(EmployeeData[[#This Row],[MonthlyIncome]]&lt;3000,"Below 3K",IF(EmployeeData[[#This Row],[MonthlyIncome]]&lt;6000,"3K-6K",IF(EmployeeData[[#This Row],[MonthlyIncome]]&lt;9000,"6K-9K",IF(EmployeeData[[#This Row],[MonthlyIncome]]&lt;12000,"9K-12K","12K+"))))</f>
        <v>3K-6K</v>
      </c>
    </row>
    <row r="296" spans="1:37" x14ac:dyDescent="0.3">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c r="AJ296" s="4" t="str">
        <f>IF(EmployeeData[[#This Row],[Age]]&lt;25,"Under 25",IF(EmployeeData[[#This Row],[Age]]&lt;35,"25-34",IF(EmployeeData[[#This Row],[Age]]&lt;45,"35-44",IF(EmployeeData[[#This Row],[Age]]&lt;55,"45-54","55+"))))</f>
        <v>35-44</v>
      </c>
      <c r="AK296" s="4" t="str">
        <f>IF(EmployeeData[[#This Row],[MonthlyIncome]]&lt;3000,"Below 3K",IF(EmployeeData[[#This Row],[MonthlyIncome]]&lt;6000,"3K-6K",IF(EmployeeData[[#This Row],[MonthlyIncome]]&lt;9000,"6K-9K",IF(EmployeeData[[#This Row],[MonthlyIncome]]&lt;12000,"9K-12K","12K+"))))</f>
        <v>Below 3K</v>
      </c>
    </row>
    <row r="297" spans="1:37" x14ac:dyDescent="0.3">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c r="AJ297" s="4" t="str">
        <f>IF(EmployeeData[[#This Row],[Age]]&lt;25,"Under 25",IF(EmployeeData[[#This Row],[Age]]&lt;35,"25-34",IF(EmployeeData[[#This Row],[Age]]&lt;45,"35-44",IF(EmployeeData[[#This Row],[Age]]&lt;55,"45-54","55+"))))</f>
        <v>35-44</v>
      </c>
      <c r="AK297" s="4" t="str">
        <f>IF(EmployeeData[[#This Row],[MonthlyIncome]]&lt;3000,"Below 3K",IF(EmployeeData[[#This Row],[MonthlyIncome]]&lt;6000,"3K-6K",IF(EmployeeData[[#This Row],[MonthlyIncome]]&lt;9000,"6K-9K",IF(EmployeeData[[#This Row],[MonthlyIncome]]&lt;12000,"9K-12K","12K+"))))</f>
        <v>12K+</v>
      </c>
    </row>
    <row r="298" spans="1:37" x14ac:dyDescent="0.3">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c r="AJ298" s="4" t="str">
        <f>IF(EmployeeData[[#This Row],[Age]]&lt;25,"Under 25",IF(EmployeeData[[#This Row],[Age]]&lt;35,"25-34",IF(EmployeeData[[#This Row],[Age]]&lt;45,"35-44",IF(EmployeeData[[#This Row],[Age]]&lt;55,"45-54","55+"))))</f>
        <v>Under 25</v>
      </c>
      <c r="AK298" s="4" t="str">
        <f>IF(EmployeeData[[#This Row],[MonthlyIncome]]&lt;3000,"Below 3K",IF(EmployeeData[[#This Row],[MonthlyIncome]]&lt;6000,"3K-6K",IF(EmployeeData[[#This Row],[MonthlyIncome]]&lt;9000,"6K-9K",IF(EmployeeData[[#This Row],[MonthlyIncome]]&lt;12000,"9K-12K","12K+"))))</f>
        <v>Below 3K</v>
      </c>
    </row>
    <row r="299" spans="1:37" x14ac:dyDescent="0.3">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c r="AJ299" s="4" t="str">
        <f>IF(EmployeeData[[#This Row],[Age]]&lt;25,"Under 25",IF(EmployeeData[[#This Row],[Age]]&lt;35,"25-34",IF(EmployeeData[[#This Row],[Age]]&lt;45,"35-44",IF(EmployeeData[[#This Row],[Age]]&lt;55,"45-54","55+"))))</f>
        <v>35-44</v>
      </c>
      <c r="AK299" s="4" t="str">
        <f>IF(EmployeeData[[#This Row],[MonthlyIncome]]&lt;3000,"Below 3K",IF(EmployeeData[[#This Row],[MonthlyIncome]]&lt;6000,"3K-6K",IF(EmployeeData[[#This Row],[MonthlyIncome]]&lt;9000,"6K-9K",IF(EmployeeData[[#This Row],[MonthlyIncome]]&lt;12000,"9K-12K","12K+"))))</f>
        <v>6K-9K</v>
      </c>
    </row>
    <row r="300" spans="1:37" x14ac:dyDescent="0.3">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c r="AJ300" s="4" t="str">
        <f>IF(EmployeeData[[#This Row],[Age]]&lt;25,"Under 25",IF(EmployeeData[[#This Row],[Age]]&lt;35,"25-34",IF(EmployeeData[[#This Row],[Age]]&lt;45,"35-44",IF(EmployeeData[[#This Row],[Age]]&lt;55,"45-54","55+"))))</f>
        <v>35-44</v>
      </c>
      <c r="AK300" s="4" t="str">
        <f>IF(EmployeeData[[#This Row],[MonthlyIncome]]&lt;3000,"Below 3K",IF(EmployeeData[[#This Row],[MonthlyIncome]]&lt;6000,"3K-6K",IF(EmployeeData[[#This Row],[MonthlyIncome]]&lt;9000,"6K-9K",IF(EmployeeData[[#This Row],[MonthlyIncome]]&lt;12000,"9K-12K","12K+"))))</f>
        <v>3K-6K</v>
      </c>
    </row>
    <row r="301" spans="1:37" x14ac:dyDescent="0.3">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c r="AJ301" s="4" t="str">
        <f>IF(EmployeeData[[#This Row],[Age]]&lt;25,"Under 25",IF(EmployeeData[[#This Row],[Age]]&lt;35,"25-34",IF(EmployeeData[[#This Row],[Age]]&lt;45,"35-44",IF(EmployeeData[[#This Row],[Age]]&lt;55,"45-54","55+"))))</f>
        <v>45-54</v>
      </c>
      <c r="AK301" s="4" t="str">
        <f>IF(EmployeeData[[#This Row],[MonthlyIncome]]&lt;3000,"Below 3K",IF(EmployeeData[[#This Row],[MonthlyIncome]]&lt;6000,"3K-6K",IF(EmployeeData[[#This Row],[MonthlyIncome]]&lt;9000,"6K-9K",IF(EmployeeData[[#This Row],[MonthlyIncome]]&lt;12000,"9K-12K","12K+"))))</f>
        <v>3K-6K</v>
      </c>
    </row>
    <row r="302" spans="1:37" x14ac:dyDescent="0.3">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c r="AJ302" s="4" t="str">
        <f>IF(EmployeeData[[#This Row],[Age]]&lt;25,"Under 25",IF(EmployeeData[[#This Row],[Age]]&lt;35,"25-34",IF(EmployeeData[[#This Row],[Age]]&lt;45,"35-44",IF(EmployeeData[[#This Row],[Age]]&lt;55,"45-54","55+"))))</f>
        <v>35-44</v>
      </c>
      <c r="AK302" s="4" t="str">
        <f>IF(EmployeeData[[#This Row],[MonthlyIncome]]&lt;3000,"Below 3K",IF(EmployeeData[[#This Row],[MonthlyIncome]]&lt;6000,"3K-6K",IF(EmployeeData[[#This Row],[MonthlyIncome]]&lt;9000,"6K-9K",IF(EmployeeData[[#This Row],[MonthlyIncome]]&lt;12000,"9K-12K","12K+"))))</f>
        <v>12K+</v>
      </c>
    </row>
    <row r="303" spans="1:37" x14ac:dyDescent="0.3">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c r="AJ303" s="4" t="str">
        <f>IF(EmployeeData[[#This Row],[Age]]&lt;25,"Under 25",IF(EmployeeData[[#This Row],[Age]]&lt;35,"25-34",IF(EmployeeData[[#This Row],[Age]]&lt;45,"35-44",IF(EmployeeData[[#This Row],[Age]]&lt;55,"45-54","55+"))))</f>
        <v>Under 25</v>
      </c>
      <c r="AK303" s="4" t="str">
        <f>IF(EmployeeData[[#This Row],[MonthlyIncome]]&lt;3000,"Below 3K",IF(EmployeeData[[#This Row],[MonthlyIncome]]&lt;6000,"3K-6K",IF(EmployeeData[[#This Row],[MonthlyIncome]]&lt;9000,"6K-9K",IF(EmployeeData[[#This Row],[MonthlyIncome]]&lt;12000,"9K-12K","12K+"))))</f>
        <v>Below 3K</v>
      </c>
    </row>
    <row r="304" spans="1:37" x14ac:dyDescent="0.3">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c r="AJ304" s="4" t="str">
        <f>IF(EmployeeData[[#This Row],[Age]]&lt;25,"Under 25",IF(EmployeeData[[#This Row],[Age]]&lt;35,"25-34",IF(EmployeeData[[#This Row],[Age]]&lt;45,"35-44",IF(EmployeeData[[#This Row],[Age]]&lt;55,"45-54","55+"))))</f>
        <v>25-34</v>
      </c>
      <c r="AK304" s="4" t="str">
        <f>IF(EmployeeData[[#This Row],[MonthlyIncome]]&lt;3000,"Below 3K",IF(EmployeeData[[#This Row],[MonthlyIncome]]&lt;6000,"3K-6K",IF(EmployeeData[[#This Row],[MonthlyIncome]]&lt;9000,"6K-9K",IF(EmployeeData[[#This Row],[MonthlyIncome]]&lt;12000,"9K-12K","12K+"))))</f>
        <v>3K-6K</v>
      </c>
    </row>
    <row r="305" spans="1:37" x14ac:dyDescent="0.3">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c r="AJ305" s="4" t="str">
        <f>IF(EmployeeData[[#This Row],[Age]]&lt;25,"Under 25",IF(EmployeeData[[#This Row],[Age]]&lt;35,"25-34",IF(EmployeeData[[#This Row],[Age]]&lt;45,"35-44",IF(EmployeeData[[#This Row],[Age]]&lt;55,"45-54","55+"))))</f>
        <v>25-34</v>
      </c>
      <c r="AK305" s="4" t="str">
        <f>IF(EmployeeData[[#This Row],[MonthlyIncome]]&lt;3000,"Below 3K",IF(EmployeeData[[#This Row],[MonthlyIncome]]&lt;6000,"3K-6K",IF(EmployeeData[[#This Row],[MonthlyIncome]]&lt;9000,"6K-9K",IF(EmployeeData[[#This Row],[MonthlyIncome]]&lt;12000,"9K-12K","12K+"))))</f>
        <v>6K-9K</v>
      </c>
    </row>
    <row r="306" spans="1:37" x14ac:dyDescent="0.3">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c r="AJ306" s="4" t="str">
        <f>IF(EmployeeData[[#This Row],[Age]]&lt;25,"Under 25",IF(EmployeeData[[#This Row],[Age]]&lt;35,"25-34",IF(EmployeeData[[#This Row],[Age]]&lt;45,"35-44",IF(EmployeeData[[#This Row],[Age]]&lt;55,"45-54","55+"))))</f>
        <v>35-44</v>
      </c>
      <c r="AK306" s="4" t="str">
        <f>IF(EmployeeData[[#This Row],[MonthlyIncome]]&lt;3000,"Below 3K",IF(EmployeeData[[#This Row],[MonthlyIncome]]&lt;6000,"3K-6K",IF(EmployeeData[[#This Row],[MonthlyIncome]]&lt;9000,"6K-9K",IF(EmployeeData[[#This Row],[MonthlyIncome]]&lt;12000,"9K-12K","12K+"))))</f>
        <v>9K-12K</v>
      </c>
    </row>
    <row r="307" spans="1:37" x14ac:dyDescent="0.3">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c r="AJ307" s="4" t="str">
        <f>IF(EmployeeData[[#This Row],[Age]]&lt;25,"Under 25",IF(EmployeeData[[#This Row],[Age]]&lt;35,"25-34",IF(EmployeeData[[#This Row],[Age]]&lt;45,"35-44",IF(EmployeeData[[#This Row],[Age]]&lt;55,"45-54","55+"))))</f>
        <v>35-44</v>
      </c>
      <c r="AK307" s="4" t="str">
        <f>IF(EmployeeData[[#This Row],[MonthlyIncome]]&lt;3000,"Below 3K",IF(EmployeeData[[#This Row],[MonthlyIncome]]&lt;6000,"3K-6K",IF(EmployeeData[[#This Row],[MonthlyIncome]]&lt;9000,"6K-9K",IF(EmployeeData[[#This Row],[MonthlyIncome]]&lt;12000,"9K-12K","12K+"))))</f>
        <v>3K-6K</v>
      </c>
    </row>
    <row r="308" spans="1:37" x14ac:dyDescent="0.3">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c r="AJ308" s="4" t="str">
        <f>IF(EmployeeData[[#This Row],[Age]]&lt;25,"Under 25",IF(EmployeeData[[#This Row],[Age]]&lt;35,"25-34",IF(EmployeeData[[#This Row],[Age]]&lt;45,"35-44",IF(EmployeeData[[#This Row],[Age]]&lt;55,"45-54","55+"))))</f>
        <v>25-34</v>
      </c>
      <c r="AK308" s="4" t="str">
        <f>IF(EmployeeData[[#This Row],[MonthlyIncome]]&lt;3000,"Below 3K",IF(EmployeeData[[#This Row],[MonthlyIncome]]&lt;6000,"3K-6K",IF(EmployeeData[[#This Row],[MonthlyIncome]]&lt;9000,"6K-9K",IF(EmployeeData[[#This Row],[MonthlyIncome]]&lt;12000,"9K-12K","12K+"))))</f>
        <v>3K-6K</v>
      </c>
    </row>
    <row r="309" spans="1:37" x14ac:dyDescent="0.3">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c r="AJ309" s="4" t="str">
        <f>IF(EmployeeData[[#This Row],[Age]]&lt;25,"Under 25",IF(EmployeeData[[#This Row],[Age]]&lt;35,"25-34",IF(EmployeeData[[#This Row],[Age]]&lt;45,"35-44",IF(EmployeeData[[#This Row],[Age]]&lt;55,"45-54","55+"))))</f>
        <v>35-44</v>
      </c>
      <c r="AK309" s="4" t="str">
        <f>IF(EmployeeData[[#This Row],[MonthlyIncome]]&lt;3000,"Below 3K",IF(EmployeeData[[#This Row],[MonthlyIncome]]&lt;6000,"3K-6K",IF(EmployeeData[[#This Row],[MonthlyIncome]]&lt;9000,"6K-9K",IF(EmployeeData[[#This Row],[MonthlyIncome]]&lt;12000,"9K-12K","12K+"))))</f>
        <v>12K+</v>
      </c>
    </row>
    <row r="310" spans="1:37" x14ac:dyDescent="0.3">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c r="AJ310" s="4" t="str">
        <f>IF(EmployeeData[[#This Row],[Age]]&lt;25,"Under 25",IF(EmployeeData[[#This Row],[Age]]&lt;35,"25-34",IF(EmployeeData[[#This Row],[Age]]&lt;45,"35-44",IF(EmployeeData[[#This Row],[Age]]&lt;55,"45-54","55+"))))</f>
        <v>55+</v>
      </c>
      <c r="AK310" s="4" t="str">
        <f>IF(EmployeeData[[#This Row],[MonthlyIncome]]&lt;3000,"Below 3K",IF(EmployeeData[[#This Row],[MonthlyIncome]]&lt;6000,"3K-6K",IF(EmployeeData[[#This Row],[MonthlyIncome]]&lt;9000,"6K-9K",IF(EmployeeData[[#This Row],[MonthlyIncome]]&lt;12000,"9K-12K","12K+"))))</f>
        <v>3K-6K</v>
      </c>
    </row>
    <row r="311" spans="1:37" x14ac:dyDescent="0.3">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c r="AJ311" s="4" t="str">
        <f>IF(EmployeeData[[#This Row],[Age]]&lt;25,"Under 25",IF(EmployeeData[[#This Row],[Age]]&lt;35,"25-34",IF(EmployeeData[[#This Row],[Age]]&lt;45,"35-44",IF(EmployeeData[[#This Row],[Age]]&lt;55,"45-54","55+"))))</f>
        <v>25-34</v>
      </c>
      <c r="AK311" s="4" t="str">
        <f>IF(EmployeeData[[#This Row],[MonthlyIncome]]&lt;3000,"Below 3K",IF(EmployeeData[[#This Row],[MonthlyIncome]]&lt;6000,"3K-6K",IF(EmployeeData[[#This Row],[MonthlyIncome]]&lt;9000,"6K-9K",IF(EmployeeData[[#This Row],[MonthlyIncome]]&lt;12000,"9K-12K","12K+"))))</f>
        <v>3K-6K</v>
      </c>
    </row>
    <row r="312" spans="1:37" x14ac:dyDescent="0.3">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c r="AJ312" s="4" t="str">
        <f>IF(EmployeeData[[#This Row],[Age]]&lt;25,"Under 25",IF(EmployeeData[[#This Row],[Age]]&lt;35,"25-34",IF(EmployeeData[[#This Row],[Age]]&lt;45,"35-44",IF(EmployeeData[[#This Row],[Age]]&lt;55,"45-54","55+"))))</f>
        <v>25-34</v>
      </c>
      <c r="AK312" s="4" t="str">
        <f>IF(EmployeeData[[#This Row],[MonthlyIncome]]&lt;3000,"Below 3K",IF(EmployeeData[[#This Row],[MonthlyIncome]]&lt;6000,"3K-6K",IF(EmployeeData[[#This Row],[MonthlyIncome]]&lt;9000,"6K-9K",IF(EmployeeData[[#This Row],[MonthlyIncome]]&lt;12000,"9K-12K","12K+"))))</f>
        <v>6K-9K</v>
      </c>
    </row>
    <row r="313" spans="1:37" x14ac:dyDescent="0.3">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c r="AJ313" s="4" t="str">
        <f>IF(EmployeeData[[#This Row],[Age]]&lt;25,"Under 25",IF(EmployeeData[[#This Row],[Age]]&lt;35,"25-34",IF(EmployeeData[[#This Row],[Age]]&lt;45,"35-44",IF(EmployeeData[[#This Row],[Age]]&lt;55,"45-54","55+"))))</f>
        <v>45-54</v>
      </c>
      <c r="AK313" s="4" t="str">
        <f>IF(EmployeeData[[#This Row],[MonthlyIncome]]&lt;3000,"Below 3K",IF(EmployeeData[[#This Row],[MonthlyIncome]]&lt;6000,"3K-6K",IF(EmployeeData[[#This Row],[MonthlyIncome]]&lt;9000,"6K-9K",IF(EmployeeData[[#This Row],[MonthlyIncome]]&lt;12000,"9K-12K","12K+"))))</f>
        <v>3K-6K</v>
      </c>
    </row>
    <row r="314" spans="1:37" x14ac:dyDescent="0.3">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c r="AJ314" s="4" t="str">
        <f>IF(EmployeeData[[#This Row],[Age]]&lt;25,"Under 25",IF(EmployeeData[[#This Row],[Age]]&lt;35,"25-34",IF(EmployeeData[[#This Row],[Age]]&lt;45,"35-44",IF(EmployeeData[[#This Row],[Age]]&lt;55,"45-54","55+"))))</f>
        <v>25-34</v>
      </c>
      <c r="AK314" s="4" t="str">
        <f>IF(EmployeeData[[#This Row],[MonthlyIncome]]&lt;3000,"Below 3K",IF(EmployeeData[[#This Row],[MonthlyIncome]]&lt;6000,"3K-6K",IF(EmployeeData[[#This Row],[MonthlyIncome]]&lt;9000,"6K-9K",IF(EmployeeData[[#This Row],[MonthlyIncome]]&lt;12000,"9K-12K","12K+"))))</f>
        <v>Below 3K</v>
      </c>
    </row>
    <row r="315" spans="1:37" x14ac:dyDescent="0.3">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c r="AJ315" s="4" t="str">
        <f>IF(EmployeeData[[#This Row],[Age]]&lt;25,"Under 25",IF(EmployeeData[[#This Row],[Age]]&lt;35,"25-34",IF(EmployeeData[[#This Row],[Age]]&lt;45,"35-44",IF(EmployeeData[[#This Row],[Age]]&lt;55,"45-54","55+"))))</f>
        <v>25-34</v>
      </c>
      <c r="AK315" s="4" t="str">
        <f>IF(EmployeeData[[#This Row],[MonthlyIncome]]&lt;3000,"Below 3K",IF(EmployeeData[[#This Row],[MonthlyIncome]]&lt;6000,"3K-6K",IF(EmployeeData[[#This Row],[MonthlyIncome]]&lt;9000,"6K-9K",IF(EmployeeData[[#This Row],[MonthlyIncome]]&lt;12000,"9K-12K","12K+"))))</f>
        <v>9K-12K</v>
      </c>
    </row>
    <row r="316" spans="1:37" x14ac:dyDescent="0.3">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c r="AJ316" s="4" t="str">
        <f>IF(EmployeeData[[#This Row],[Age]]&lt;25,"Under 25",IF(EmployeeData[[#This Row],[Age]]&lt;35,"25-34",IF(EmployeeData[[#This Row],[Age]]&lt;45,"35-44",IF(EmployeeData[[#This Row],[Age]]&lt;55,"45-54","55+"))))</f>
        <v>35-44</v>
      </c>
      <c r="AK316" s="4" t="str">
        <f>IF(EmployeeData[[#This Row],[MonthlyIncome]]&lt;3000,"Below 3K",IF(EmployeeData[[#This Row],[MonthlyIncome]]&lt;6000,"3K-6K",IF(EmployeeData[[#This Row],[MonthlyIncome]]&lt;9000,"6K-9K",IF(EmployeeData[[#This Row],[MonthlyIncome]]&lt;12000,"9K-12K","12K+"))))</f>
        <v>12K+</v>
      </c>
    </row>
    <row r="317" spans="1:37" x14ac:dyDescent="0.3">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c r="AJ317" s="4" t="str">
        <f>IF(EmployeeData[[#This Row],[Age]]&lt;25,"Under 25",IF(EmployeeData[[#This Row],[Age]]&lt;35,"25-34",IF(EmployeeData[[#This Row],[Age]]&lt;45,"35-44",IF(EmployeeData[[#This Row],[Age]]&lt;55,"45-54","55+"))))</f>
        <v>35-44</v>
      </c>
      <c r="AK317" s="4" t="str">
        <f>IF(EmployeeData[[#This Row],[MonthlyIncome]]&lt;3000,"Below 3K",IF(EmployeeData[[#This Row],[MonthlyIncome]]&lt;6000,"3K-6K",IF(EmployeeData[[#This Row],[MonthlyIncome]]&lt;9000,"6K-9K",IF(EmployeeData[[#This Row],[MonthlyIncome]]&lt;12000,"9K-12K","12K+"))))</f>
        <v>Below 3K</v>
      </c>
    </row>
    <row r="318" spans="1:37" x14ac:dyDescent="0.3">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c r="AJ318" s="4" t="str">
        <f>IF(EmployeeData[[#This Row],[Age]]&lt;25,"Under 25",IF(EmployeeData[[#This Row],[Age]]&lt;35,"25-34",IF(EmployeeData[[#This Row],[Age]]&lt;45,"35-44",IF(EmployeeData[[#This Row],[Age]]&lt;55,"45-54","55+"))))</f>
        <v>45-54</v>
      </c>
      <c r="AK318" s="4" t="str">
        <f>IF(EmployeeData[[#This Row],[MonthlyIncome]]&lt;3000,"Below 3K",IF(EmployeeData[[#This Row],[MonthlyIncome]]&lt;6000,"3K-6K",IF(EmployeeData[[#This Row],[MonthlyIncome]]&lt;9000,"6K-9K",IF(EmployeeData[[#This Row],[MonthlyIncome]]&lt;12000,"9K-12K","12K+"))))</f>
        <v>12K+</v>
      </c>
    </row>
    <row r="319" spans="1:37" x14ac:dyDescent="0.3">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c r="AJ319" s="4" t="str">
        <f>IF(EmployeeData[[#This Row],[Age]]&lt;25,"Under 25",IF(EmployeeData[[#This Row],[Age]]&lt;35,"25-34",IF(EmployeeData[[#This Row],[Age]]&lt;45,"35-44",IF(EmployeeData[[#This Row],[Age]]&lt;55,"45-54","55+"))))</f>
        <v>45-54</v>
      </c>
      <c r="AK319" s="4" t="str">
        <f>IF(EmployeeData[[#This Row],[MonthlyIncome]]&lt;3000,"Below 3K",IF(EmployeeData[[#This Row],[MonthlyIncome]]&lt;6000,"3K-6K",IF(EmployeeData[[#This Row],[MonthlyIncome]]&lt;9000,"6K-9K",IF(EmployeeData[[#This Row],[MonthlyIncome]]&lt;12000,"9K-12K","12K+"))))</f>
        <v>3K-6K</v>
      </c>
    </row>
    <row r="320" spans="1:37" x14ac:dyDescent="0.3">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c r="AJ320" s="4" t="str">
        <f>IF(EmployeeData[[#This Row],[Age]]&lt;25,"Under 25",IF(EmployeeData[[#This Row],[Age]]&lt;35,"25-34",IF(EmployeeData[[#This Row],[Age]]&lt;45,"35-44",IF(EmployeeData[[#This Row],[Age]]&lt;55,"45-54","55+"))))</f>
        <v>25-34</v>
      </c>
      <c r="AK320" s="4" t="str">
        <f>IF(EmployeeData[[#This Row],[MonthlyIncome]]&lt;3000,"Below 3K",IF(EmployeeData[[#This Row],[MonthlyIncome]]&lt;6000,"3K-6K",IF(EmployeeData[[#This Row],[MonthlyIncome]]&lt;9000,"6K-9K",IF(EmployeeData[[#This Row],[MonthlyIncome]]&lt;12000,"9K-12K","12K+"))))</f>
        <v>Below 3K</v>
      </c>
    </row>
    <row r="321" spans="1:37" x14ac:dyDescent="0.3">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c r="AJ321" s="4" t="str">
        <f>IF(EmployeeData[[#This Row],[Age]]&lt;25,"Under 25",IF(EmployeeData[[#This Row],[Age]]&lt;35,"25-34",IF(EmployeeData[[#This Row],[Age]]&lt;45,"35-44",IF(EmployeeData[[#This Row],[Age]]&lt;55,"45-54","55+"))))</f>
        <v>25-34</v>
      </c>
      <c r="AK321" s="4" t="str">
        <f>IF(EmployeeData[[#This Row],[MonthlyIncome]]&lt;3000,"Below 3K",IF(EmployeeData[[#This Row],[MonthlyIncome]]&lt;6000,"3K-6K",IF(EmployeeData[[#This Row],[MonthlyIncome]]&lt;9000,"6K-9K",IF(EmployeeData[[#This Row],[MonthlyIncome]]&lt;12000,"9K-12K","12K+"))))</f>
        <v>3K-6K</v>
      </c>
    </row>
    <row r="322" spans="1:37" x14ac:dyDescent="0.3">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c r="AJ322" s="4" t="str">
        <f>IF(EmployeeData[[#This Row],[Age]]&lt;25,"Under 25",IF(EmployeeData[[#This Row],[Age]]&lt;35,"25-34",IF(EmployeeData[[#This Row],[Age]]&lt;45,"35-44",IF(EmployeeData[[#This Row],[Age]]&lt;55,"45-54","55+"))))</f>
        <v>25-34</v>
      </c>
      <c r="AK322" s="4" t="str">
        <f>IF(EmployeeData[[#This Row],[MonthlyIncome]]&lt;3000,"Below 3K",IF(EmployeeData[[#This Row],[MonthlyIncome]]&lt;6000,"3K-6K",IF(EmployeeData[[#This Row],[MonthlyIncome]]&lt;9000,"6K-9K",IF(EmployeeData[[#This Row],[MonthlyIncome]]&lt;12000,"9K-12K","12K+"))))</f>
        <v>3K-6K</v>
      </c>
    </row>
    <row r="323" spans="1:37" x14ac:dyDescent="0.3">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c r="AJ323" s="4" t="str">
        <f>IF(EmployeeData[[#This Row],[Age]]&lt;25,"Under 25",IF(EmployeeData[[#This Row],[Age]]&lt;35,"25-34",IF(EmployeeData[[#This Row],[Age]]&lt;45,"35-44",IF(EmployeeData[[#This Row],[Age]]&lt;55,"45-54","55+"))))</f>
        <v>25-34</v>
      </c>
      <c r="AK323" s="4" t="str">
        <f>IF(EmployeeData[[#This Row],[MonthlyIncome]]&lt;3000,"Below 3K",IF(EmployeeData[[#This Row],[MonthlyIncome]]&lt;6000,"3K-6K",IF(EmployeeData[[#This Row],[MonthlyIncome]]&lt;9000,"6K-9K",IF(EmployeeData[[#This Row],[MonthlyIncome]]&lt;12000,"9K-12K","12K+"))))</f>
        <v>6K-9K</v>
      </c>
    </row>
    <row r="324" spans="1:37" x14ac:dyDescent="0.3">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c r="AJ324" s="4" t="str">
        <f>IF(EmployeeData[[#This Row],[Age]]&lt;25,"Under 25",IF(EmployeeData[[#This Row],[Age]]&lt;35,"25-34",IF(EmployeeData[[#This Row],[Age]]&lt;45,"35-44",IF(EmployeeData[[#This Row],[Age]]&lt;55,"45-54","55+"))))</f>
        <v>25-34</v>
      </c>
      <c r="AK324" s="4" t="str">
        <f>IF(EmployeeData[[#This Row],[MonthlyIncome]]&lt;3000,"Below 3K",IF(EmployeeData[[#This Row],[MonthlyIncome]]&lt;6000,"3K-6K",IF(EmployeeData[[#This Row],[MonthlyIncome]]&lt;9000,"6K-9K",IF(EmployeeData[[#This Row],[MonthlyIncome]]&lt;12000,"9K-12K","12K+"))))</f>
        <v>3K-6K</v>
      </c>
    </row>
    <row r="325" spans="1:37" x14ac:dyDescent="0.3">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c r="AJ325" s="4" t="str">
        <f>IF(EmployeeData[[#This Row],[Age]]&lt;25,"Under 25",IF(EmployeeData[[#This Row],[Age]]&lt;35,"25-34",IF(EmployeeData[[#This Row],[Age]]&lt;45,"35-44",IF(EmployeeData[[#This Row],[Age]]&lt;55,"45-54","55+"))))</f>
        <v>25-34</v>
      </c>
      <c r="AK325" s="4" t="str">
        <f>IF(EmployeeData[[#This Row],[MonthlyIncome]]&lt;3000,"Below 3K",IF(EmployeeData[[#This Row],[MonthlyIncome]]&lt;6000,"3K-6K",IF(EmployeeData[[#This Row],[MonthlyIncome]]&lt;9000,"6K-9K",IF(EmployeeData[[#This Row],[MonthlyIncome]]&lt;12000,"9K-12K","12K+"))))</f>
        <v>3K-6K</v>
      </c>
    </row>
    <row r="326" spans="1:37" x14ac:dyDescent="0.3">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c r="AJ326" s="4" t="str">
        <f>IF(EmployeeData[[#This Row],[Age]]&lt;25,"Under 25",IF(EmployeeData[[#This Row],[Age]]&lt;35,"25-34",IF(EmployeeData[[#This Row],[Age]]&lt;45,"35-44",IF(EmployeeData[[#This Row],[Age]]&lt;55,"45-54","55+"))))</f>
        <v>25-34</v>
      </c>
      <c r="AK326" s="4" t="str">
        <f>IF(EmployeeData[[#This Row],[MonthlyIncome]]&lt;3000,"Below 3K",IF(EmployeeData[[#This Row],[MonthlyIncome]]&lt;6000,"3K-6K",IF(EmployeeData[[#This Row],[MonthlyIncome]]&lt;9000,"6K-9K",IF(EmployeeData[[#This Row],[MonthlyIncome]]&lt;12000,"9K-12K","12K+"))))</f>
        <v>3K-6K</v>
      </c>
    </row>
    <row r="327" spans="1:37" x14ac:dyDescent="0.3">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c r="AJ327" s="4" t="str">
        <f>IF(EmployeeData[[#This Row],[Age]]&lt;25,"Under 25",IF(EmployeeData[[#This Row],[Age]]&lt;35,"25-34",IF(EmployeeData[[#This Row],[Age]]&lt;45,"35-44",IF(EmployeeData[[#This Row],[Age]]&lt;55,"45-54","55+"))))</f>
        <v>25-34</v>
      </c>
      <c r="AK327" s="4" t="str">
        <f>IF(EmployeeData[[#This Row],[MonthlyIncome]]&lt;3000,"Below 3K",IF(EmployeeData[[#This Row],[MonthlyIncome]]&lt;6000,"3K-6K",IF(EmployeeData[[#This Row],[MonthlyIncome]]&lt;9000,"6K-9K",IF(EmployeeData[[#This Row],[MonthlyIncome]]&lt;12000,"9K-12K","12K+"))))</f>
        <v>6K-9K</v>
      </c>
    </row>
    <row r="328" spans="1:37" x14ac:dyDescent="0.3">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c r="AJ328" s="4" t="str">
        <f>IF(EmployeeData[[#This Row],[Age]]&lt;25,"Under 25",IF(EmployeeData[[#This Row],[Age]]&lt;35,"25-34",IF(EmployeeData[[#This Row],[Age]]&lt;45,"35-44",IF(EmployeeData[[#This Row],[Age]]&lt;55,"45-54","55+"))))</f>
        <v>35-44</v>
      </c>
      <c r="AK328" s="4" t="str">
        <f>IF(EmployeeData[[#This Row],[MonthlyIncome]]&lt;3000,"Below 3K",IF(EmployeeData[[#This Row],[MonthlyIncome]]&lt;6000,"3K-6K",IF(EmployeeData[[#This Row],[MonthlyIncome]]&lt;9000,"6K-9K",IF(EmployeeData[[#This Row],[MonthlyIncome]]&lt;12000,"9K-12K","12K+"))))</f>
        <v>12K+</v>
      </c>
    </row>
    <row r="329" spans="1:37" x14ac:dyDescent="0.3">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c r="AJ329" s="4" t="str">
        <f>IF(EmployeeData[[#This Row],[Age]]&lt;25,"Under 25",IF(EmployeeData[[#This Row],[Age]]&lt;35,"25-34",IF(EmployeeData[[#This Row],[Age]]&lt;45,"35-44",IF(EmployeeData[[#This Row],[Age]]&lt;55,"45-54","55+"))))</f>
        <v>35-44</v>
      </c>
      <c r="AK329" s="4" t="str">
        <f>IF(EmployeeData[[#This Row],[MonthlyIncome]]&lt;3000,"Below 3K",IF(EmployeeData[[#This Row],[MonthlyIncome]]&lt;6000,"3K-6K",IF(EmployeeData[[#This Row],[MonthlyIncome]]&lt;9000,"6K-9K",IF(EmployeeData[[#This Row],[MonthlyIncome]]&lt;12000,"9K-12K","12K+"))))</f>
        <v>3K-6K</v>
      </c>
    </row>
    <row r="330" spans="1:37" x14ac:dyDescent="0.3">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c r="AJ330" s="4" t="str">
        <f>IF(EmployeeData[[#This Row],[Age]]&lt;25,"Under 25",IF(EmployeeData[[#This Row],[Age]]&lt;35,"25-34",IF(EmployeeData[[#This Row],[Age]]&lt;45,"35-44",IF(EmployeeData[[#This Row],[Age]]&lt;55,"45-54","55+"))))</f>
        <v>25-34</v>
      </c>
      <c r="AK330" s="4" t="str">
        <f>IF(EmployeeData[[#This Row],[MonthlyIncome]]&lt;3000,"Below 3K",IF(EmployeeData[[#This Row],[MonthlyIncome]]&lt;6000,"3K-6K",IF(EmployeeData[[#This Row],[MonthlyIncome]]&lt;9000,"6K-9K",IF(EmployeeData[[#This Row],[MonthlyIncome]]&lt;12000,"9K-12K","12K+"))))</f>
        <v>3K-6K</v>
      </c>
    </row>
    <row r="331" spans="1:37" x14ac:dyDescent="0.3">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c r="AJ331" s="4" t="str">
        <f>IF(EmployeeData[[#This Row],[Age]]&lt;25,"Under 25",IF(EmployeeData[[#This Row],[Age]]&lt;35,"25-34",IF(EmployeeData[[#This Row],[Age]]&lt;45,"35-44",IF(EmployeeData[[#This Row],[Age]]&lt;55,"45-54","55+"))))</f>
        <v>45-54</v>
      </c>
      <c r="AK331" s="4" t="str">
        <f>IF(EmployeeData[[#This Row],[MonthlyIncome]]&lt;3000,"Below 3K",IF(EmployeeData[[#This Row],[MonthlyIncome]]&lt;6000,"3K-6K",IF(EmployeeData[[#This Row],[MonthlyIncome]]&lt;9000,"6K-9K",IF(EmployeeData[[#This Row],[MonthlyIncome]]&lt;12000,"9K-12K","12K+"))))</f>
        <v>12K+</v>
      </c>
    </row>
    <row r="332" spans="1:37" x14ac:dyDescent="0.3">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c r="AJ332" s="4" t="str">
        <f>IF(EmployeeData[[#This Row],[Age]]&lt;25,"Under 25",IF(EmployeeData[[#This Row],[Age]]&lt;35,"25-34",IF(EmployeeData[[#This Row],[Age]]&lt;45,"35-44",IF(EmployeeData[[#This Row],[Age]]&lt;55,"45-54","55+"))))</f>
        <v>35-44</v>
      </c>
      <c r="AK332" s="4" t="str">
        <f>IF(EmployeeData[[#This Row],[MonthlyIncome]]&lt;3000,"Below 3K",IF(EmployeeData[[#This Row],[MonthlyIncome]]&lt;6000,"3K-6K",IF(EmployeeData[[#This Row],[MonthlyIncome]]&lt;9000,"6K-9K",IF(EmployeeData[[#This Row],[MonthlyIncome]]&lt;12000,"9K-12K","12K+"))))</f>
        <v>3K-6K</v>
      </c>
    </row>
    <row r="333" spans="1:37" x14ac:dyDescent="0.3">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c r="AJ333" s="4" t="str">
        <f>IF(EmployeeData[[#This Row],[Age]]&lt;25,"Under 25",IF(EmployeeData[[#This Row],[Age]]&lt;35,"25-34",IF(EmployeeData[[#This Row],[Age]]&lt;45,"35-44",IF(EmployeeData[[#This Row],[Age]]&lt;55,"45-54","55+"))))</f>
        <v>25-34</v>
      </c>
      <c r="AK333" s="4" t="str">
        <f>IF(EmployeeData[[#This Row],[MonthlyIncome]]&lt;3000,"Below 3K",IF(EmployeeData[[#This Row],[MonthlyIncome]]&lt;6000,"3K-6K",IF(EmployeeData[[#This Row],[MonthlyIncome]]&lt;9000,"6K-9K",IF(EmployeeData[[#This Row],[MonthlyIncome]]&lt;12000,"9K-12K","12K+"))))</f>
        <v>6K-9K</v>
      </c>
    </row>
    <row r="334" spans="1:37" x14ac:dyDescent="0.3">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c r="AJ334" s="4" t="str">
        <f>IF(EmployeeData[[#This Row],[Age]]&lt;25,"Under 25",IF(EmployeeData[[#This Row],[Age]]&lt;35,"25-34",IF(EmployeeData[[#This Row],[Age]]&lt;45,"35-44",IF(EmployeeData[[#This Row],[Age]]&lt;55,"45-54","55+"))))</f>
        <v>45-54</v>
      </c>
      <c r="AK334" s="4" t="str">
        <f>IF(EmployeeData[[#This Row],[MonthlyIncome]]&lt;3000,"Below 3K",IF(EmployeeData[[#This Row],[MonthlyIncome]]&lt;6000,"3K-6K",IF(EmployeeData[[#This Row],[MonthlyIncome]]&lt;9000,"6K-9K",IF(EmployeeData[[#This Row],[MonthlyIncome]]&lt;12000,"9K-12K","12K+"))))</f>
        <v>3K-6K</v>
      </c>
    </row>
    <row r="335" spans="1:37" x14ac:dyDescent="0.3">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c r="AJ335" s="4" t="str">
        <f>IF(EmployeeData[[#This Row],[Age]]&lt;25,"Under 25",IF(EmployeeData[[#This Row],[Age]]&lt;35,"25-34",IF(EmployeeData[[#This Row],[Age]]&lt;45,"35-44",IF(EmployeeData[[#This Row],[Age]]&lt;55,"45-54","55+"))))</f>
        <v>35-44</v>
      </c>
      <c r="AK335" s="4" t="str">
        <f>IF(EmployeeData[[#This Row],[MonthlyIncome]]&lt;3000,"Below 3K",IF(EmployeeData[[#This Row],[MonthlyIncome]]&lt;6000,"3K-6K",IF(EmployeeData[[#This Row],[MonthlyIncome]]&lt;9000,"6K-9K",IF(EmployeeData[[#This Row],[MonthlyIncome]]&lt;12000,"9K-12K","12K+"))))</f>
        <v>9K-12K</v>
      </c>
    </row>
    <row r="336" spans="1:37" x14ac:dyDescent="0.3">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c r="AJ336" s="4" t="str">
        <f>IF(EmployeeData[[#This Row],[Age]]&lt;25,"Under 25",IF(EmployeeData[[#This Row],[Age]]&lt;35,"25-34",IF(EmployeeData[[#This Row],[Age]]&lt;45,"35-44",IF(EmployeeData[[#This Row],[Age]]&lt;55,"45-54","55+"))))</f>
        <v>45-54</v>
      </c>
      <c r="AK336" s="4" t="str">
        <f>IF(EmployeeData[[#This Row],[MonthlyIncome]]&lt;3000,"Below 3K",IF(EmployeeData[[#This Row],[MonthlyIncome]]&lt;6000,"3K-6K",IF(EmployeeData[[#This Row],[MonthlyIncome]]&lt;9000,"6K-9K",IF(EmployeeData[[#This Row],[MonthlyIncome]]&lt;12000,"9K-12K","12K+"))))</f>
        <v>3K-6K</v>
      </c>
    </row>
    <row r="337" spans="1:37" x14ac:dyDescent="0.3">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c r="AJ337" s="4" t="str">
        <f>IF(EmployeeData[[#This Row],[Age]]&lt;25,"Under 25",IF(EmployeeData[[#This Row],[Age]]&lt;35,"25-34",IF(EmployeeData[[#This Row],[Age]]&lt;45,"35-44",IF(EmployeeData[[#This Row],[Age]]&lt;55,"45-54","55+"))))</f>
        <v>35-44</v>
      </c>
      <c r="AK337" s="4" t="str">
        <f>IF(EmployeeData[[#This Row],[MonthlyIncome]]&lt;3000,"Below 3K",IF(EmployeeData[[#This Row],[MonthlyIncome]]&lt;6000,"3K-6K",IF(EmployeeData[[#This Row],[MonthlyIncome]]&lt;9000,"6K-9K",IF(EmployeeData[[#This Row],[MonthlyIncome]]&lt;12000,"9K-12K","12K+"))))</f>
        <v>6K-9K</v>
      </c>
    </row>
    <row r="338" spans="1:37" x14ac:dyDescent="0.3">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c r="AJ338" s="4" t="str">
        <f>IF(EmployeeData[[#This Row],[Age]]&lt;25,"Under 25",IF(EmployeeData[[#This Row],[Age]]&lt;35,"25-34",IF(EmployeeData[[#This Row],[Age]]&lt;45,"35-44",IF(EmployeeData[[#This Row],[Age]]&lt;55,"45-54","55+"))))</f>
        <v>25-34</v>
      </c>
      <c r="AK338" s="4" t="str">
        <f>IF(EmployeeData[[#This Row],[MonthlyIncome]]&lt;3000,"Below 3K",IF(EmployeeData[[#This Row],[MonthlyIncome]]&lt;6000,"3K-6K",IF(EmployeeData[[#This Row],[MonthlyIncome]]&lt;9000,"6K-9K",IF(EmployeeData[[#This Row],[MonthlyIncome]]&lt;12000,"9K-12K","12K+"))))</f>
        <v>Below 3K</v>
      </c>
    </row>
    <row r="339" spans="1:37" x14ac:dyDescent="0.3">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c r="AJ339" s="4" t="str">
        <f>IF(EmployeeData[[#This Row],[Age]]&lt;25,"Under 25",IF(EmployeeData[[#This Row],[Age]]&lt;35,"25-34",IF(EmployeeData[[#This Row],[Age]]&lt;45,"35-44",IF(EmployeeData[[#This Row],[Age]]&lt;55,"45-54","55+"))))</f>
        <v>25-34</v>
      </c>
      <c r="AK339" s="4" t="str">
        <f>IF(EmployeeData[[#This Row],[MonthlyIncome]]&lt;3000,"Below 3K",IF(EmployeeData[[#This Row],[MonthlyIncome]]&lt;6000,"3K-6K",IF(EmployeeData[[#This Row],[MonthlyIncome]]&lt;9000,"6K-9K",IF(EmployeeData[[#This Row],[MonthlyIncome]]&lt;12000,"9K-12K","12K+"))))</f>
        <v>3K-6K</v>
      </c>
    </row>
    <row r="340" spans="1:37" x14ac:dyDescent="0.3">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c r="AJ340" s="4" t="str">
        <f>IF(EmployeeData[[#This Row],[Age]]&lt;25,"Under 25",IF(EmployeeData[[#This Row],[Age]]&lt;35,"25-34",IF(EmployeeData[[#This Row],[Age]]&lt;45,"35-44",IF(EmployeeData[[#This Row],[Age]]&lt;55,"45-54","55+"))))</f>
        <v>25-34</v>
      </c>
      <c r="AK340" s="4" t="str">
        <f>IF(EmployeeData[[#This Row],[MonthlyIncome]]&lt;3000,"Below 3K",IF(EmployeeData[[#This Row],[MonthlyIncome]]&lt;6000,"3K-6K",IF(EmployeeData[[#This Row],[MonthlyIncome]]&lt;9000,"6K-9K",IF(EmployeeData[[#This Row],[MonthlyIncome]]&lt;12000,"9K-12K","12K+"))))</f>
        <v>6K-9K</v>
      </c>
    </row>
    <row r="341" spans="1:37" x14ac:dyDescent="0.3">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c r="AJ341" s="4" t="str">
        <f>IF(EmployeeData[[#This Row],[Age]]&lt;25,"Under 25",IF(EmployeeData[[#This Row],[Age]]&lt;35,"25-34",IF(EmployeeData[[#This Row],[Age]]&lt;45,"35-44",IF(EmployeeData[[#This Row],[Age]]&lt;55,"45-54","55+"))))</f>
        <v>25-34</v>
      </c>
      <c r="AK341" s="4" t="str">
        <f>IF(EmployeeData[[#This Row],[MonthlyIncome]]&lt;3000,"Below 3K",IF(EmployeeData[[#This Row],[MonthlyIncome]]&lt;6000,"3K-6K",IF(EmployeeData[[#This Row],[MonthlyIncome]]&lt;9000,"6K-9K",IF(EmployeeData[[#This Row],[MonthlyIncome]]&lt;12000,"9K-12K","12K+"))))</f>
        <v>6K-9K</v>
      </c>
    </row>
    <row r="342" spans="1:37" x14ac:dyDescent="0.3">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c r="AJ342" s="4" t="str">
        <f>IF(EmployeeData[[#This Row],[Age]]&lt;25,"Under 25",IF(EmployeeData[[#This Row],[Age]]&lt;35,"25-34",IF(EmployeeData[[#This Row],[Age]]&lt;45,"35-44",IF(EmployeeData[[#This Row],[Age]]&lt;55,"45-54","55+"))))</f>
        <v>35-44</v>
      </c>
      <c r="AK342" s="4" t="str">
        <f>IF(EmployeeData[[#This Row],[MonthlyIncome]]&lt;3000,"Below 3K",IF(EmployeeData[[#This Row],[MonthlyIncome]]&lt;6000,"3K-6K",IF(EmployeeData[[#This Row],[MonthlyIncome]]&lt;9000,"6K-9K",IF(EmployeeData[[#This Row],[MonthlyIncome]]&lt;12000,"9K-12K","12K+"))))</f>
        <v>6K-9K</v>
      </c>
    </row>
    <row r="343" spans="1:37" x14ac:dyDescent="0.3">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c r="AJ343" s="4" t="str">
        <f>IF(EmployeeData[[#This Row],[Age]]&lt;25,"Under 25",IF(EmployeeData[[#This Row],[Age]]&lt;35,"25-34",IF(EmployeeData[[#This Row],[Age]]&lt;45,"35-44",IF(EmployeeData[[#This Row],[Age]]&lt;55,"45-54","55+"))))</f>
        <v>35-44</v>
      </c>
      <c r="AK343" s="4" t="str">
        <f>IF(EmployeeData[[#This Row],[MonthlyIncome]]&lt;3000,"Below 3K",IF(EmployeeData[[#This Row],[MonthlyIncome]]&lt;6000,"3K-6K",IF(EmployeeData[[#This Row],[MonthlyIncome]]&lt;9000,"6K-9K",IF(EmployeeData[[#This Row],[MonthlyIncome]]&lt;12000,"9K-12K","12K+"))))</f>
        <v>9K-12K</v>
      </c>
    </row>
    <row r="344" spans="1:37" x14ac:dyDescent="0.3">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c r="AJ344" s="4" t="str">
        <f>IF(EmployeeData[[#This Row],[Age]]&lt;25,"Under 25",IF(EmployeeData[[#This Row],[Age]]&lt;35,"25-34",IF(EmployeeData[[#This Row],[Age]]&lt;45,"35-44",IF(EmployeeData[[#This Row],[Age]]&lt;55,"45-54","55+"))))</f>
        <v>25-34</v>
      </c>
      <c r="AK344" s="4" t="str">
        <f>IF(EmployeeData[[#This Row],[MonthlyIncome]]&lt;3000,"Below 3K",IF(EmployeeData[[#This Row],[MonthlyIncome]]&lt;6000,"3K-6K",IF(EmployeeData[[#This Row],[MonthlyIncome]]&lt;9000,"6K-9K",IF(EmployeeData[[#This Row],[MonthlyIncome]]&lt;12000,"9K-12K","12K+"))))</f>
        <v>6K-9K</v>
      </c>
    </row>
    <row r="345" spans="1:37" x14ac:dyDescent="0.3">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c r="AJ345" s="4" t="str">
        <f>IF(EmployeeData[[#This Row],[Age]]&lt;25,"Under 25",IF(EmployeeData[[#This Row],[Age]]&lt;35,"25-34",IF(EmployeeData[[#This Row],[Age]]&lt;45,"35-44",IF(EmployeeData[[#This Row],[Age]]&lt;55,"45-54","55+"))))</f>
        <v>25-34</v>
      </c>
      <c r="AK345" s="4" t="str">
        <f>IF(EmployeeData[[#This Row],[MonthlyIncome]]&lt;3000,"Below 3K",IF(EmployeeData[[#This Row],[MonthlyIncome]]&lt;6000,"3K-6K",IF(EmployeeData[[#This Row],[MonthlyIncome]]&lt;9000,"6K-9K",IF(EmployeeData[[#This Row],[MonthlyIncome]]&lt;12000,"9K-12K","12K+"))))</f>
        <v>6K-9K</v>
      </c>
    </row>
    <row r="346" spans="1:37" x14ac:dyDescent="0.3">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c r="AJ346" s="4" t="str">
        <f>IF(EmployeeData[[#This Row],[Age]]&lt;25,"Under 25",IF(EmployeeData[[#This Row],[Age]]&lt;35,"25-34",IF(EmployeeData[[#This Row],[Age]]&lt;45,"35-44",IF(EmployeeData[[#This Row],[Age]]&lt;55,"45-54","55+"))))</f>
        <v>35-44</v>
      </c>
      <c r="AK346" s="4" t="str">
        <f>IF(EmployeeData[[#This Row],[MonthlyIncome]]&lt;3000,"Below 3K",IF(EmployeeData[[#This Row],[MonthlyIncome]]&lt;6000,"3K-6K",IF(EmployeeData[[#This Row],[MonthlyIncome]]&lt;9000,"6K-9K",IF(EmployeeData[[#This Row],[MonthlyIncome]]&lt;12000,"9K-12K","12K+"))))</f>
        <v>6K-9K</v>
      </c>
    </row>
    <row r="347" spans="1:37" x14ac:dyDescent="0.3">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c r="AJ347" s="4" t="str">
        <f>IF(EmployeeData[[#This Row],[Age]]&lt;25,"Under 25",IF(EmployeeData[[#This Row],[Age]]&lt;35,"25-34",IF(EmployeeData[[#This Row],[Age]]&lt;45,"35-44",IF(EmployeeData[[#This Row],[Age]]&lt;55,"45-54","55+"))))</f>
        <v>Under 25</v>
      </c>
      <c r="AK347" s="4" t="str">
        <f>IF(EmployeeData[[#This Row],[MonthlyIncome]]&lt;3000,"Below 3K",IF(EmployeeData[[#This Row],[MonthlyIncome]]&lt;6000,"3K-6K",IF(EmployeeData[[#This Row],[MonthlyIncome]]&lt;9000,"6K-9K",IF(EmployeeData[[#This Row],[MonthlyIncome]]&lt;12000,"9K-12K","12K+"))))</f>
        <v>Below 3K</v>
      </c>
    </row>
    <row r="348" spans="1:37" x14ac:dyDescent="0.3">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c r="AJ348" s="4" t="str">
        <f>IF(EmployeeData[[#This Row],[Age]]&lt;25,"Under 25",IF(EmployeeData[[#This Row],[Age]]&lt;35,"25-34",IF(EmployeeData[[#This Row],[Age]]&lt;45,"35-44",IF(EmployeeData[[#This Row],[Age]]&lt;55,"45-54","55+"))))</f>
        <v>35-44</v>
      </c>
      <c r="AK348" s="4" t="str">
        <f>IF(EmployeeData[[#This Row],[MonthlyIncome]]&lt;3000,"Below 3K",IF(EmployeeData[[#This Row],[MonthlyIncome]]&lt;6000,"3K-6K",IF(EmployeeData[[#This Row],[MonthlyIncome]]&lt;9000,"6K-9K",IF(EmployeeData[[#This Row],[MonthlyIncome]]&lt;12000,"9K-12K","12K+"))))</f>
        <v>6K-9K</v>
      </c>
    </row>
    <row r="349" spans="1:37" x14ac:dyDescent="0.3">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c r="AJ349" s="4" t="str">
        <f>IF(EmployeeData[[#This Row],[Age]]&lt;25,"Under 25",IF(EmployeeData[[#This Row],[Age]]&lt;35,"25-34",IF(EmployeeData[[#This Row],[Age]]&lt;45,"35-44",IF(EmployeeData[[#This Row],[Age]]&lt;55,"45-54","55+"))))</f>
        <v>45-54</v>
      </c>
      <c r="AK349" s="4" t="str">
        <f>IF(EmployeeData[[#This Row],[MonthlyIncome]]&lt;3000,"Below 3K",IF(EmployeeData[[#This Row],[MonthlyIncome]]&lt;6000,"3K-6K",IF(EmployeeData[[#This Row],[MonthlyIncome]]&lt;9000,"6K-9K",IF(EmployeeData[[#This Row],[MonthlyIncome]]&lt;12000,"9K-12K","12K+"))))</f>
        <v>Below 3K</v>
      </c>
    </row>
    <row r="350" spans="1:37" x14ac:dyDescent="0.3">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c r="AJ350" s="4" t="str">
        <f>IF(EmployeeData[[#This Row],[Age]]&lt;25,"Under 25",IF(EmployeeData[[#This Row],[Age]]&lt;35,"25-34",IF(EmployeeData[[#This Row],[Age]]&lt;45,"35-44",IF(EmployeeData[[#This Row],[Age]]&lt;55,"45-54","55+"))))</f>
        <v>35-44</v>
      </c>
      <c r="AK350" s="4" t="str">
        <f>IF(EmployeeData[[#This Row],[MonthlyIncome]]&lt;3000,"Below 3K",IF(EmployeeData[[#This Row],[MonthlyIncome]]&lt;6000,"3K-6K",IF(EmployeeData[[#This Row],[MonthlyIncome]]&lt;9000,"6K-9K",IF(EmployeeData[[#This Row],[MonthlyIncome]]&lt;12000,"9K-12K","12K+"))))</f>
        <v>12K+</v>
      </c>
    </row>
    <row r="351" spans="1:37" x14ac:dyDescent="0.3">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c r="AJ351" s="4" t="str">
        <f>IF(EmployeeData[[#This Row],[Age]]&lt;25,"Under 25",IF(EmployeeData[[#This Row],[Age]]&lt;35,"25-34",IF(EmployeeData[[#This Row],[Age]]&lt;45,"35-44",IF(EmployeeData[[#This Row],[Age]]&lt;55,"45-54","55+"))))</f>
        <v>25-34</v>
      </c>
      <c r="AK351" s="4" t="str">
        <f>IF(EmployeeData[[#This Row],[MonthlyIncome]]&lt;3000,"Below 3K",IF(EmployeeData[[#This Row],[MonthlyIncome]]&lt;6000,"3K-6K",IF(EmployeeData[[#This Row],[MonthlyIncome]]&lt;9000,"6K-9K",IF(EmployeeData[[#This Row],[MonthlyIncome]]&lt;12000,"9K-12K","12K+"))))</f>
        <v>3K-6K</v>
      </c>
    </row>
    <row r="352" spans="1:37" x14ac:dyDescent="0.3">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c r="AJ352" s="4" t="str">
        <f>IF(EmployeeData[[#This Row],[Age]]&lt;25,"Under 25",IF(EmployeeData[[#This Row],[Age]]&lt;35,"25-34",IF(EmployeeData[[#This Row],[Age]]&lt;45,"35-44",IF(EmployeeData[[#This Row],[Age]]&lt;55,"45-54","55+"))))</f>
        <v>35-44</v>
      </c>
      <c r="AK352" s="4" t="str">
        <f>IF(EmployeeData[[#This Row],[MonthlyIncome]]&lt;3000,"Below 3K",IF(EmployeeData[[#This Row],[MonthlyIncome]]&lt;6000,"3K-6K",IF(EmployeeData[[#This Row],[MonthlyIncome]]&lt;9000,"6K-9K",IF(EmployeeData[[#This Row],[MonthlyIncome]]&lt;12000,"9K-12K","12K+"))))</f>
        <v>Below 3K</v>
      </c>
    </row>
    <row r="353" spans="1:37" x14ac:dyDescent="0.3">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c r="AJ353" s="4" t="str">
        <f>IF(EmployeeData[[#This Row],[Age]]&lt;25,"Under 25",IF(EmployeeData[[#This Row],[Age]]&lt;35,"25-34",IF(EmployeeData[[#This Row],[Age]]&lt;45,"35-44",IF(EmployeeData[[#This Row],[Age]]&lt;55,"45-54","55+"))))</f>
        <v>25-34</v>
      </c>
      <c r="AK353" s="4" t="str">
        <f>IF(EmployeeData[[#This Row],[MonthlyIncome]]&lt;3000,"Below 3K",IF(EmployeeData[[#This Row],[MonthlyIncome]]&lt;6000,"3K-6K",IF(EmployeeData[[#This Row],[MonthlyIncome]]&lt;9000,"6K-9K",IF(EmployeeData[[#This Row],[MonthlyIncome]]&lt;12000,"9K-12K","12K+"))))</f>
        <v>Below 3K</v>
      </c>
    </row>
    <row r="354" spans="1:37" x14ac:dyDescent="0.3">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c r="AJ354" s="4" t="str">
        <f>IF(EmployeeData[[#This Row],[Age]]&lt;25,"Under 25",IF(EmployeeData[[#This Row],[Age]]&lt;35,"25-34",IF(EmployeeData[[#This Row],[Age]]&lt;45,"35-44",IF(EmployeeData[[#This Row],[Age]]&lt;55,"45-54","55+"))))</f>
        <v>45-54</v>
      </c>
      <c r="AK354" s="4" t="str">
        <f>IF(EmployeeData[[#This Row],[MonthlyIncome]]&lt;3000,"Below 3K",IF(EmployeeData[[#This Row],[MonthlyIncome]]&lt;6000,"3K-6K",IF(EmployeeData[[#This Row],[MonthlyIncome]]&lt;9000,"6K-9K",IF(EmployeeData[[#This Row],[MonthlyIncome]]&lt;12000,"9K-12K","12K+"))))</f>
        <v>12K+</v>
      </c>
    </row>
    <row r="355" spans="1:37" x14ac:dyDescent="0.3">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c r="AJ355" s="4" t="str">
        <f>IF(EmployeeData[[#This Row],[Age]]&lt;25,"Under 25",IF(EmployeeData[[#This Row],[Age]]&lt;35,"25-34",IF(EmployeeData[[#This Row],[Age]]&lt;45,"35-44",IF(EmployeeData[[#This Row],[Age]]&lt;55,"45-54","55+"))))</f>
        <v>35-44</v>
      </c>
      <c r="AK355" s="4" t="str">
        <f>IF(EmployeeData[[#This Row],[MonthlyIncome]]&lt;3000,"Below 3K",IF(EmployeeData[[#This Row],[MonthlyIncome]]&lt;6000,"3K-6K",IF(EmployeeData[[#This Row],[MonthlyIncome]]&lt;9000,"6K-9K",IF(EmployeeData[[#This Row],[MonthlyIncome]]&lt;12000,"9K-12K","12K+"))))</f>
        <v>3K-6K</v>
      </c>
    </row>
    <row r="356" spans="1:37" x14ac:dyDescent="0.3">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c r="AJ356" s="4" t="str">
        <f>IF(EmployeeData[[#This Row],[Age]]&lt;25,"Under 25",IF(EmployeeData[[#This Row],[Age]]&lt;35,"25-34",IF(EmployeeData[[#This Row],[Age]]&lt;45,"35-44",IF(EmployeeData[[#This Row],[Age]]&lt;55,"45-54","55+"))))</f>
        <v>25-34</v>
      </c>
      <c r="AK356" s="4" t="str">
        <f>IF(EmployeeData[[#This Row],[MonthlyIncome]]&lt;3000,"Below 3K",IF(EmployeeData[[#This Row],[MonthlyIncome]]&lt;6000,"3K-6K",IF(EmployeeData[[#This Row],[MonthlyIncome]]&lt;9000,"6K-9K",IF(EmployeeData[[#This Row],[MonthlyIncome]]&lt;12000,"9K-12K","12K+"))))</f>
        <v>3K-6K</v>
      </c>
    </row>
    <row r="357" spans="1:37" x14ac:dyDescent="0.3">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c r="AJ357" s="4" t="str">
        <f>IF(EmployeeData[[#This Row],[Age]]&lt;25,"Under 25",IF(EmployeeData[[#This Row],[Age]]&lt;35,"25-34",IF(EmployeeData[[#This Row],[Age]]&lt;45,"35-44",IF(EmployeeData[[#This Row],[Age]]&lt;55,"45-54","55+"))))</f>
        <v>25-34</v>
      </c>
      <c r="AK357" s="4" t="str">
        <f>IF(EmployeeData[[#This Row],[MonthlyIncome]]&lt;3000,"Below 3K",IF(EmployeeData[[#This Row],[MonthlyIncome]]&lt;6000,"3K-6K",IF(EmployeeData[[#This Row],[MonthlyIncome]]&lt;9000,"6K-9K",IF(EmployeeData[[#This Row],[MonthlyIncome]]&lt;12000,"9K-12K","12K+"))))</f>
        <v>3K-6K</v>
      </c>
    </row>
    <row r="358" spans="1:37" x14ac:dyDescent="0.3">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c r="AJ358" s="4" t="str">
        <f>IF(EmployeeData[[#This Row],[Age]]&lt;25,"Under 25",IF(EmployeeData[[#This Row],[Age]]&lt;35,"25-34",IF(EmployeeData[[#This Row],[Age]]&lt;45,"35-44",IF(EmployeeData[[#This Row],[Age]]&lt;55,"45-54","55+"))))</f>
        <v>35-44</v>
      </c>
      <c r="AK358" s="4" t="str">
        <f>IF(EmployeeData[[#This Row],[MonthlyIncome]]&lt;3000,"Below 3K",IF(EmployeeData[[#This Row],[MonthlyIncome]]&lt;6000,"3K-6K",IF(EmployeeData[[#This Row],[MonthlyIncome]]&lt;9000,"6K-9K",IF(EmployeeData[[#This Row],[MonthlyIncome]]&lt;12000,"9K-12K","12K+"))))</f>
        <v>6K-9K</v>
      </c>
    </row>
    <row r="359" spans="1:37" x14ac:dyDescent="0.3">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c r="AJ359" s="4" t="str">
        <f>IF(EmployeeData[[#This Row],[Age]]&lt;25,"Under 25",IF(EmployeeData[[#This Row],[Age]]&lt;35,"25-34",IF(EmployeeData[[#This Row],[Age]]&lt;45,"35-44",IF(EmployeeData[[#This Row],[Age]]&lt;55,"45-54","55+"))))</f>
        <v>Under 25</v>
      </c>
      <c r="AK359" s="4" t="str">
        <f>IF(EmployeeData[[#This Row],[MonthlyIncome]]&lt;3000,"Below 3K",IF(EmployeeData[[#This Row],[MonthlyIncome]]&lt;6000,"3K-6K",IF(EmployeeData[[#This Row],[MonthlyIncome]]&lt;9000,"6K-9K",IF(EmployeeData[[#This Row],[MonthlyIncome]]&lt;12000,"9K-12K","12K+"))))</f>
        <v>Below 3K</v>
      </c>
    </row>
    <row r="360" spans="1:37" x14ac:dyDescent="0.3">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c r="AJ360" s="4" t="str">
        <f>IF(EmployeeData[[#This Row],[Age]]&lt;25,"Under 25",IF(EmployeeData[[#This Row],[Age]]&lt;35,"25-34",IF(EmployeeData[[#This Row],[Age]]&lt;45,"35-44",IF(EmployeeData[[#This Row],[Age]]&lt;55,"45-54","55+"))))</f>
        <v>35-44</v>
      </c>
      <c r="AK360" s="4" t="str">
        <f>IF(EmployeeData[[#This Row],[MonthlyIncome]]&lt;3000,"Below 3K",IF(EmployeeData[[#This Row],[MonthlyIncome]]&lt;6000,"3K-6K",IF(EmployeeData[[#This Row],[MonthlyIncome]]&lt;9000,"6K-9K",IF(EmployeeData[[#This Row],[MonthlyIncome]]&lt;12000,"9K-12K","12K+"))))</f>
        <v>6K-9K</v>
      </c>
    </row>
    <row r="361" spans="1:37" x14ac:dyDescent="0.3">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c r="AJ361" s="4" t="str">
        <f>IF(EmployeeData[[#This Row],[Age]]&lt;25,"Under 25",IF(EmployeeData[[#This Row],[Age]]&lt;35,"25-34",IF(EmployeeData[[#This Row],[Age]]&lt;45,"35-44",IF(EmployeeData[[#This Row],[Age]]&lt;55,"45-54","55+"))))</f>
        <v>35-44</v>
      </c>
      <c r="AK361" s="4" t="str">
        <f>IF(EmployeeData[[#This Row],[MonthlyIncome]]&lt;3000,"Below 3K",IF(EmployeeData[[#This Row],[MonthlyIncome]]&lt;6000,"3K-6K",IF(EmployeeData[[#This Row],[MonthlyIncome]]&lt;9000,"6K-9K",IF(EmployeeData[[#This Row],[MonthlyIncome]]&lt;12000,"9K-12K","12K+"))))</f>
        <v>9K-12K</v>
      </c>
    </row>
    <row r="362" spans="1:37" x14ac:dyDescent="0.3">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c r="AJ362" s="4" t="str">
        <f>IF(EmployeeData[[#This Row],[Age]]&lt;25,"Under 25",IF(EmployeeData[[#This Row],[Age]]&lt;35,"25-34",IF(EmployeeData[[#This Row],[Age]]&lt;45,"35-44",IF(EmployeeData[[#This Row],[Age]]&lt;55,"45-54","55+"))))</f>
        <v>55+</v>
      </c>
      <c r="AK362" s="4" t="str">
        <f>IF(EmployeeData[[#This Row],[MonthlyIncome]]&lt;3000,"Below 3K",IF(EmployeeData[[#This Row],[MonthlyIncome]]&lt;6000,"3K-6K",IF(EmployeeData[[#This Row],[MonthlyIncome]]&lt;9000,"6K-9K",IF(EmployeeData[[#This Row],[MonthlyIncome]]&lt;12000,"9K-12K","12K+"))))</f>
        <v>6K-9K</v>
      </c>
    </row>
    <row r="363" spans="1:37" x14ac:dyDescent="0.3">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c r="AJ363" s="4" t="str">
        <f>IF(EmployeeData[[#This Row],[Age]]&lt;25,"Under 25",IF(EmployeeData[[#This Row],[Age]]&lt;35,"25-34",IF(EmployeeData[[#This Row],[Age]]&lt;45,"35-44",IF(EmployeeData[[#This Row],[Age]]&lt;55,"45-54","55+"))))</f>
        <v>35-44</v>
      </c>
      <c r="AK363" s="4" t="str">
        <f>IF(EmployeeData[[#This Row],[MonthlyIncome]]&lt;3000,"Below 3K",IF(EmployeeData[[#This Row],[MonthlyIncome]]&lt;6000,"3K-6K",IF(EmployeeData[[#This Row],[MonthlyIncome]]&lt;9000,"6K-9K",IF(EmployeeData[[#This Row],[MonthlyIncome]]&lt;12000,"9K-12K","12K+"))))</f>
        <v>Below 3K</v>
      </c>
    </row>
    <row r="364" spans="1:37" x14ac:dyDescent="0.3">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c r="AJ364" s="4" t="str">
        <f>IF(EmployeeData[[#This Row],[Age]]&lt;25,"Under 25",IF(EmployeeData[[#This Row],[Age]]&lt;35,"25-34",IF(EmployeeData[[#This Row],[Age]]&lt;45,"35-44",IF(EmployeeData[[#This Row],[Age]]&lt;55,"45-54","55+"))))</f>
        <v>Under 25</v>
      </c>
      <c r="AK364" s="4" t="str">
        <f>IF(EmployeeData[[#This Row],[MonthlyIncome]]&lt;3000,"Below 3K",IF(EmployeeData[[#This Row],[MonthlyIncome]]&lt;6000,"3K-6K",IF(EmployeeData[[#This Row],[MonthlyIncome]]&lt;9000,"6K-9K",IF(EmployeeData[[#This Row],[MonthlyIncome]]&lt;12000,"9K-12K","12K+"))))</f>
        <v>Below 3K</v>
      </c>
    </row>
    <row r="365" spans="1:37" x14ac:dyDescent="0.3">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c r="AJ365" s="4" t="str">
        <f>IF(EmployeeData[[#This Row],[Age]]&lt;25,"Under 25",IF(EmployeeData[[#This Row],[Age]]&lt;35,"25-34",IF(EmployeeData[[#This Row],[Age]]&lt;45,"35-44",IF(EmployeeData[[#This Row],[Age]]&lt;55,"45-54","55+"))))</f>
        <v>25-34</v>
      </c>
      <c r="AK365" s="4" t="str">
        <f>IF(EmployeeData[[#This Row],[MonthlyIncome]]&lt;3000,"Below 3K",IF(EmployeeData[[#This Row],[MonthlyIncome]]&lt;6000,"3K-6K",IF(EmployeeData[[#This Row],[MonthlyIncome]]&lt;9000,"6K-9K",IF(EmployeeData[[#This Row],[MonthlyIncome]]&lt;12000,"9K-12K","12K+"))))</f>
        <v>Below 3K</v>
      </c>
    </row>
    <row r="366" spans="1:37" x14ac:dyDescent="0.3">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c r="AJ366" s="4" t="str">
        <f>IF(EmployeeData[[#This Row],[Age]]&lt;25,"Under 25",IF(EmployeeData[[#This Row],[Age]]&lt;35,"25-34",IF(EmployeeData[[#This Row],[Age]]&lt;45,"35-44",IF(EmployeeData[[#This Row],[Age]]&lt;55,"45-54","55+"))))</f>
        <v>35-44</v>
      </c>
      <c r="AK366" s="4" t="str">
        <f>IF(EmployeeData[[#This Row],[MonthlyIncome]]&lt;3000,"Below 3K",IF(EmployeeData[[#This Row],[MonthlyIncome]]&lt;6000,"3K-6K",IF(EmployeeData[[#This Row],[MonthlyIncome]]&lt;9000,"6K-9K",IF(EmployeeData[[#This Row],[MonthlyIncome]]&lt;12000,"9K-12K","12K+"))))</f>
        <v>3K-6K</v>
      </c>
    </row>
    <row r="367" spans="1:37" x14ac:dyDescent="0.3">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c r="AJ367" s="4" t="str">
        <f>IF(EmployeeData[[#This Row],[Age]]&lt;25,"Under 25",IF(EmployeeData[[#This Row],[Age]]&lt;35,"25-34",IF(EmployeeData[[#This Row],[Age]]&lt;45,"35-44",IF(EmployeeData[[#This Row],[Age]]&lt;55,"45-54","55+"))))</f>
        <v>45-54</v>
      </c>
      <c r="AK367" s="4" t="str">
        <f>IF(EmployeeData[[#This Row],[MonthlyIncome]]&lt;3000,"Below 3K",IF(EmployeeData[[#This Row],[MonthlyIncome]]&lt;6000,"3K-6K",IF(EmployeeData[[#This Row],[MonthlyIncome]]&lt;9000,"6K-9K",IF(EmployeeData[[#This Row],[MonthlyIncome]]&lt;12000,"9K-12K","12K+"))))</f>
        <v>3K-6K</v>
      </c>
    </row>
    <row r="368" spans="1:37" x14ac:dyDescent="0.3">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c r="AJ368" s="4" t="str">
        <f>IF(EmployeeData[[#This Row],[Age]]&lt;25,"Under 25",IF(EmployeeData[[#This Row],[Age]]&lt;35,"25-34",IF(EmployeeData[[#This Row],[Age]]&lt;45,"35-44",IF(EmployeeData[[#This Row],[Age]]&lt;55,"45-54","55+"))))</f>
        <v>35-44</v>
      </c>
      <c r="AK368" s="4" t="str">
        <f>IF(EmployeeData[[#This Row],[MonthlyIncome]]&lt;3000,"Below 3K",IF(EmployeeData[[#This Row],[MonthlyIncome]]&lt;6000,"3K-6K",IF(EmployeeData[[#This Row],[MonthlyIncome]]&lt;9000,"6K-9K",IF(EmployeeData[[#This Row],[MonthlyIncome]]&lt;12000,"9K-12K","12K+"))))</f>
        <v>9K-12K</v>
      </c>
    </row>
    <row r="369" spans="1:37" x14ac:dyDescent="0.3">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c r="AJ369" s="4" t="str">
        <f>IF(EmployeeData[[#This Row],[Age]]&lt;25,"Under 25",IF(EmployeeData[[#This Row],[Age]]&lt;35,"25-34",IF(EmployeeData[[#This Row],[Age]]&lt;45,"35-44",IF(EmployeeData[[#This Row],[Age]]&lt;55,"45-54","55+"))))</f>
        <v>45-54</v>
      </c>
      <c r="AK369" s="4" t="str">
        <f>IF(EmployeeData[[#This Row],[MonthlyIncome]]&lt;3000,"Below 3K",IF(EmployeeData[[#This Row],[MonthlyIncome]]&lt;6000,"3K-6K",IF(EmployeeData[[#This Row],[MonthlyIncome]]&lt;9000,"6K-9K",IF(EmployeeData[[#This Row],[MonthlyIncome]]&lt;12000,"9K-12K","12K+"))))</f>
        <v>9K-12K</v>
      </c>
    </row>
    <row r="370" spans="1:37" x14ac:dyDescent="0.3">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c r="AJ370" s="4" t="str">
        <f>IF(EmployeeData[[#This Row],[Age]]&lt;25,"Under 25",IF(EmployeeData[[#This Row],[Age]]&lt;35,"25-34",IF(EmployeeData[[#This Row],[Age]]&lt;45,"35-44",IF(EmployeeData[[#This Row],[Age]]&lt;55,"45-54","55+"))))</f>
        <v>35-44</v>
      </c>
      <c r="AK370" s="4" t="str">
        <f>IF(EmployeeData[[#This Row],[MonthlyIncome]]&lt;3000,"Below 3K",IF(EmployeeData[[#This Row],[MonthlyIncome]]&lt;6000,"3K-6K",IF(EmployeeData[[#This Row],[MonthlyIncome]]&lt;9000,"6K-9K",IF(EmployeeData[[#This Row],[MonthlyIncome]]&lt;12000,"9K-12K","12K+"))))</f>
        <v>6K-9K</v>
      </c>
    </row>
    <row r="371" spans="1:37" x14ac:dyDescent="0.3">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c r="AJ371" s="4" t="str">
        <f>IF(EmployeeData[[#This Row],[Age]]&lt;25,"Under 25",IF(EmployeeData[[#This Row],[Age]]&lt;35,"25-34",IF(EmployeeData[[#This Row],[Age]]&lt;45,"35-44",IF(EmployeeData[[#This Row],[Age]]&lt;55,"45-54","55+"))))</f>
        <v>25-34</v>
      </c>
      <c r="AK371" s="4" t="str">
        <f>IF(EmployeeData[[#This Row],[MonthlyIncome]]&lt;3000,"Below 3K",IF(EmployeeData[[#This Row],[MonthlyIncome]]&lt;6000,"3K-6K",IF(EmployeeData[[#This Row],[MonthlyIncome]]&lt;9000,"6K-9K",IF(EmployeeData[[#This Row],[MonthlyIncome]]&lt;12000,"9K-12K","12K+"))))</f>
        <v>Below 3K</v>
      </c>
    </row>
    <row r="372" spans="1:37" x14ac:dyDescent="0.3">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c r="AJ372" s="4" t="str">
        <f>IF(EmployeeData[[#This Row],[Age]]&lt;25,"Under 25",IF(EmployeeData[[#This Row],[Age]]&lt;35,"25-34",IF(EmployeeData[[#This Row],[Age]]&lt;45,"35-44",IF(EmployeeData[[#This Row],[Age]]&lt;55,"45-54","55+"))))</f>
        <v>Under 25</v>
      </c>
      <c r="AK372" s="4" t="str">
        <f>IF(EmployeeData[[#This Row],[MonthlyIncome]]&lt;3000,"Below 3K",IF(EmployeeData[[#This Row],[MonthlyIncome]]&lt;6000,"3K-6K",IF(EmployeeData[[#This Row],[MonthlyIncome]]&lt;9000,"6K-9K",IF(EmployeeData[[#This Row],[MonthlyIncome]]&lt;12000,"9K-12K","12K+"))))</f>
        <v>Below 3K</v>
      </c>
    </row>
    <row r="373" spans="1:37" x14ac:dyDescent="0.3">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c r="AJ373" s="4" t="str">
        <f>IF(EmployeeData[[#This Row],[Age]]&lt;25,"Under 25",IF(EmployeeData[[#This Row],[Age]]&lt;35,"25-34",IF(EmployeeData[[#This Row],[Age]]&lt;45,"35-44",IF(EmployeeData[[#This Row],[Age]]&lt;55,"45-54","55+"))))</f>
        <v>25-34</v>
      </c>
      <c r="AK373" s="4" t="str">
        <f>IF(EmployeeData[[#This Row],[MonthlyIncome]]&lt;3000,"Below 3K",IF(EmployeeData[[#This Row],[MonthlyIncome]]&lt;6000,"3K-6K",IF(EmployeeData[[#This Row],[MonthlyIncome]]&lt;9000,"6K-9K",IF(EmployeeData[[#This Row],[MonthlyIncome]]&lt;12000,"9K-12K","12K+"))))</f>
        <v>Below 3K</v>
      </c>
    </row>
    <row r="374" spans="1:37" x14ac:dyDescent="0.3">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c r="AJ374" s="4" t="str">
        <f>IF(EmployeeData[[#This Row],[Age]]&lt;25,"Under 25",IF(EmployeeData[[#This Row],[Age]]&lt;35,"25-34",IF(EmployeeData[[#This Row],[Age]]&lt;45,"35-44",IF(EmployeeData[[#This Row],[Age]]&lt;55,"45-54","55+"))))</f>
        <v>35-44</v>
      </c>
      <c r="AK374" s="4" t="str">
        <f>IF(EmployeeData[[#This Row],[MonthlyIncome]]&lt;3000,"Below 3K",IF(EmployeeData[[#This Row],[MonthlyIncome]]&lt;6000,"3K-6K",IF(EmployeeData[[#This Row],[MonthlyIncome]]&lt;9000,"6K-9K",IF(EmployeeData[[#This Row],[MonthlyIncome]]&lt;12000,"9K-12K","12K+"))))</f>
        <v>6K-9K</v>
      </c>
    </row>
    <row r="375" spans="1:37" x14ac:dyDescent="0.3">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c r="AJ375" s="4" t="str">
        <f>IF(EmployeeData[[#This Row],[Age]]&lt;25,"Under 25",IF(EmployeeData[[#This Row],[Age]]&lt;35,"25-34",IF(EmployeeData[[#This Row],[Age]]&lt;45,"35-44",IF(EmployeeData[[#This Row],[Age]]&lt;55,"45-54","55+"))))</f>
        <v>25-34</v>
      </c>
      <c r="AK375" s="4" t="str">
        <f>IF(EmployeeData[[#This Row],[MonthlyIncome]]&lt;3000,"Below 3K",IF(EmployeeData[[#This Row],[MonthlyIncome]]&lt;6000,"3K-6K",IF(EmployeeData[[#This Row],[MonthlyIncome]]&lt;9000,"6K-9K",IF(EmployeeData[[#This Row],[MonthlyIncome]]&lt;12000,"9K-12K","12K+"))))</f>
        <v>3K-6K</v>
      </c>
    </row>
    <row r="376" spans="1:37" x14ac:dyDescent="0.3">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c r="AJ376" s="4" t="str">
        <f>IF(EmployeeData[[#This Row],[Age]]&lt;25,"Under 25",IF(EmployeeData[[#This Row],[Age]]&lt;35,"25-34",IF(EmployeeData[[#This Row],[Age]]&lt;45,"35-44",IF(EmployeeData[[#This Row],[Age]]&lt;55,"45-54","55+"))))</f>
        <v>25-34</v>
      </c>
      <c r="AK376" s="4" t="str">
        <f>IF(EmployeeData[[#This Row],[MonthlyIncome]]&lt;3000,"Below 3K",IF(EmployeeData[[#This Row],[MonthlyIncome]]&lt;6000,"3K-6K",IF(EmployeeData[[#This Row],[MonthlyIncome]]&lt;9000,"6K-9K",IF(EmployeeData[[#This Row],[MonthlyIncome]]&lt;12000,"9K-12K","12K+"))))</f>
        <v>3K-6K</v>
      </c>
    </row>
    <row r="377" spans="1:37" x14ac:dyDescent="0.3">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c r="AJ377" s="4" t="str">
        <f>IF(EmployeeData[[#This Row],[Age]]&lt;25,"Under 25",IF(EmployeeData[[#This Row],[Age]]&lt;35,"25-34",IF(EmployeeData[[#This Row],[Age]]&lt;45,"35-44",IF(EmployeeData[[#This Row],[Age]]&lt;55,"45-54","55+"))))</f>
        <v>45-54</v>
      </c>
      <c r="AK377" s="4" t="str">
        <f>IF(EmployeeData[[#This Row],[MonthlyIncome]]&lt;3000,"Below 3K",IF(EmployeeData[[#This Row],[MonthlyIncome]]&lt;6000,"3K-6K",IF(EmployeeData[[#This Row],[MonthlyIncome]]&lt;9000,"6K-9K",IF(EmployeeData[[#This Row],[MonthlyIncome]]&lt;12000,"9K-12K","12K+"))))</f>
        <v>9K-12K</v>
      </c>
    </row>
    <row r="378" spans="1:37" x14ac:dyDescent="0.3">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c r="AJ378" s="4" t="str">
        <f>IF(EmployeeData[[#This Row],[Age]]&lt;25,"Under 25",IF(EmployeeData[[#This Row],[Age]]&lt;35,"25-34",IF(EmployeeData[[#This Row],[Age]]&lt;45,"35-44",IF(EmployeeData[[#This Row],[Age]]&lt;55,"45-54","55+"))))</f>
        <v>45-54</v>
      </c>
      <c r="AK378" s="4" t="str">
        <f>IF(EmployeeData[[#This Row],[MonthlyIncome]]&lt;3000,"Below 3K",IF(EmployeeData[[#This Row],[MonthlyIncome]]&lt;6000,"3K-6K",IF(EmployeeData[[#This Row],[MonthlyIncome]]&lt;9000,"6K-9K",IF(EmployeeData[[#This Row],[MonthlyIncome]]&lt;12000,"9K-12K","12K+"))))</f>
        <v>3K-6K</v>
      </c>
    </row>
    <row r="379" spans="1:37" x14ac:dyDescent="0.3">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c r="AJ379" s="4" t="str">
        <f>IF(EmployeeData[[#This Row],[Age]]&lt;25,"Under 25",IF(EmployeeData[[#This Row],[Age]]&lt;35,"25-34",IF(EmployeeData[[#This Row],[Age]]&lt;45,"35-44",IF(EmployeeData[[#This Row],[Age]]&lt;55,"45-54","55+"))))</f>
        <v>35-44</v>
      </c>
      <c r="AK379" s="4" t="str">
        <f>IF(EmployeeData[[#This Row],[MonthlyIncome]]&lt;3000,"Below 3K",IF(EmployeeData[[#This Row],[MonthlyIncome]]&lt;6000,"3K-6K",IF(EmployeeData[[#This Row],[MonthlyIncome]]&lt;9000,"6K-9K",IF(EmployeeData[[#This Row],[MonthlyIncome]]&lt;12000,"9K-12K","12K+"))))</f>
        <v>Below 3K</v>
      </c>
    </row>
    <row r="380" spans="1:37" x14ac:dyDescent="0.3">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c r="AJ380" s="4" t="str">
        <f>IF(EmployeeData[[#This Row],[Age]]&lt;25,"Under 25",IF(EmployeeData[[#This Row],[Age]]&lt;35,"25-34",IF(EmployeeData[[#This Row],[Age]]&lt;45,"35-44",IF(EmployeeData[[#This Row],[Age]]&lt;55,"45-54","55+"))))</f>
        <v>25-34</v>
      </c>
      <c r="AK380" s="4" t="str">
        <f>IF(EmployeeData[[#This Row],[MonthlyIncome]]&lt;3000,"Below 3K",IF(EmployeeData[[#This Row],[MonthlyIncome]]&lt;6000,"3K-6K",IF(EmployeeData[[#This Row],[MonthlyIncome]]&lt;9000,"6K-9K",IF(EmployeeData[[#This Row],[MonthlyIncome]]&lt;12000,"9K-12K","12K+"))))</f>
        <v>3K-6K</v>
      </c>
    </row>
    <row r="381" spans="1:37" x14ac:dyDescent="0.3">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c r="AJ381" s="4" t="str">
        <f>IF(EmployeeData[[#This Row],[Age]]&lt;25,"Under 25",IF(EmployeeData[[#This Row],[Age]]&lt;35,"25-34",IF(EmployeeData[[#This Row],[Age]]&lt;45,"35-44",IF(EmployeeData[[#This Row],[Age]]&lt;55,"45-54","55+"))))</f>
        <v>55+</v>
      </c>
      <c r="AK381" s="4" t="str">
        <f>IF(EmployeeData[[#This Row],[MonthlyIncome]]&lt;3000,"Below 3K",IF(EmployeeData[[#This Row],[MonthlyIncome]]&lt;6000,"3K-6K",IF(EmployeeData[[#This Row],[MonthlyIncome]]&lt;9000,"6K-9K",IF(EmployeeData[[#This Row],[MonthlyIncome]]&lt;12000,"9K-12K","12K+"))))</f>
        <v>12K+</v>
      </c>
    </row>
    <row r="382" spans="1:37" x14ac:dyDescent="0.3">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c r="AJ382" s="4" t="str">
        <f>IF(EmployeeData[[#This Row],[Age]]&lt;25,"Under 25",IF(EmployeeData[[#This Row],[Age]]&lt;35,"25-34",IF(EmployeeData[[#This Row],[Age]]&lt;45,"35-44",IF(EmployeeData[[#This Row],[Age]]&lt;55,"45-54","55+"))))</f>
        <v>Under 25</v>
      </c>
      <c r="AK382" s="4" t="str">
        <f>IF(EmployeeData[[#This Row],[MonthlyIncome]]&lt;3000,"Below 3K",IF(EmployeeData[[#This Row],[MonthlyIncome]]&lt;6000,"3K-6K",IF(EmployeeData[[#This Row],[MonthlyIncome]]&lt;9000,"6K-9K",IF(EmployeeData[[#This Row],[MonthlyIncome]]&lt;12000,"9K-12K","12K+"))))</f>
        <v>3K-6K</v>
      </c>
    </row>
    <row r="383" spans="1:37" x14ac:dyDescent="0.3">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c r="AJ383" s="4" t="str">
        <f>IF(EmployeeData[[#This Row],[Age]]&lt;25,"Under 25",IF(EmployeeData[[#This Row],[Age]]&lt;35,"25-34",IF(EmployeeData[[#This Row],[Age]]&lt;45,"35-44",IF(EmployeeData[[#This Row],[Age]]&lt;55,"45-54","55+"))))</f>
        <v>25-34</v>
      </c>
      <c r="AK383" s="4" t="str">
        <f>IF(EmployeeData[[#This Row],[MonthlyIncome]]&lt;3000,"Below 3K",IF(EmployeeData[[#This Row],[MonthlyIncome]]&lt;6000,"3K-6K",IF(EmployeeData[[#This Row],[MonthlyIncome]]&lt;9000,"6K-9K",IF(EmployeeData[[#This Row],[MonthlyIncome]]&lt;12000,"9K-12K","12K+"))))</f>
        <v>Below 3K</v>
      </c>
    </row>
    <row r="384" spans="1:37" x14ac:dyDescent="0.3">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c r="AJ384" s="4" t="str">
        <f>IF(EmployeeData[[#This Row],[Age]]&lt;25,"Under 25",IF(EmployeeData[[#This Row],[Age]]&lt;35,"25-34",IF(EmployeeData[[#This Row],[Age]]&lt;45,"35-44",IF(EmployeeData[[#This Row],[Age]]&lt;55,"45-54","55+"))))</f>
        <v>25-34</v>
      </c>
      <c r="AK384" s="4" t="str">
        <f>IF(EmployeeData[[#This Row],[MonthlyIncome]]&lt;3000,"Below 3K",IF(EmployeeData[[#This Row],[MonthlyIncome]]&lt;6000,"3K-6K",IF(EmployeeData[[#This Row],[MonthlyIncome]]&lt;9000,"6K-9K",IF(EmployeeData[[#This Row],[MonthlyIncome]]&lt;12000,"9K-12K","12K+"))))</f>
        <v>3K-6K</v>
      </c>
    </row>
    <row r="385" spans="1:37" x14ac:dyDescent="0.3">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c r="AJ385" s="4" t="str">
        <f>IF(EmployeeData[[#This Row],[Age]]&lt;25,"Under 25",IF(EmployeeData[[#This Row],[Age]]&lt;35,"25-34",IF(EmployeeData[[#This Row],[Age]]&lt;45,"35-44",IF(EmployeeData[[#This Row],[Age]]&lt;55,"45-54","55+"))))</f>
        <v>Under 25</v>
      </c>
      <c r="AK385" s="4" t="str">
        <f>IF(EmployeeData[[#This Row],[MonthlyIncome]]&lt;3000,"Below 3K",IF(EmployeeData[[#This Row],[MonthlyIncome]]&lt;6000,"3K-6K",IF(EmployeeData[[#This Row],[MonthlyIncome]]&lt;9000,"6K-9K",IF(EmployeeData[[#This Row],[MonthlyIncome]]&lt;12000,"9K-12K","12K+"))))</f>
        <v>Below 3K</v>
      </c>
    </row>
    <row r="386" spans="1:37" x14ac:dyDescent="0.3">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c r="AJ386" s="4" t="str">
        <f>IF(EmployeeData[[#This Row],[Age]]&lt;25,"Under 25",IF(EmployeeData[[#This Row],[Age]]&lt;35,"25-34",IF(EmployeeData[[#This Row],[Age]]&lt;45,"35-44",IF(EmployeeData[[#This Row],[Age]]&lt;55,"45-54","55+"))))</f>
        <v>35-44</v>
      </c>
      <c r="AK386" s="4" t="str">
        <f>IF(EmployeeData[[#This Row],[MonthlyIncome]]&lt;3000,"Below 3K",IF(EmployeeData[[#This Row],[MonthlyIncome]]&lt;6000,"3K-6K",IF(EmployeeData[[#This Row],[MonthlyIncome]]&lt;9000,"6K-9K",IF(EmployeeData[[#This Row],[MonthlyIncome]]&lt;12000,"9K-12K","12K+"))))</f>
        <v>6K-9K</v>
      </c>
    </row>
    <row r="387" spans="1:37" x14ac:dyDescent="0.3">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c r="AJ387" s="4" t="str">
        <f>IF(EmployeeData[[#This Row],[Age]]&lt;25,"Under 25",IF(EmployeeData[[#This Row],[Age]]&lt;35,"25-34",IF(EmployeeData[[#This Row],[Age]]&lt;45,"35-44",IF(EmployeeData[[#This Row],[Age]]&lt;55,"45-54","55+"))))</f>
        <v>25-34</v>
      </c>
      <c r="AK387" s="4" t="str">
        <f>IF(EmployeeData[[#This Row],[MonthlyIncome]]&lt;3000,"Below 3K",IF(EmployeeData[[#This Row],[MonthlyIncome]]&lt;6000,"3K-6K",IF(EmployeeData[[#This Row],[MonthlyIncome]]&lt;9000,"6K-9K",IF(EmployeeData[[#This Row],[MonthlyIncome]]&lt;12000,"9K-12K","12K+"))))</f>
        <v>Below 3K</v>
      </c>
    </row>
    <row r="388" spans="1:37" x14ac:dyDescent="0.3">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c r="AJ388" s="4" t="str">
        <f>IF(EmployeeData[[#This Row],[Age]]&lt;25,"Under 25",IF(EmployeeData[[#This Row],[Age]]&lt;35,"25-34",IF(EmployeeData[[#This Row],[Age]]&lt;45,"35-44",IF(EmployeeData[[#This Row],[Age]]&lt;55,"45-54","55+"))))</f>
        <v>35-44</v>
      </c>
      <c r="AK388" s="4" t="str">
        <f>IF(EmployeeData[[#This Row],[MonthlyIncome]]&lt;3000,"Below 3K",IF(EmployeeData[[#This Row],[MonthlyIncome]]&lt;6000,"3K-6K",IF(EmployeeData[[#This Row],[MonthlyIncome]]&lt;9000,"6K-9K",IF(EmployeeData[[#This Row],[MonthlyIncome]]&lt;12000,"9K-12K","12K+"))))</f>
        <v>3K-6K</v>
      </c>
    </row>
    <row r="389" spans="1:37" x14ac:dyDescent="0.3">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c r="AJ389" s="4" t="str">
        <f>IF(EmployeeData[[#This Row],[Age]]&lt;25,"Under 25",IF(EmployeeData[[#This Row],[Age]]&lt;35,"25-34",IF(EmployeeData[[#This Row],[Age]]&lt;45,"35-44",IF(EmployeeData[[#This Row],[Age]]&lt;55,"45-54","55+"))))</f>
        <v>35-44</v>
      </c>
      <c r="AK389" s="4" t="str">
        <f>IF(EmployeeData[[#This Row],[MonthlyIncome]]&lt;3000,"Below 3K",IF(EmployeeData[[#This Row],[MonthlyIncome]]&lt;6000,"3K-6K",IF(EmployeeData[[#This Row],[MonthlyIncome]]&lt;9000,"6K-9K",IF(EmployeeData[[#This Row],[MonthlyIncome]]&lt;12000,"9K-12K","12K+"))))</f>
        <v>3K-6K</v>
      </c>
    </row>
    <row r="390" spans="1:37" x14ac:dyDescent="0.3">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c r="AJ390" s="4" t="str">
        <f>IF(EmployeeData[[#This Row],[Age]]&lt;25,"Under 25",IF(EmployeeData[[#This Row],[Age]]&lt;35,"25-34",IF(EmployeeData[[#This Row],[Age]]&lt;45,"35-44",IF(EmployeeData[[#This Row],[Age]]&lt;55,"45-54","55+"))))</f>
        <v>35-44</v>
      </c>
      <c r="AK390" s="4" t="str">
        <f>IF(EmployeeData[[#This Row],[MonthlyIncome]]&lt;3000,"Below 3K",IF(EmployeeData[[#This Row],[MonthlyIncome]]&lt;6000,"3K-6K",IF(EmployeeData[[#This Row],[MonthlyIncome]]&lt;9000,"6K-9K",IF(EmployeeData[[#This Row],[MonthlyIncome]]&lt;12000,"9K-12K","12K+"))))</f>
        <v>Below 3K</v>
      </c>
    </row>
    <row r="391" spans="1:37" x14ac:dyDescent="0.3">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c r="AJ391" s="4" t="str">
        <f>IF(EmployeeData[[#This Row],[Age]]&lt;25,"Under 25",IF(EmployeeData[[#This Row],[Age]]&lt;35,"25-34",IF(EmployeeData[[#This Row],[Age]]&lt;45,"35-44",IF(EmployeeData[[#This Row],[Age]]&lt;55,"45-54","55+"))))</f>
        <v>35-44</v>
      </c>
      <c r="AK391" s="4" t="str">
        <f>IF(EmployeeData[[#This Row],[MonthlyIncome]]&lt;3000,"Below 3K",IF(EmployeeData[[#This Row],[MonthlyIncome]]&lt;6000,"3K-6K",IF(EmployeeData[[#This Row],[MonthlyIncome]]&lt;9000,"6K-9K",IF(EmployeeData[[#This Row],[MonthlyIncome]]&lt;12000,"9K-12K","12K+"))))</f>
        <v>3K-6K</v>
      </c>
    </row>
    <row r="392" spans="1:37" x14ac:dyDescent="0.3">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c r="AJ392" s="4" t="str">
        <f>IF(EmployeeData[[#This Row],[Age]]&lt;25,"Under 25",IF(EmployeeData[[#This Row],[Age]]&lt;35,"25-34",IF(EmployeeData[[#This Row],[Age]]&lt;45,"35-44",IF(EmployeeData[[#This Row],[Age]]&lt;55,"45-54","55+"))))</f>
        <v>35-44</v>
      </c>
      <c r="AK392" s="4" t="str">
        <f>IF(EmployeeData[[#This Row],[MonthlyIncome]]&lt;3000,"Below 3K",IF(EmployeeData[[#This Row],[MonthlyIncome]]&lt;6000,"3K-6K",IF(EmployeeData[[#This Row],[MonthlyIncome]]&lt;9000,"6K-9K",IF(EmployeeData[[#This Row],[MonthlyIncome]]&lt;12000,"9K-12K","12K+"))))</f>
        <v>12K+</v>
      </c>
    </row>
    <row r="393" spans="1:37" x14ac:dyDescent="0.3">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c r="AJ393" s="4" t="str">
        <f>IF(EmployeeData[[#This Row],[Age]]&lt;25,"Under 25",IF(EmployeeData[[#This Row],[Age]]&lt;35,"25-34",IF(EmployeeData[[#This Row],[Age]]&lt;45,"35-44",IF(EmployeeData[[#This Row],[Age]]&lt;55,"45-54","55+"))))</f>
        <v>35-44</v>
      </c>
      <c r="AK393" s="4" t="str">
        <f>IF(EmployeeData[[#This Row],[MonthlyIncome]]&lt;3000,"Below 3K",IF(EmployeeData[[#This Row],[MonthlyIncome]]&lt;6000,"3K-6K",IF(EmployeeData[[#This Row],[MonthlyIncome]]&lt;9000,"6K-9K",IF(EmployeeData[[#This Row],[MonthlyIncome]]&lt;12000,"9K-12K","12K+"))))</f>
        <v>3K-6K</v>
      </c>
    </row>
    <row r="394" spans="1:37" x14ac:dyDescent="0.3">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c r="AJ394" s="4" t="str">
        <f>IF(EmployeeData[[#This Row],[Age]]&lt;25,"Under 25",IF(EmployeeData[[#This Row],[Age]]&lt;35,"25-34",IF(EmployeeData[[#This Row],[Age]]&lt;45,"35-44",IF(EmployeeData[[#This Row],[Age]]&lt;55,"45-54","55+"))))</f>
        <v>45-54</v>
      </c>
      <c r="AK394" s="4" t="str">
        <f>IF(EmployeeData[[#This Row],[MonthlyIncome]]&lt;3000,"Below 3K",IF(EmployeeData[[#This Row],[MonthlyIncome]]&lt;6000,"3K-6K",IF(EmployeeData[[#This Row],[MonthlyIncome]]&lt;9000,"6K-9K",IF(EmployeeData[[#This Row],[MonthlyIncome]]&lt;12000,"9K-12K","12K+"))))</f>
        <v>12K+</v>
      </c>
    </row>
    <row r="395" spans="1:37" x14ac:dyDescent="0.3">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c r="AJ395" s="4" t="str">
        <f>IF(EmployeeData[[#This Row],[Age]]&lt;25,"Under 25",IF(EmployeeData[[#This Row],[Age]]&lt;35,"25-34",IF(EmployeeData[[#This Row],[Age]]&lt;45,"35-44",IF(EmployeeData[[#This Row],[Age]]&lt;55,"45-54","55+"))))</f>
        <v>25-34</v>
      </c>
      <c r="AK395" s="4" t="str">
        <f>IF(EmployeeData[[#This Row],[MonthlyIncome]]&lt;3000,"Below 3K",IF(EmployeeData[[#This Row],[MonthlyIncome]]&lt;6000,"3K-6K",IF(EmployeeData[[#This Row],[MonthlyIncome]]&lt;9000,"6K-9K",IF(EmployeeData[[#This Row],[MonthlyIncome]]&lt;12000,"9K-12K","12K+"))))</f>
        <v>6K-9K</v>
      </c>
    </row>
    <row r="396" spans="1:37" x14ac:dyDescent="0.3">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c r="AJ396" s="4" t="str">
        <f>IF(EmployeeData[[#This Row],[Age]]&lt;25,"Under 25",IF(EmployeeData[[#This Row],[Age]]&lt;35,"25-34",IF(EmployeeData[[#This Row],[Age]]&lt;45,"35-44",IF(EmployeeData[[#This Row],[Age]]&lt;55,"45-54","55+"))))</f>
        <v>25-34</v>
      </c>
      <c r="AK396" s="4" t="str">
        <f>IF(EmployeeData[[#This Row],[MonthlyIncome]]&lt;3000,"Below 3K",IF(EmployeeData[[#This Row],[MonthlyIncome]]&lt;6000,"3K-6K",IF(EmployeeData[[#This Row],[MonthlyIncome]]&lt;9000,"6K-9K",IF(EmployeeData[[#This Row],[MonthlyIncome]]&lt;12000,"9K-12K","12K+"))))</f>
        <v>3K-6K</v>
      </c>
    </row>
    <row r="397" spans="1:37" x14ac:dyDescent="0.3">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c r="AJ397" s="4" t="str">
        <f>IF(EmployeeData[[#This Row],[Age]]&lt;25,"Under 25",IF(EmployeeData[[#This Row],[Age]]&lt;35,"25-34",IF(EmployeeData[[#This Row],[Age]]&lt;45,"35-44",IF(EmployeeData[[#This Row],[Age]]&lt;55,"45-54","55+"))))</f>
        <v>35-44</v>
      </c>
      <c r="AK397" s="4" t="str">
        <f>IF(EmployeeData[[#This Row],[MonthlyIncome]]&lt;3000,"Below 3K",IF(EmployeeData[[#This Row],[MonthlyIncome]]&lt;6000,"3K-6K",IF(EmployeeData[[#This Row],[MonthlyIncome]]&lt;9000,"6K-9K",IF(EmployeeData[[#This Row],[MonthlyIncome]]&lt;12000,"9K-12K","12K+"))))</f>
        <v>Below 3K</v>
      </c>
    </row>
    <row r="398" spans="1:37" x14ac:dyDescent="0.3">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c r="AJ398" s="4" t="str">
        <f>IF(EmployeeData[[#This Row],[Age]]&lt;25,"Under 25",IF(EmployeeData[[#This Row],[Age]]&lt;35,"25-34",IF(EmployeeData[[#This Row],[Age]]&lt;45,"35-44",IF(EmployeeData[[#This Row],[Age]]&lt;55,"45-54","55+"))))</f>
        <v>35-44</v>
      </c>
      <c r="AK398" s="4" t="str">
        <f>IF(EmployeeData[[#This Row],[MonthlyIncome]]&lt;3000,"Below 3K",IF(EmployeeData[[#This Row],[MonthlyIncome]]&lt;6000,"3K-6K",IF(EmployeeData[[#This Row],[MonthlyIncome]]&lt;9000,"6K-9K",IF(EmployeeData[[#This Row],[MonthlyIncome]]&lt;12000,"9K-12K","12K+"))))</f>
        <v>3K-6K</v>
      </c>
    </row>
    <row r="399" spans="1:37" x14ac:dyDescent="0.3">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c r="AJ399" s="4" t="str">
        <f>IF(EmployeeData[[#This Row],[Age]]&lt;25,"Under 25",IF(EmployeeData[[#This Row],[Age]]&lt;35,"25-34",IF(EmployeeData[[#This Row],[Age]]&lt;45,"35-44",IF(EmployeeData[[#This Row],[Age]]&lt;55,"45-54","55+"))))</f>
        <v>25-34</v>
      </c>
      <c r="AK399" s="4" t="str">
        <f>IF(EmployeeData[[#This Row],[MonthlyIncome]]&lt;3000,"Below 3K",IF(EmployeeData[[#This Row],[MonthlyIncome]]&lt;6000,"3K-6K",IF(EmployeeData[[#This Row],[MonthlyIncome]]&lt;9000,"6K-9K",IF(EmployeeData[[#This Row],[MonthlyIncome]]&lt;12000,"9K-12K","12K+"))))</f>
        <v>3K-6K</v>
      </c>
    </row>
    <row r="400" spans="1:37" x14ac:dyDescent="0.3">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c r="AJ400" s="4" t="str">
        <f>IF(EmployeeData[[#This Row],[Age]]&lt;25,"Under 25",IF(EmployeeData[[#This Row],[Age]]&lt;35,"25-34",IF(EmployeeData[[#This Row],[Age]]&lt;45,"35-44",IF(EmployeeData[[#This Row],[Age]]&lt;55,"45-54","55+"))))</f>
        <v>35-44</v>
      </c>
      <c r="AK400" s="4" t="str">
        <f>IF(EmployeeData[[#This Row],[MonthlyIncome]]&lt;3000,"Below 3K",IF(EmployeeData[[#This Row],[MonthlyIncome]]&lt;6000,"3K-6K",IF(EmployeeData[[#This Row],[MonthlyIncome]]&lt;9000,"6K-9K",IF(EmployeeData[[#This Row],[MonthlyIncome]]&lt;12000,"9K-12K","12K+"))))</f>
        <v>3K-6K</v>
      </c>
    </row>
    <row r="401" spans="1:37" x14ac:dyDescent="0.3">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c r="AJ401" s="4" t="str">
        <f>IF(EmployeeData[[#This Row],[Age]]&lt;25,"Under 25",IF(EmployeeData[[#This Row],[Age]]&lt;35,"25-34",IF(EmployeeData[[#This Row],[Age]]&lt;45,"35-44",IF(EmployeeData[[#This Row],[Age]]&lt;55,"45-54","55+"))))</f>
        <v>25-34</v>
      </c>
      <c r="AK401" s="4" t="str">
        <f>IF(EmployeeData[[#This Row],[MonthlyIncome]]&lt;3000,"Below 3K",IF(EmployeeData[[#This Row],[MonthlyIncome]]&lt;6000,"3K-6K",IF(EmployeeData[[#This Row],[MonthlyIncome]]&lt;9000,"6K-9K",IF(EmployeeData[[#This Row],[MonthlyIncome]]&lt;12000,"9K-12K","12K+"))))</f>
        <v>Below 3K</v>
      </c>
    </row>
    <row r="402" spans="1:37" x14ac:dyDescent="0.3">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c r="AJ402" s="4" t="str">
        <f>IF(EmployeeData[[#This Row],[Age]]&lt;25,"Under 25",IF(EmployeeData[[#This Row],[Age]]&lt;35,"25-34",IF(EmployeeData[[#This Row],[Age]]&lt;45,"35-44",IF(EmployeeData[[#This Row],[Age]]&lt;55,"45-54","55+"))))</f>
        <v>35-44</v>
      </c>
      <c r="AK402" s="4" t="str">
        <f>IF(EmployeeData[[#This Row],[MonthlyIncome]]&lt;3000,"Below 3K",IF(EmployeeData[[#This Row],[MonthlyIncome]]&lt;6000,"3K-6K",IF(EmployeeData[[#This Row],[MonthlyIncome]]&lt;9000,"6K-9K",IF(EmployeeData[[#This Row],[MonthlyIncome]]&lt;12000,"9K-12K","12K+"))))</f>
        <v>12K+</v>
      </c>
    </row>
    <row r="403" spans="1:37" x14ac:dyDescent="0.3">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c r="AJ403" s="4" t="str">
        <f>IF(EmployeeData[[#This Row],[Age]]&lt;25,"Under 25",IF(EmployeeData[[#This Row],[Age]]&lt;35,"25-34",IF(EmployeeData[[#This Row],[Age]]&lt;45,"35-44",IF(EmployeeData[[#This Row],[Age]]&lt;55,"45-54","55+"))))</f>
        <v>55+</v>
      </c>
      <c r="AK403" s="4" t="str">
        <f>IF(EmployeeData[[#This Row],[MonthlyIncome]]&lt;3000,"Below 3K",IF(EmployeeData[[#This Row],[MonthlyIncome]]&lt;6000,"3K-6K",IF(EmployeeData[[#This Row],[MonthlyIncome]]&lt;9000,"6K-9K",IF(EmployeeData[[#This Row],[MonthlyIncome]]&lt;12000,"9K-12K","12K+"))))</f>
        <v>12K+</v>
      </c>
    </row>
    <row r="404" spans="1:37" x14ac:dyDescent="0.3">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c r="AJ404" s="4" t="str">
        <f>IF(EmployeeData[[#This Row],[Age]]&lt;25,"Under 25",IF(EmployeeData[[#This Row],[Age]]&lt;35,"25-34",IF(EmployeeData[[#This Row],[Age]]&lt;45,"35-44",IF(EmployeeData[[#This Row],[Age]]&lt;55,"45-54","55+"))))</f>
        <v>25-34</v>
      </c>
      <c r="AK404" s="4" t="str">
        <f>IF(EmployeeData[[#This Row],[MonthlyIncome]]&lt;3000,"Below 3K",IF(EmployeeData[[#This Row],[MonthlyIncome]]&lt;6000,"3K-6K",IF(EmployeeData[[#This Row],[MonthlyIncome]]&lt;9000,"6K-9K",IF(EmployeeData[[#This Row],[MonthlyIncome]]&lt;12000,"9K-12K","12K+"))))</f>
        <v>6K-9K</v>
      </c>
    </row>
    <row r="405" spans="1:37" x14ac:dyDescent="0.3">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c r="AJ405" s="4" t="str">
        <f>IF(EmployeeData[[#This Row],[Age]]&lt;25,"Under 25",IF(EmployeeData[[#This Row],[Age]]&lt;35,"25-34",IF(EmployeeData[[#This Row],[Age]]&lt;45,"35-44",IF(EmployeeData[[#This Row],[Age]]&lt;55,"45-54","55+"))))</f>
        <v>35-44</v>
      </c>
      <c r="AK405" s="4" t="str">
        <f>IF(EmployeeData[[#This Row],[MonthlyIncome]]&lt;3000,"Below 3K",IF(EmployeeData[[#This Row],[MonthlyIncome]]&lt;6000,"3K-6K",IF(EmployeeData[[#This Row],[MonthlyIncome]]&lt;9000,"6K-9K",IF(EmployeeData[[#This Row],[MonthlyIncome]]&lt;12000,"9K-12K","12K+"))))</f>
        <v>6K-9K</v>
      </c>
    </row>
    <row r="406" spans="1:37" x14ac:dyDescent="0.3">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c r="AJ406" s="4" t="str">
        <f>IF(EmployeeData[[#This Row],[Age]]&lt;25,"Under 25",IF(EmployeeData[[#This Row],[Age]]&lt;35,"25-34",IF(EmployeeData[[#This Row],[Age]]&lt;45,"35-44",IF(EmployeeData[[#This Row],[Age]]&lt;55,"45-54","55+"))))</f>
        <v>25-34</v>
      </c>
      <c r="AK406" s="4" t="str">
        <f>IF(EmployeeData[[#This Row],[MonthlyIncome]]&lt;3000,"Below 3K",IF(EmployeeData[[#This Row],[MonthlyIncome]]&lt;6000,"3K-6K",IF(EmployeeData[[#This Row],[MonthlyIncome]]&lt;9000,"6K-9K",IF(EmployeeData[[#This Row],[MonthlyIncome]]&lt;12000,"9K-12K","12K+"))))</f>
        <v>3K-6K</v>
      </c>
    </row>
    <row r="407" spans="1:37" x14ac:dyDescent="0.3">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c r="AJ407" s="4" t="str">
        <f>IF(EmployeeData[[#This Row],[Age]]&lt;25,"Under 25",IF(EmployeeData[[#This Row],[Age]]&lt;35,"25-34",IF(EmployeeData[[#This Row],[Age]]&lt;45,"35-44",IF(EmployeeData[[#This Row],[Age]]&lt;55,"45-54","55+"))))</f>
        <v>25-34</v>
      </c>
      <c r="AK407" s="4" t="str">
        <f>IF(EmployeeData[[#This Row],[MonthlyIncome]]&lt;3000,"Below 3K",IF(EmployeeData[[#This Row],[MonthlyIncome]]&lt;6000,"3K-6K",IF(EmployeeData[[#This Row],[MonthlyIncome]]&lt;9000,"6K-9K",IF(EmployeeData[[#This Row],[MonthlyIncome]]&lt;12000,"9K-12K","12K+"))))</f>
        <v>3K-6K</v>
      </c>
    </row>
    <row r="408" spans="1:37" x14ac:dyDescent="0.3">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c r="AJ408" s="4" t="str">
        <f>IF(EmployeeData[[#This Row],[Age]]&lt;25,"Under 25",IF(EmployeeData[[#This Row],[Age]]&lt;35,"25-34",IF(EmployeeData[[#This Row],[Age]]&lt;45,"35-44",IF(EmployeeData[[#This Row],[Age]]&lt;55,"45-54","55+"))))</f>
        <v>45-54</v>
      </c>
      <c r="AK408" s="4" t="str">
        <f>IF(EmployeeData[[#This Row],[MonthlyIncome]]&lt;3000,"Below 3K",IF(EmployeeData[[#This Row],[MonthlyIncome]]&lt;6000,"3K-6K",IF(EmployeeData[[#This Row],[MonthlyIncome]]&lt;9000,"6K-9K",IF(EmployeeData[[#This Row],[MonthlyIncome]]&lt;12000,"9K-12K","12K+"))))</f>
        <v>6K-9K</v>
      </c>
    </row>
    <row r="409" spans="1:37" x14ac:dyDescent="0.3">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c r="AJ409" s="4" t="str">
        <f>IF(EmployeeData[[#This Row],[Age]]&lt;25,"Under 25",IF(EmployeeData[[#This Row],[Age]]&lt;35,"25-34",IF(EmployeeData[[#This Row],[Age]]&lt;45,"35-44",IF(EmployeeData[[#This Row],[Age]]&lt;55,"45-54","55+"))))</f>
        <v>45-54</v>
      </c>
      <c r="AK409" s="4" t="str">
        <f>IF(EmployeeData[[#This Row],[MonthlyIncome]]&lt;3000,"Below 3K",IF(EmployeeData[[#This Row],[MonthlyIncome]]&lt;6000,"3K-6K",IF(EmployeeData[[#This Row],[MonthlyIncome]]&lt;9000,"6K-9K",IF(EmployeeData[[#This Row],[MonthlyIncome]]&lt;12000,"9K-12K","12K+"))))</f>
        <v>Below 3K</v>
      </c>
    </row>
    <row r="410" spans="1:37" x14ac:dyDescent="0.3">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c r="AJ410" s="4" t="str">
        <f>IF(EmployeeData[[#This Row],[Age]]&lt;25,"Under 25",IF(EmployeeData[[#This Row],[Age]]&lt;35,"25-34",IF(EmployeeData[[#This Row],[Age]]&lt;45,"35-44",IF(EmployeeData[[#This Row],[Age]]&lt;55,"45-54","55+"))))</f>
        <v>45-54</v>
      </c>
      <c r="AK410" s="4" t="str">
        <f>IF(EmployeeData[[#This Row],[MonthlyIncome]]&lt;3000,"Below 3K",IF(EmployeeData[[#This Row],[MonthlyIncome]]&lt;6000,"3K-6K",IF(EmployeeData[[#This Row],[MonthlyIncome]]&lt;9000,"6K-9K",IF(EmployeeData[[#This Row],[MonthlyIncome]]&lt;12000,"9K-12K","12K+"))))</f>
        <v>12K+</v>
      </c>
    </row>
    <row r="411" spans="1:37" x14ac:dyDescent="0.3">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c r="AJ411" s="4" t="str">
        <f>IF(EmployeeData[[#This Row],[Age]]&lt;25,"Under 25",IF(EmployeeData[[#This Row],[Age]]&lt;35,"25-34",IF(EmployeeData[[#This Row],[Age]]&lt;45,"35-44",IF(EmployeeData[[#This Row],[Age]]&lt;55,"45-54","55+"))))</f>
        <v>35-44</v>
      </c>
      <c r="AK411" s="4" t="str">
        <f>IF(EmployeeData[[#This Row],[MonthlyIncome]]&lt;3000,"Below 3K",IF(EmployeeData[[#This Row],[MonthlyIncome]]&lt;6000,"3K-6K",IF(EmployeeData[[#This Row],[MonthlyIncome]]&lt;9000,"6K-9K",IF(EmployeeData[[#This Row],[MonthlyIncome]]&lt;12000,"9K-12K","12K+"))))</f>
        <v>3K-6K</v>
      </c>
    </row>
    <row r="412" spans="1:37" x14ac:dyDescent="0.3">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c r="AJ412" s="4" t="str">
        <f>IF(EmployeeData[[#This Row],[Age]]&lt;25,"Under 25",IF(EmployeeData[[#This Row],[Age]]&lt;35,"25-34",IF(EmployeeData[[#This Row],[Age]]&lt;45,"35-44",IF(EmployeeData[[#This Row],[Age]]&lt;55,"45-54","55+"))))</f>
        <v>25-34</v>
      </c>
      <c r="AK412" s="4" t="str">
        <f>IF(EmployeeData[[#This Row],[MonthlyIncome]]&lt;3000,"Below 3K",IF(EmployeeData[[#This Row],[MonthlyIncome]]&lt;6000,"3K-6K",IF(EmployeeData[[#This Row],[MonthlyIncome]]&lt;9000,"6K-9K",IF(EmployeeData[[#This Row],[MonthlyIncome]]&lt;12000,"9K-12K","12K+"))))</f>
        <v>6K-9K</v>
      </c>
    </row>
    <row r="413" spans="1:37" x14ac:dyDescent="0.3">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c r="AJ413" s="4" t="str">
        <f>IF(EmployeeData[[#This Row],[Age]]&lt;25,"Under 25",IF(EmployeeData[[#This Row],[Age]]&lt;35,"25-34",IF(EmployeeData[[#This Row],[Age]]&lt;45,"35-44",IF(EmployeeData[[#This Row],[Age]]&lt;55,"45-54","55+"))))</f>
        <v>55+</v>
      </c>
      <c r="AK413" s="4" t="str">
        <f>IF(EmployeeData[[#This Row],[MonthlyIncome]]&lt;3000,"Below 3K",IF(EmployeeData[[#This Row],[MonthlyIncome]]&lt;6000,"3K-6K",IF(EmployeeData[[#This Row],[MonthlyIncome]]&lt;9000,"6K-9K",IF(EmployeeData[[#This Row],[MonthlyIncome]]&lt;12000,"9K-12K","12K+"))))</f>
        <v>12K+</v>
      </c>
    </row>
    <row r="414" spans="1:37" x14ac:dyDescent="0.3">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c r="AJ414" s="4" t="str">
        <f>IF(EmployeeData[[#This Row],[Age]]&lt;25,"Under 25",IF(EmployeeData[[#This Row],[Age]]&lt;35,"25-34",IF(EmployeeData[[#This Row],[Age]]&lt;45,"35-44",IF(EmployeeData[[#This Row],[Age]]&lt;55,"45-54","55+"))))</f>
        <v>45-54</v>
      </c>
      <c r="AK414" s="4" t="str">
        <f>IF(EmployeeData[[#This Row],[MonthlyIncome]]&lt;3000,"Below 3K",IF(EmployeeData[[#This Row],[MonthlyIncome]]&lt;6000,"3K-6K",IF(EmployeeData[[#This Row],[MonthlyIncome]]&lt;9000,"6K-9K",IF(EmployeeData[[#This Row],[MonthlyIncome]]&lt;12000,"9K-12K","12K+"))))</f>
        <v>3K-6K</v>
      </c>
    </row>
    <row r="415" spans="1:37" x14ac:dyDescent="0.3">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c r="AJ415" s="4" t="str">
        <f>IF(EmployeeData[[#This Row],[Age]]&lt;25,"Under 25",IF(EmployeeData[[#This Row],[Age]]&lt;35,"25-34",IF(EmployeeData[[#This Row],[Age]]&lt;45,"35-44",IF(EmployeeData[[#This Row],[Age]]&lt;55,"45-54","55+"))))</f>
        <v>35-44</v>
      </c>
      <c r="AK415" s="4" t="str">
        <f>IF(EmployeeData[[#This Row],[MonthlyIncome]]&lt;3000,"Below 3K",IF(EmployeeData[[#This Row],[MonthlyIncome]]&lt;6000,"3K-6K",IF(EmployeeData[[#This Row],[MonthlyIncome]]&lt;9000,"6K-9K",IF(EmployeeData[[#This Row],[MonthlyIncome]]&lt;12000,"9K-12K","12K+"))))</f>
        <v>3K-6K</v>
      </c>
    </row>
    <row r="416" spans="1:37" x14ac:dyDescent="0.3">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c r="AJ416" s="4" t="str">
        <f>IF(EmployeeData[[#This Row],[Age]]&lt;25,"Under 25",IF(EmployeeData[[#This Row],[Age]]&lt;35,"25-34",IF(EmployeeData[[#This Row],[Age]]&lt;45,"35-44",IF(EmployeeData[[#This Row],[Age]]&lt;55,"45-54","55+"))))</f>
        <v>Under 25</v>
      </c>
      <c r="AK416" s="4" t="str">
        <f>IF(EmployeeData[[#This Row],[MonthlyIncome]]&lt;3000,"Below 3K",IF(EmployeeData[[#This Row],[MonthlyIncome]]&lt;6000,"3K-6K",IF(EmployeeData[[#This Row],[MonthlyIncome]]&lt;9000,"6K-9K",IF(EmployeeData[[#This Row],[MonthlyIncome]]&lt;12000,"9K-12K","12K+"))))</f>
        <v>3K-6K</v>
      </c>
    </row>
    <row r="417" spans="1:37" x14ac:dyDescent="0.3">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c r="AJ417" s="4" t="str">
        <f>IF(EmployeeData[[#This Row],[Age]]&lt;25,"Under 25",IF(EmployeeData[[#This Row],[Age]]&lt;35,"25-34",IF(EmployeeData[[#This Row],[Age]]&lt;45,"35-44",IF(EmployeeData[[#This Row],[Age]]&lt;55,"45-54","55+"))))</f>
        <v>25-34</v>
      </c>
      <c r="AK417" s="4" t="str">
        <f>IF(EmployeeData[[#This Row],[MonthlyIncome]]&lt;3000,"Below 3K",IF(EmployeeData[[#This Row],[MonthlyIncome]]&lt;6000,"3K-6K",IF(EmployeeData[[#This Row],[MonthlyIncome]]&lt;9000,"6K-9K",IF(EmployeeData[[#This Row],[MonthlyIncome]]&lt;12000,"9K-12K","12K+"))))</f>
        <v>Below 3K</v>
      </c>
    </row>
    <row r="418" spans="1:37" x14ac:dyDescent="0.3">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c r="AJ418" s="4" t="str">
        <f>IF(EmployeeData[[#This Row],[Age]]&lt;25,"Under 25",IF(EmployeeData[[#This Row],[Age]]&lt;35,"25-34",IF(EmployeeData[[#This Row],[Age]]&lt;45,"35-44",IF(EmployeeData[[#This Row],[Age]]&lt;55,"45-54","55+"))))</f>
        <v>35-44</v>
      </c>
      <c r="AK418" s="4" t="str">
        <f>IF(EmployeeData[[#This Row],[MonthlyIncome]]&lt;3000,"Below 3K",IF(EmployeeData[[#This Row],[MonthlyIncome]]&lt;6000,"3K-6K",IF(EmployeeData[[#This Row],[MonthlyIncome]]&lt;9000,"6K-9K",IF(EmployeeData[[#This Row],[MonthlyIncome]]&lt;12000,"9K-12K","12K+"))))</f>
        <v>Below 3K</v>
      </c>
    </row>
    <row r="419" spans="1:37" x14ac:dyDescent="0.3">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c r="AJ419" s="4" t="str">
        <f>IF(EmployeeData[[#This Row],[Age]]&lt;25,"Under 25",IF(EmployeeData[[#This Row],[Age]]&lt;35,"25-34",IF(EmployeeData[[#This Row],[Age]]&lt;45,"35-44",IF(EmployeeData[[#This Row],[Age]]&lt;55,"45-54","55+"))))</f>
        <v>35-44</v>
      </c>
      <c r="AK419" s="4" t="str">
        <f>IF(EmployeeData[[#This Row],[MonthlyIncome]]&lt;3000,"Below 3K",IF(EmployeeData[[#This Row],[MonthlyIncome]]&lt;6000,"3K-6K",IF(EmployeeData[[#This Row],[MonthlyIncome]]&lt;9000,"6K-9K",IF(EmployeeData[[#This Row],[MonthlyIncome]]&lt;12000,"9K-12K","12K+"))))</f>
        <v>12K+</v>
      </c>
    </row>
    <row r="420" spans="1:37" x14ac:dyDescent="0.3">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c r="AJ420" s="4" t="str">
        <f>IF(EmployeeData[[#This Row],[Age]]&lt;25,"Under 25",IF(EmployeeData[[#This Row],[Age]]&lt;35,"25-34",IF(EmployeeData[[#This Row],[Age]]&lt;45,"35-44",IF(EmployeeData[[#This Row],[Age]]&lt;55,"45-54","55+"))))</f>
        <v>25-34</v>
      </c>
      <c r="AK420" s="4" t="str">
        <f>IF(EmployeeData[[#This Row],[MonthlyIncome]]&lt;3000,"Below 3K",IF(EmployeeData[[#This Row],[MonthlyIncome]]&lt;6000,"3K-6K",IF(EmployeeData[[#This Row],[MonthlyIncome]]&lt;9000,"6K-9K",IF(EmployeeData[[#This Row],[MonthlyIncome]]&lt;12000,"9K-12K","12K+"))))</f>
        <v>Below 3K</v>
      </c>
    </row>
    <row r="421" spans="1:37" x14ac:dyDescent="0.3">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c r="AJ421" s="4" t="str">
        <f>IF(EmployeeData[[#This Row],[Age]]&lt;25,"Under 25",IF(EmployeeData[[#This Row],[Age]]&lt;35,"25-34",IF(EmployeeData[[#This Row],[Age]]&lt;45,"35-44",IF(EmployeeData[[#This Row],[Age]]&lt;55,"45-54","55+"))))</f>
        <v>25-34</v>
      </c>
      <c r="AK421" s="4" t="str">
        <f>IF(EmployeeData[[#This Row],[MonthlyIncome]]&lt;3000,"Below 3K",IF(EmployeeData[[#This Row],[MonthlyIncome]]&lt;6000,"3K-6K",IF(EmployeeData[[#This Row],[MonthlyIncome]]&lt;9000,"6K-9K",IF(EmployeeData[[#This Row],[MonthlyIncome]]&lt;12000,"9K-12K","12K+"))))</f>
        <v>Below 3K</v>
      </c>
    </row>
    <row r="422" spans="1:37" x14ac:dyDescent="0.3">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c r="AJ422" s="4" t="str">
        <f>IF(EmployeeData[[#This Row],[Age]]&lt;25,"Under 25",IF(EmployeeData[[#This Row],[Age]]&lt;35,"25-34",IF(EmployeeData[[#This Row],[Age]]&lt;45,"35-44",IF(EmployeeData[[#This Row],[Age]]&lt;55,"45-54","55+"))))</f>
        <v>25-34</v>
      </c>
      <c r="AK422" s="4" t="str">
        <f>IF(EmployeeData[[#This Row],[MonthlyIncome]]&lt;3000,"Below 3K",IF(EmployeeData[[#This Row],[MonthlyIncome]]&lt;6000,"3K-6K",IF(EmployeeData[[#This Row],[MonthlyIncome]]&lt;9000,"6K-9K",IF(EmployeeData[[#This Row],[MonthlyIncome]]&lt;12000,"9K-12K","12K+"))))</f>
        <v>9K-12K</v>
      </c>
    </row>
    <row r="423" spans="1:37" x14ac:dyDescent="0.3">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c r="AJ423" s="4" t="str">
        <f>IF(EmployeeData[[#This Row],[Age]]&lt;25,"Under 25",IF(EmployeeData[[#This Row],[Age]]&lt;35,"25-34",IF(EmployeeData[[#This Row],[Age]]&lt;45,"35-44",IF(EmployeeData[[#This Row],[Age]]&lt;55,"45-54","55+"))))</f>
        <v>25-34</v>
      </c>
      <c r="AK423" s="4" t="str">
        <f>IF(EmployeeData[[#This Row],[MonthlyIncome]]&lt;3000,"Below 3K",IF(EmployeeData[[#This Row],[MonthlyIncome]]&lt;6000,"3K-6K",IF(EmployeeData[[#This Row],[MonthlyIncome]]&lt;9000,"6K-9K",IF(EmployeeData[[#This Row],[MonthlyIncome]]&lt;12000,"9K-12K","12K+"))))</f>
        <v>Below 3K</v>
      </c>
    </row>
    <row r="424" spans="1:37" x14ac:dyDescent="0.3">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c r="AJ424" s="4" t="str">
        <f>IF(EmployeeData[[#This Row],[Age]]&lt;25,"Under 25",IF(EmployeeData[[#This Row],[Age]]&lt;35,"25-34",IF(EmployeeData[[#This Row],[Age]]&lt;45,"35-44",IF(EmployeeData[[#This Row],[Age]]&lt;55,"45-54","55+"))))</f>
        <v>Under 25</v>
      </c>
      <c r="AK424" s="4" t="str">
        <f>IF(EmployeeData[[#This Row],[MonthlyIncome]]&lt;3000,"Below 3K",IF(EmployeeData[[#This Row],[MonthlyIncome]]&lt;6000,"3K-6K",IF(EmployeeData[[#This Row],[MonthlyIncome]]&lt;9000,"6K-9K",IF(EmployeeData[[#This Row],[MonthlyIncome]]&lt;12000,"9K-12K","12K+"))))</f>
        <v>Below 3K</v>
      </c>
    </row>
    <row r="425" spans="1:37" x14ac:dyDescent="0.3">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c r="AJ425" s="4" t="str">
        <f>IF(EmployeeData[[#This Row],[Age]]&lt;25,"Under 25",IF(EmployeeData[[#This Row],[Age]]&lt;35,"25-34",IF(EmployeeData[[#This Row],[Age]]&lt;45,"35-44",IF(EmployeeData[[#This Row],[Age]]&lt;55,"45-54","55+"))))</f>
        <v>25-34</v>
      </c>
      <c r="AK425" s="4" t="str">
        <f>IF(EmployeeData[[#This Row],[MonthlyIncome]]&lt;3000,"Below 3K",IF(EmployeeData[[#This Row],[MonthlyIncome]]&lt;6000,"3K-6K",IF(EmployeeData[[#This Row],[MonthlyIncome]]&lt;9000,"6K-9K",IF(EmployeeData[[#This Row],[MonthlyIncome]]&lt;12000,"9K-12K","12K+"))))</f>
        <v>6K-9K</v>
      </c>
    </row>
    <row r="426" spans="1:37" x14ac:dyDescent="0.3">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c r="AJ426" s="4" t="str">
        <f>IF(EmployeeData[[#This Row],[Age]]&lt;25,"Under 25",IF(EmployeeData[[#This Row],[Age]]&lt;35,"25-34",IF(EmployeeData[[#This Row],[Age]]&lt;45,"35-44",IF(EmployeeData[[#This Row],[Age]]&lt;55,"45-54","55+"))))</f>
        <v>55+</v>
      </c>
      <c r="AK426" s="4" t="str">
        <f>IF(EmployeeData[[#This Row],[MonthlyIncome]]&lt;3000,"Below 3K",IF(EmployeeData[[#This Row],[MonthlyIncome]]&lt;6000,"3K-6K",IF(EmployeeData[[#This Row],[MonthlyIncome]]&lt;9000,"6K-9K",IF(EmployeeData[[#This Row],[MonthlyIncome]]&lt;12000,"9K-12K","12K+"))))</f>
        <v>12K+</v>
      </c>
    </row>
    <row r="427" spans="1:37" x14ac:dyDescent="0.3">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c r="AJ427" s="4" t="str">
        <f>IF(EmployeeData[[#This Row],[Age]]&lt;25,"Under 25",IF(EmployeeData[[#This Row],[Age]]&lt;35,"25-34",IF(EmployeeData[[#This Row],[Age]]&lt;45,"35-44",IF(EmployeeData[[#This Row],[Age]]&lt;55,"45-54","55+"))))</f>
        <v>45-54</v>
      </c>
      <c r="AK427" s="4" t="str">
        <f>IF(EmployeeData[[#This Row],[MonthlyIncome]]&lt;3000,"Below 3K",IF(EmployeeData[[#This Row],[MonthlyIncome]]&lt;6000,"3K-6K",IF(EmployeeData[[#This Row],[MonthlyIncome]]&lt;9000,"6K-9K",IF(EmployeeData[[#This Row],[MonthlyIncome]]&lt;12000,"9K-12K","12K+"))))</f>
        <v>12K+</v>
      </c>
    </row>
    <row r="428" spans="1:37" x14ac:dyDescent="0.3">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c r="AJ428" s="4" t="str">
        <f>IF(EmployeeData[[#This Row],[Age]]&lt;25,"Under 25",IF(EmployeeData[[#This Row],[Age]]&lt;35,"25-34",IF(EmployeeData[[#This Row],[Age]]&lt;45,"35-44",IF(EmployeeData[[#This Row],[Age]]&lt;55,"45-54","55+"))))</f>
        <v>25-34</v>
      </c>
      <c r="AK428" s="4" t="str">
        <f>IF(EmployeeData[[#This Row],[MonthlyIncome]]&lt;3000,"Below 3K",IF(EmployeeData[[#This Row],[MonthlyIncome]]&lt;6000,"3K-6K",IF(EmployeeData[[#This Row],[MonthlyIncome]]&lt;9000,"6K-9K",IF(EmployeeData[[#This Row],[MonthlyIncome]]&lt;12000,"9K-12K","12K+"))))</f>
        <v>Below 3K</v>
      </c>
    </row>
    <row r="429" spans="1:37" x14ac:dyDescent="0.3">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c r="AJ429" s="4" t="str">
        <f>IF(EmployeeData[[#This Row],[Age]]&lt;25,"Under 25",IF(EmployeeData[[#This Row],[Age]]&lt;35,"25-34",IF(EmployeeData[[#This Row],[Age]]&lt;45,"35-44",IF(EmployeeData[[#This Row],[Age]]&lt;55,"45-54","55+"))))</f>
        <v>55+</v>
      </c>
      <c r="AK429" s="4" t="str">
        <f>IF(EmployeeData[[#This Row],[MonthlyIncome]]&lt;3000,"Below 3K",IF(EmployeeData[[#This Row],[MonthlyIncome]]&lt;6000,"3K-6K",IF(EmployeeData[[#This Row],[MonthlyIncome]]&lt;9000,"6K-9K",IF(EmployeeData[[#This Row],[MonthlyIncome]]&lt;12000,"9K-12K","12K+"))))</f>
        <v>9K-12K</v>
      </c>
    </row>
    <row r="430" spans="1:37" x14ac:dyDescent="0.3">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c r="AJ430" s="4" t="str">
        <f>IF(EmployeeData[[#This Row],[Age]]&lt;25,"Under 25",IF(EmployeeData[[#This Row],[Age]]&lt;35,"25-34",IF(EmployeeData[[#This Row],[Age]]&lt;45,"35-44",IF(EmployeeData[[#This Row],[Age]]&lt;55,"45-54","55+"))))</f>
        <v>45-54</v>
      </c>
      <c r="AK430" s="4" t="str">
        <f>IF(EmployeeData[[#This Row],[MonthlyIncome]]&lt;3000,"Below 3K",IF(EmployeeData[[#This Row],[MonthlyIncome]]&lt;6000,"3K-6K",IF(EmployeeData[[#This Row],[MonthlyIncome]]&lt;9000,"6K-9K",IF(EmployeeData[[#This Row],[MonthlyIncome]]&lt;12000,"9K-12K","12K+"))))</f>
        <v>3K-6K</v>
      </c>
    </row>
    <row r="431" spans="1:37" x14ac:dyDescent="0.3">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c r="AJ431" s="4" t="str">
        <f>IF(EmployeeData[[#This Row],[Age]]&lt;25,"Under 25",IF(EmployeeData[[#This Row],[Age]]&lt;35,"25-34",IF(EmployeeData[[#This Row],[Age]]&lt;45,"35-44",IF(EmployeeData[[#This Row],[Age]]&lt;55,"45-54","55+"))))</f>
        <v>45-54</v>
      </c>
      <c r="AK431" s="4" t="str">
        <f>IF(EmployeeData[[#This Row],[MonthlyIncome]]&lt;3000,"Below 3K",IF(EmployeeData[[#This Row],[MonthlyIncome]]&lt;6000,"3K-6K",IF(EmployeeData[[#This Row],[MonthlyIncome]]&lt;9000,"6K-9K",IF(EmployeeData[[#This Row],[MonthlyIncome]]&lt;12000,"9K-12K","12K+"))))</f>
        <v>12K+</v>
      </c>
    </row>
    <row r="432" spans="1:37" x14ac:dyDescent="0.3">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c r="AJ432" s="4" t="str">
        <f>IF(EmployeeData[[#This Row],[Age]]&lt;25,"Under 25",IF(EmployeeData[[#This Row],[Age]]&lt;35,"25-34",IF(EmployeeData[[#This Row],[Age]]&lt;45,"35-44",IF(EmployeeData[[#This Row],[Age]]&lt;55,"45-54","55+"))))</f>
        <v>35-44</v>
      </c>
      <c r="AK432" s="4" t="str">
        <f>IF(EmployeeData[[#This Row],[MonthlyIncome]]&lt;3000,"Below 3K",IF(EmployeeData[[#This Row],[MonthlyIncome]]&lt;6000,"3K-6K",IF(EmployeeData[[#This Row],[MonthlyIncome]]&lt;9000,"6K-9K",IF(EmployeeData[[#This Row],[MonthlyIncome]]&lt;12000,"9K-12K","12K+"))))</f>
        <v>3K-6K</v>
      </c>
    </row>
    <row r="433" spans="1:37" x14ac:dyDescent="0.3">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c r="AJ433" s="4" t="str">
        <f>IF(EmployeeData[[#This Row],[Age]]&lt;25,"Under 25",IF(EmployeeData[[#This Row],[Age]]&lt;35,"25-34",IF(EmployeeData[[#This Row],[Age]]&lt;45,"35-44",IF(EmployeeData[[#This Row],[Age]]&lt;55,"45-54","55+"))))</f>
        <v>45-54</v>
      </c>
      <c r="AK433" s="4" t="str">
        <f>IF(EmployeeData[[#This Row],[MonthlyIncome]]&lt;3000,"Below 3K",IF(EmployeeData[[#This Row],[MonthlyIncome]]&lt;6000,"3K-6K",IF(EmployeeData[[#This Row],[MonthlyIncome]]&lt;9000,"6K-9K",IF(EmployeeData[[#This Row],[MonthlyIncome]]&lt;12000,"9K-12K","12K+"))))</f>
        <v>3K-6K</v>
      </c>
    </row>
    <row r="434" spans="1:37" x14ac:dyDescent="0.3">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c r="AJ434" s="4" t="str">
        <f>IF(EmployeeData[[#This Row],[Age]]&lt;25,"Under 25",IF(EmployeeData[[#This Row],[Age]]&lt;35,"25-34",IF(EmployeeData[[#This Row],[Age]]&lt;45,"35-44",IF(EmployeeData[[#This Row],[Age]]&lt;55,"45-54","55+"))))</f>
        <v>25-34</v>
      </c>
      <c r="AK434" s="4" t="str">
        <f>IF(EmployeeData[[#This Row],[MonthlyIncome]]&lt;3000,"Below 3K",IF(EmployeeData[[#This Row],[MonthlyIncome]]&lt;6000,"3K-6K",IF(EmployeeData[[#This Row],[MonthlyIncome]]&lt;9000,"6K-9K",IF(EmployeeData[[#This Row],[MonthlyIncome]]&lt;12000,"9K-12K","12K+"))))</f>
        <v>Below 3K</v>
      </c>
    </row>
    <row r="435" spans="1:37" x14ac:dyDescent="0.3">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c r="AJ435" s="4" t="str">
        <f>IF(EmployeeData[[#This Row],[Age]]&lt;25,"Under 25",IF(EmployeeData[[#This Row],[Age]]&lt;35,"25-34",IF(EmployeeData[[#This Row],[Age]]&lt;45,"35-44",IF(EmployeeData[[#This Row],[Age]]&lt;55,"45-54","55+"))))</f>
        <v>45-54</v>
      </c>
      <c r="AK435" s="4" t="str">
        <f>IF(EmployeeData[[#This Row],[MonthlyIncome]]&lt;3000,"Below 3K",IF(EmployeeData[[#This Row],[MonthlyIncome]]&lt;6000,"3K-6K",IF(EmployeeData[[#This Row],[MonthlyIncome]]&lt;9000,"6K-9K",IF(EmployeeData[[#This Row],[MonthlyIncome]]&lt;12000,"9K-12K","12K+"))))</f>
        <v>9K-12K</v>
      </c>
    </row>
    <row r="436" spans="1:37" x14ac:dyDescent="0.3">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c r="AJ436" s="4" t="str">
        <f>IF(EmployeeData[[#This Row],[Age]]&lt;25,"Under 25",IF(EmployeeData[[#This Row],[Age]]&lt;35,"25-34",IF(EmployeeData[[#This Row],[Age]]&lt;45,"35-44",IF(EmployeeData[[#This Row],[Age]]&lt;55,"45-54","55+"))))</f>
        <v>25-34</v>
      </c>
      <c r="AK436" s="4" t="str">
        <f>IF(EmployeeData[[#This Row],[MonthlyIncome]]&lt;3000,"Below 3K",IF(EmployeeData[[#This Row],[MonthlyIncome]]&lt;6000,"3K-6K",IF(EmployeeData[[#This Row],[MonthlyIncome]]&lt;9000,"6K-9K",IF(EmployeeData[[#This Row],[MonthlyIncome]]&lt;12000,"9K-12K","12K+"))))</f>
        <v>9K-12K</v>
      </c>
    </row>
    <row r="437" spans="1:37" x14ac:dyDescent="0.3">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c r="AJ437" s="4" t="str">
        <f>IF(EmployeeData[[#This Row],[Age]]&lt;25,"Under 25",IF(EmployeeData[[#This Row],[Age]]&lt;35,"25-34",IF(EmployeeData[[#This Row],[Age]]&lt;45,"35-44",IF(EmployeeData[[#This Row],[Age]]&lt;55,"45-54","55+"))))</f>
        <v>25-34</v>
      </c>
      <c r="AK437" s="4" t="str">
        <f>IF(EmployeeData[[#This Row],[MonthlyIncome]]&lt;3000,"Below 3K",IF(EmployeeData[[#This Row],[MonthlyIncome]]&lt;6000,"3K-6K",IF(EmployeeData[[#This Row],[MonthlyIncome]]&lt;9000,"6K-9K",IF(EmployeeData[[#This Row],[MonthlyIncome]]&lt;12000,"9K-12K","12K+"))))</f>
        <v>12K+</v>
      </c>
    </row>
    <row r="438" spans="1:37" x14ac:dyDescent="0.3">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c r="AJ438" s="4" t="str">
        <f>IF(EmployeeData[[#This Row],[Age]]&lt;25,"Under 25",IF(EmployeeData[[#This Row],[Age]]&lt;35,"25-34",IF(EmployeeData[[#This Row],[Age]]&lt;45,"35-44",IF(EmployeeData[[#This Row],[Age]]&lt;55,"45-54","55+"))))</f>
        <v>25-34</v>
      </c>
      <c r="AK438" s="4" t="str">
        <f>IF(EmployeeData[[#This Row],[MonthlyIncome]]&lt;3000,"Below 3K",IF(EmployeeData[[#This Row],[MonthlyIncome]]&lt;6000,"3K-6K",IF(EmployeeData[[#This Row],[MonthlyIncome]]&lt;9000,"6K-9K",IF(EmployeeData[[#This Row],[MonthlyIncome]]&lt;12000,"9K-12K","12K+"))))</f>
        <v>3K-6K</v>
      </c>
    </row>
    <row r="439" spans="1:37" x14ac:dyDescent="0.3">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c r="AJ439" s="4" t="str">
        <f>IF(EmployeeData[[#This Row],[Age]]&lt;25,"Under 25",IF(EmployeeData[[#This Row],[Age]]&lt;35,"25-34",IF(EmployeeData[[#This Row],[Age]]&lt;45,"35-44",IF(EmployeeData[[#This Row],[Age]]&lt;55,"45-54","55+"))))</f>
        <v>25-34</v>
      </c>
      <c r="AK439" s="4" t="str">
        <f>IF(EmployeeData[[#This Row],[MonthlyIncome]]&lt;3000,"Below 3K",IF(EmployeeData[[#This Row],[MonthlyIncome]]&lt;6000,"3K-6K",IF(EmployeeData[[#This Row],[MonthlyIncome]]&lt;9000,"6K-9K",IF(EmployeeData[[#This Row],[MonthlyIncome]]&lt;12000,"9K-12K","12K+"))))</f>
        <v>Below 3K</v>
      </c>
    </row>
    <row r="440" spans="1:37" x14ac:dyDescent="0.3">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c r="AJ440" s="4" t="str">
        <f>IF(EmployeeData[[#This Row],[Age]]&lt;25,"Under 25",IF(EmployeeData[[#This Row],[Age]]&lt;35,"25-34",IF(EmployeeData[[#This Row],[Age]]&lt;45,"35-44",IF(EmployeeData[[#This Row],[Age]]&lt;55,"45-54","55+"))))</f>
        <v>35-44</v>
      </c>
      <c r="AK440" s="4" t="str">
        <f>IF(EmployeeData[[#This Row],[MonthlyIncome]]&lt;3000,"Below 3K",IF(EmployeeData[[#This Row],[MonthlyIncome]]&lt;6000,"3K-6K",IF(EmployeeData[[#This Row],[MonthlyIncome]]&lt;9000,"6K-9K",IF(EmployeeData[[#This Row],[MonthlyIncome]]&lt;12000,"9K-12K","12K+"))))</f>
        <v>6K-9K</v>
      </c>
    </row>
    <row r="441" spans="1:37" x14ac:dyDescent="0.3">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c r="AJ441" s="4" t="str">
        <f>IF(EmployeeData[[#This Row],[Age]]&lt;25,"Under 25",IF(EmployeeData[[#This Row],[Age]]&lt;35,"25-34",IF(EmployeeData[[#This Row],[Age]]&lt;45,"35-44",IF(EmployeeData[[#This Row],[Age]]&lt;55,"45-54","55+"))))</f>
        <v>25-34</v>
      </c>
      <c r="AK441" s="4" t="str">
        <f>IF(EmployeeData[[#This Row],[MonthlyIncome]]&lt;3000,"Below 3K",IF(EmployeeData[[#This Row],[MonthlyIncome]]&lt;6000,"3K-6K",IF(EmployeeData[[#This Row],[MonthlyIncome]]&lt;9000,"6K-9K",IF(EmployeeData[[#This Row],[MonthlyIncome]]&lt;12000,"9K-12K","12K+"))))</f>
        <v>9K-12K</v>
      </c>
    </row>
    <row r="442" spans="1:37" x14ac:dyDescent="0.3">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c r="AJ442" s="4" t="str">
        <f>IF(EmployeeData[[#This Row],[Age]]&lt;25,"Under 25",IF(EmployeeData[[#This Row],[Age]]&lt;35,"25-34",IF(EmployeeData[[#This Row],[Age]]&lt;45,"35-44",IF(EmployeeData[[#This Row],[Age]]&lt;55,"45-54","55+"))))</f>
        <v>25-34</v>
      </c>
      <c r="AK442" s="4" t="str">
        <f>IF(EmployeeData[[#This Row],[MonthlyIncome]]&lt;3000,"Below 3K",IF(EmployeeData[[#This Row],[MonthlyIncome]]&lt;6000,"3K-6K",IF(EmployeeData[[#This Row],[MonthlyIncome]]&lt;9000,"6K-9K",IF(EmployeeData[[#This Row],[MonthlyIncome]]&lt;12000,"9K-12K","12K+"))))</f>
        <v>9K-12K</v>
      </c>
    </row>
    <row r="443" spans="1:37" x14ac:dyDescent="0.3">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c r="AJ443" s="4" t="str">
        <f>IF(EmployeeData[[#This Row],[Age]]&lt;25,"Under 25",IF(EmployeeData[[#This Row],[Age]]&lt;35,"25-34",IF(EmployeeData[[#This Row],[Age]]&lt;45,"35-44",IF(EmployeeData[[#This Row],[Age]]&lt;55,"45-54","55+"))))</f>
        <v>35-44</v>
      </c>
      <c r="AK443" s="4" t="str">
        <f>IF(EmployeeData[[#This Row],[MonthlyIncome]]&lt;3000,"Below 3K",IF(EmployeeData[[#This Row],[MonthlyIncome]]&lt;6000,"3K-6K",IF(EmployeeData[[#This Row],[MonthlyIncome]]&lt;9000,"6K-9K",IF(EmployeeData[[#This Row],[MonthlyIncome]]&lt;12000,"9K-12K","12K+"))))</f>
        <v>Below 3K</v>
      </c>
    </row>
    <row r="444" spans="1:37" x14ac:dyDescent="0.3">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c r="AJ444" s="4" t="str">
        <f>IF(EmployeeData[[#This Row],[Age]]&lt;25,"Under 25",IF(EmployeeData[[#This Row],[Age]]&lt;35,"25-34",IF(EmployeeData[[#This Row],[Age]]&lt;45,"35-44",IF(EmployeeData[[#This Row],[Age]]&lt;55,"45-54","55+"))))</f>
        <v>35-44</v>
      </c>
      <c r="AK444" s="4" t="str">
        <f>IF(EmployeeData[[#This Row],[MonthlyIncome]]&lt;3000,"Below 3K",IF(EmployeeData[[#This Row],[MonthlyIncome]]&lt;6000,"3K-6K",IF(EmployeeData[[#This Row],[MonthlyIncome]]&lt;9000,"6K-9K",IF(EmployeeData[[#This Row],[MonthlyIncome]]&lt;12000,"9K-12K","12K+"))))</f>
        <v>9K-12K</v>
      </c>
    </row>
    <row r="445" spans="1:37" x14ac:dyDescent="0.3">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c r="AJ445" s="4" t="str">
        <f>IF(EmployeeData[[#This Row],[Age]]&lt;25,"Under 25",IF(EmployeeData[[#This Row],[Age]]&lt;35,"25-34",IF(EmployeeData[[#This Row],[Age]]&lt;45,"35-44",IF(EmployeeData[[#This Row],[Age]]&lt;55,"45-54","55+"))))</f>
        <v>Under 25</v>
      </c>
      <c r="AK445" s="4" t="str">
        <f>IF(EmployeeData[[#This Row],[MonthlyIncome]]&lt;3000,"Below 3K",IF(EmployeeData[[#This Row],[MonthlyIncome]]&lt;6000,"3K-6K",IF(EmployeeData[[#This Row],[MonthlyIncome]]&lt;9000,"6K-9K",IF(EmployeeData[[#This Row],[MonthlyIncome]]&lt;12000,"9K-12K","12K+"))))</f>
        <v>3K-6K</v>
      </c>
    </row>
    <row r="446" spans="1:37" x14ac:dyDescent="0.3">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c r="AJ446" s="4" t="str">
        <f>IF(EmployeeData[[#This Row],[Age]]&lt;25,"Under 25",IF(EmployeeData[[#This Row],[Age]]&lt;35,"25-34",IF(EmployeeData[[#This Row],[Age]]&lt;45,"35-44",IF(EmployeeData[[#This Row],[Age]]&lt;55,"45-54","55+"))))</f>
        <v>45-54</v>
      </c>
      <c r="AK446" s="4" t="str">
        <f>IF(EmployeeData[[#This Row],[MonthlyIncome]]&lt;3000,"Below 3K",IF(EmployeeData[[#This Row],[MonthlyIncome]]&lt;6000,"3K-6K",IF(EmployeeData[[#This Row],[MonthlyIncome]]&lt;9000,"6K-9K",IF(EmployeeData[[#This Row],[MonthlyIncome]]&lt;12000,"9K-12K","12K+"))))</f>
        <v>3K-6K</v>
      </c>
    </row>
    <row r="447" spans="1:37" x14ac:dyDescent="0.3">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c r="AJ447" s="4" t="str">
        <f>IF(EmployeeData[[#This Row],[Age]]&lt;25,"Under 25",IF(EmployeeData[[#This Row],[Age]]&lt;35,"25-34",IF(EmployeeData[[#This Row],[Age]]&lt;45,"35-44",IF(EmployeeData[[#This Row],[Age]]&lt;55,"45-54","55+"))))</f>
        <v>55+</v>
      </c>
      <c r="AK447" s="4" t="str">
        <f>IF(EmployeeData[[#This Row],[MonthlyIncome]]&lt;3000,"Below 3K",IF(EmployeeData[[#This Row],[MonthlyIncome]]&lt;6000,"3K-6K",IF(EmployeeData[[#This Row],[MonthlyIncome]]&lt;9000,"6K-9K",IF(EmployeeData[[#This Row],[MonthlyIncome]]&lt;12000,"9K-12K","12K+"))))</f>
        <v>12K+</v>
      </c>
    </row>
    <row r="448" spans="1:37" x14ac:dyDescent="0.3">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c r="AJ448" s="4" t="str">
        <f>IF(EmployeeData[[#This Row],[Age]]&lt;25,"Under 25",IF(EmployeeData[[#This Row],[Age]]&lt;35,"25-34",IF(EmployeeData[[#This Row],[Age]]&lt;45,"35-44",IF(EmployeeData[[#This Row],[Age]]&lt;55,"45-54","55+"))))</f>
        <v>35-44</v>
      </c>
      <c r="AK448" s="4" t="str">
        <f>IF(EmployeeData[[#This Row],[MonthlyIncome]]&lt;3000,"Below 3K",IF(EmployeeData[[#This Row],[MonthlyIncome]]&lt;6000,"3K-6K",IF(EmployeeData[[#This Row],[MonthlyIncome]]&lt;9000,"6K-9K",IF(EmployeeData[[#This Row],[MonthlyIncome]]&lt;12000,"9K-12K","12K+"))))</f>
        <v>6K-9K</v>
      </c>
    </row>
    <row r="449" spans="1:37" x14ac:dyDescent="0.3">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c r="AJ449" s="4" t="str">
        <f>IF(EmployeeData[[#This Row],[Age]]&lt;25,"Under 25",IF(EmployeeData[[#This Row],[Age]]&lt;35,"25-34",IF(EmployeeData[[#This Row],[Age]]&lt;45,"35-44",IF(EmployeeData[[#This Row],[Age]]&lt;55,"45-54","55+"))))</f>
        <v>35-44</v>
      </c>
      <c r="AK449" s="4" t="str">
        <f>IF(EmployeeData[[#This Row],[MonthlyIncome]]&lt;3000,"Below 3K",IF(EmployeeData[[#This Row],[MonthlyIncome]]&lt;6000,"3K-6K",IF(EmployeeData[[#This Row],[MonthlyIncome]]&lt;9000,"6K-9K",IF(EmployeeData[[#This Row],[MonthlyIncome]]&lt;12000,"9K-12K","12K+"))))</f>
        <v>3K-6K</v>
      </c>
    </row>
    <row r="450" spans="1:37" x14ac:dyDescent="0.3">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c r="AJ450" s="4" t="str">
        <f>IF(EmployeeData[[#This Row],[Age]]&lt;25,"Under 25",IF(EmployeeData[[#This Row],[Age]]&lt;35,"25-34",IF(EmployeeData[[#This Row],[Age]]&lt;45,"35-44",IF(EmployeeData[[#This Row],[Age]]&lt;55,"45-54","55+"))))</f>
        <v>35-44</v>
      </c>
      <c r="AK450" s="4" t="str">
        <f>IF(EmployeeData[[#This Row],[MonthlyIncome]]&lt;3000,"Below 3K",IF(EmployeeData[[#This Row],[MonthlyIncome]]&lt;6000,"3K-6K",IF(EmployeeData[[#This Row],[MonthlyIncome]]&lt;9000,"6K-9K",IF(EmployeeData[[#This Row],[MonthlyIncome]]&lt;12000,"9K-12K","12K+"))))</f>
        <v>12K+</v>
      </c>
    </row>
    <row r="451" spans="1:37" x14ac:dyDescent="0.3">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c r="AJ451" s="4" t="str">
        <f>IF(EmployeeData[[#This Row],[Age]]&lt;25,"Under 25",IF(EmployeeData[[#This Row],[Age]]&lt;35,"25-34",IF(EmployeeData[[#This Row],[Age]]&lt;45,"35-44",IF(EmployeeData[[#This Row],[Age]]&lt;55,"45-54","55+"))))</f>
        <v>35-44</v>
      </c>
      <c r="AK451" s="4" t="str">
        <f>IF(EmployeeData[[#This Row],[MonthlyIncome]]&lt;3000,"Below 3K",IF(EmployeeData[[#This Row],[MonthlyIncome]]&lt;6000,"3K-6K",IF(EmployeeData[[#This Row],[MonthlyIncome]]&lt;9000,"6K-9K",IF(EmployeeData[[#This Row],[MonthlyIncome]]&lt;12000,"9K-12K","12K+"))))</f>
        <v>3K-6K</v>
      </c>
    </row>
    <row r="452" spans="1:37" x14ac:dyDescent="0.3">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c r="AJ452" s="4" t="str">
        <f>IF(EmployeeData[[#This Row],[Age]]&lt;25,"Under 25",IF(EmployeeData[[#This Row],[Age]]&lt;35,"25-34",IF(EmployeeData[[#This Row],[Age]]&lt;45,"35-44",IF(EmployeeData[[#This Row],[Age]]&lt;55,"45-54","55+"))))</f>
        <v>25-34</v>
      </c>
      <c r="AK452" s="4" t="str">
        <f>IF(EmployeeData[[#This Row],[MonthlyIncome]]&lt;3000,"Below 3K",IF(EmployeeData[[#This Row],[MonthlyIncome]]&lt;6000,"3K-6K",IF(EmployeeData[[#This Row],[MonthlyIncome]]&lt;9000,"6K-9K",IF(EmployeeData[[#This Row],[MonthlyIncome]]&lt;12000,"9K-12K","12K+"))))</f>
        <v>6K-9K</v>
      </c>
    </row>
    <row r="453" spans="1:37" x14ac:dyDescent="0.3">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c r="AJ453" s="4" t="str">
        <f>IF(EmployeeData[[#This Row],[Age]]&lt;25,"Under 25",IF(EmployeeData[[#This Row],[Age]]&lt;35,"25-34",IF(EmployeeData[[#This Row],[Age]]&lt;45,"35-44",IF(EmployeeData[[#This Row],[Age]]&lt;55,"45-54","55+"))))</f>
        <v>35-44</v>
      </c>
      <c r="AK453" s="4" t="str">
        <f>IF(EmployeeData[[#This Row],[MonthlyIncome]]&lt;3000,"Below 3K",IF(EmployeeData[[#This Row],[MonthlyIncome]]&lt;6000,"3K-6K",IF(EmployeeData[[#This Row],[MonthlyIncome]]&lt;9000,"6K-9K",IF(EmployeeData[[#This Row],[MonthlyIncome]]&lt;12000,"9K-12K","12K+"))))</f>
        <v>6K-9K</v>
      </c>
    </row>
    <row r="454" spans="1:37" x14ac:dyDescent="0.3">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c r="AJ454" s="4" t="str">
        <f>IF(EmployeeData[[#This Row],[Age]]&lt;25,"Under 25",IF(EmployeeData[[#This Row],[Age]]&lt;35,"25-34",IF(EmployeeData[[#This Row],[Age]]&lt;45,"35-44",IF(EmployeeData[[#This Row],[Age]]&lt;55,"45-54","55+"))))</f>
        <v>45-54</v>
      </c>
      <c r="AK454" s="4" t="str">
        <f>IF(EmployeeData[[#This Row],[MonthlyIncome]]&lt;3000,"Below 3K",IF(EmployeeData[[#This Row],[MonthlyIncome]]&lt;6000,"3K-6K",IF(EmployeeData[[#This Row],[MonthlyIncome]]&lt;9000,"6K-9K",IF(EmployeeData[[#This Row],[MonthlyIncome]]&lt;12000,"9K-12K","12K+"))))</f>
        <v>3K-6K</v>
      </c>
    </row>
    <row r="455" spans="1:37" x14ac:dyDescent="0.3">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c r="AJ455" s="4" t="str">
        <f>IF(EmployeeData[[#This Row],[Age]]&lt;25,"Under 25",IF(EmployeeData[[#This Row],[Age]]&lt;35,"25-34",IF(EmployeeData[[#This Row],[Age]]&lt;45,"35-44",IF(EmployeeData[[#This Row],[Age]]&lt;55,"45-54","55+"))))</f>
        <v>25-34</v>
      </c>
      <c r="AK455" s="4" t="str">
        <f>IF(EmployeeData[[#This Row],[MonthlyIncome]]&lt;3000,"Below 3K",IF(EmployeeData[[#This Row],[MonthlyIncome]]&lt;6000,"3K-6K",IF(EmployeeData[[#This Row],[MonthlyIncome]]&lt;9000,"6K-9K",IF(EmployeeData[[#This Row],[MonthlyIncome]]&lt;12000,"9K-12K","12K+"))))</f>
        <v>Below 3K</v>
      </c>
    </row>
    <row r="456" spans="1:37" x14ac:dyDescent="0.3">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c r="AJ456" s="4" t="str">
        <f>IF(EmployeeData[[#This Row],[Age]]&lt;25,"Under 25",IF(EmployeeData[[#This Row],[Age]]&lt;35,"25-34",IF(EmployeeData[[#This Row],[Age]]&lt;45,"35-44",IF(EmployeeData[[#This Row],[Age]]&lt;55,"45-54","55+"))))</f>
        <v>25-34</v>
      </c>
      <c r="AK456" s="4" t="str">
        <f>IF(EmployeeData[[#This Row],[MonthlyIncome]]&lt;3000,"Below 3K",IF(EmployeeData[[#This Row],[MonthlyIncome]]&lt;6000,"3K-6K",IF(EmployeeData[[#This Row],[MonthlyIncome]]&lt;9000,"6K-9K",IF(EmployeeData[[#This Row],[MonthlyIncome]]&lt;12000,"9K-12K","12K+"))))</f>
        <v>3K-6K</v>
      </c>
    </row>
    <row r="457" spans="1:37" x14ac:dyDescent="0.3">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c r="AJ457" s="4" t="str">
        <f>IF(EmployeeData[[#This Row],[Age]]&lt;25,"Under 25",IF(EmployeeData[[#This Row],[Age]]&lt;35,"25-34",IF(EmployeeData[[#This Row],[Age]]&lt;45,"35-44",IF(EmployeeData[[#This Row],[Age]]&lt;55,"45-54","55+"))))</f>
        <v>25-34</v>
      </c>
      <c r="AK457" s="4" t="str">
        <f>IF(EmployeeData[[#This Row],[MonthlyIncome]]&lt;3000,"Below 3K",IF(EmployeeData[[#This Row],[MonthlyIncome]]&lt;6000,"3K-6K",IF(EmployeeData[[#This Row],[MonthlyIncome]]&lt;9000,"6K-9K",IF(EmployeeData[[#This Row],[MonthlyIncome]]&lt;12000,"9K-12K","12K+"))))</f>
        <v>12K+</v>
      </c>
    </row>
    <row r="458" spans="1:37" x14ac:dyDescent="0.3">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c r="AJ458" s="4" t="str">
        <f>IF(EmployeeData[[#This Row],[Age]]&lt;25,"Under 25",IF(EmployeeData[[#This Row],[Age]]&lt;35,"25-34",IF(EmployeeData[[#This Row],[Age]]&lt;45,"35-44",IF(EmployeeData[[#This Row],[Age]]&lt;55,"45-54","55+"))))</f>
        <v>25-34</v>
      </c>
      <c r="AK458" s="4" t="str">
        <f>IF(EmployeeData[[#This Row],[MonthlyIncome]]&lt;3000,"Below 3K",IF(EmployeeData[[#This Row],[MonthlyIncome]]&lt;6000,"3K-6K",IF(EmployeeData[[#This Row],[MonthlyIncome]]&lt;9000,"6K-9K",IF(EmployeeData[[#This Row],[MonthlyIncome]]&lt;12000,"9K-12K","12K+"))))</f>
        <v>9K-12K</v>
      </c>
    </row>
    <row r="459" spans="1:37" x14ac:dyDescent="0.3">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c r="AJ459" s="4" t="str">
        <f>IF(EmployeeData[[#This Row],[Age]]&lt;25,"Under 25",IF(EmployeeData[[#This Row],[Age]]&lt;35,"25-34",IF(EmployeeData[[#This Row],[Age]]&lt;45,"35-44",IF(EmployeeData[[#This Row],[Age]]&lt;55,"45-54","55+"))))</f>
        <v>Under 25</v>
      </c>
      <c r="AK459" s="4" t="str">
        <f>IF(EmployeeData[[#This Row],[MonthlyIncome]]&lt;3000,"Below 3K",IF(EmployeeData[[#This Row],[MonthlyIncome]]&lt;6000,"3K-6K",IF(EmployeeData[[#This Row],[MonthlyIncome]]&lt;9000,"6K-9K",IF(EmployeeData[[#This Row],[MonthlyIncome]]&lt;12000,"9K-12K","12K+"))))</f>
        <v>Below 3K</v>
      </c>
    </row>
    <row r="460" spans="1:37" x14ac:dyDescent="0.3">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c r="AJ460" s="4" t="str">
        <f>IF(EmployeeData[[#This Row],[Age]]&lt;25,"Under 25",IF(EmployeeData[[#This Row],[Age]]&lt;35,"25-34",IF(EmployeeData[[#This Row],[Age]]&lt;45,"35-44",IF(EmployeeData[[#This Row],[Age]]&lt;55,"45-54","55+"))))</f>
        <v>35-44</v>
      </c>
      <c r="AK460" s="4" t="str">
        <f>IF(EmployeeData[[#This Row],[MonthlyIncome]]&lt;3000,"Below 3K",IF(EmployeeData[[#This Row],[MonthlyIncome]]&lt;6000,"3K-6K",IF(EmployeeData[[#This Row],[MonthlyIncome]]&lt;9000,"6K-9K",IF(EmployeeData[[#This Row],[MonthlyIncome]]&lt;12000,"9K-12K","12K+"))))</f>
        <v>9K-12K</v>
      </c>
    </row>
    <row r="461" spans="1:37" x14ac:dyDescent="0.3">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c r="AJ461" s="4" t="str">
        <f>IF(EmployeeData[[#This Row],[Age]]&lt;25,"Under 25",IF(EmployeeData[[#This Row],[Age]]&lt;35,"25-34",IF(EmployeeData[[#This Row],[Age]]&lt;45,"35-44",IF(EmployeeData[[#This Row],[Age]]&lt;55,"45-54","55+"))))</f>
        <v>35-44</v>
      </c>
      <c r="AK461" s="4" t="str">
        <f>IF(EmployeeData[[#This Row],[MonthlyIncome]]&lt;3000,"Below 3K",IF(EmployeeData[[#This Row],[MonthlyIncome]]&lt;6000,"3K-6K",IF(EmployeeData[[#This Row],[MonthlyIncome]]&lt;9000,"6K-9K",IF(EmployeeData[[#This Row],[MonthlyIncome]]&lt;12000,"9K-12K","12K+"))))</f>
        <v>6K-9K</v>
      </c>
    </row>
    <row r="462" spans="1:37" x14ac:dyDescent="0.3">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c r="AJ462" s="4" t="str">
        <f>IF(EmployeeData[[#This Row],[Age]]&lt;25,"Under 25",IF(EmployeeData[[#This Row],[Age]]&lt;35,"25-34",IF(EmployeeData[[#This Row],[Age]]&lt;45,"35-44",IF(EmployeeData[[#This Row],[Age]]&lt;55,"45-54","55+"))))</f>
        <v>25-34</v>
      </c>
      <c r="AK462" s="4" t="str">
        <f>IF(EmployeeData[[#This Row],[MonthlyIncome]]&lt;3000,"Below 3K",IF(EmployeeData[[#This Row],[MonthlyIncome]]&lt;6000,"3K-6K",IF(EmployeeData[[#This Row],[MonthlyIncome]]&lt;9000,"6K-9K",IF(EmployeeData[[#This Row],[MonthlyIncome]]&lt;12000,"9K-12K","12K+"))))</f>
        <v>3K-6K</v>
      </c>
    </row>
    <row r="463" spans="1:37" x14ac:dyDescent="0.3">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c r="AJ463" s="4" t="str">
        <f>IF(EmployeeData[[#This Row],[Age]]&lt;25,"Under 25",IF(EmployeeData[[#This Row],[Age]]&lt;35,"25-34",IF(EmployeeData[[#This Row],[Age]]&lt;45,"35-44",IF(EmployeeData[[#This Row],[Age]]&lt;55,"45-54","55+"))))</f>
        <v>35-44</v>
      </c>
      <c r="AK463" s="4" t="str">
        <f>IF(EmployeeData[[#This Row],[MonthlyIncome]]&lt;3000,"Below 3K",IF(EmployeeData[[#This Row],[MonthlyIncome]]&lt;6000,"3K-6K",IF(EmployeeData[[#This Row],[MonthlyIncome]]&lt;9000,"6K-9K",IF(EmployeeData[[#This Row],[MonthlyIncome]]&lt;12000,"9K-12K","12K+"))))</f>
        <v>3K-6K</v>
      </c>
    </row>
    <row r="464" spans="1:37" x14ac:dyDescent="0.3">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c r="AJ464" s="4" t="str">
        <f>IF(EmployeeData[[#This Row],[Age]]&lt;25,"Under 25",IF(EmployeeData[[#This Row],[Age]]&lt;35,"25-34",IF(EmployeeData[[#This Row],[Age]]&lt;45,"35-44",IF(EmployeeData[[#This Row],[Age]]&lt;55,"45-54","55+"))))</f>
        <v>25-34</v>
      </c>
      <c r="AK464" s="4" t="str">
        <f>IF(EmployeeData[[#This Row],[MonthlyIncome]]&lt;3000,"Below 3K",IF(EmployeeData[[#This Row],[MonthlyIncome]]&lt;6000,"3K-6K",IF(EmployeeData[[#This Row],[MonthlyIncome]]&lt;9000,"6K-9K",IF(EmployeeData[[#This Row],[MonthlyIncome]]&lt;12000,"9K-12K","12K+"))))</f>
        <v>3K-6K</v>
      </c>
    </row>
    <row r="465" spans="1:37" x14ac:dyDescent="0.3">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c r="AJ465" s="4" t="str">
        <f>IF(EmployeeData[[#This Row],[Age]]&lt;25,"Under 25",IF(EmployeeData[[#This Row],[Age]]&lt;35,"25-34",IF(EmployeeData[[#This Row],[Age]]&lt;45,"35-44",IF(EmployeeData[[#This Row],[Age]]&lt;55,"45-54","55+"))))</f>
        <v>25-34</v>
      </c>
      <c r="AK465" s="4" t="str">
        <f>IF(EmployeeData[[#This Row],[MonthlyIncome]]&lt;3000,"Below 3K",IF(EmployeeData[[#This Row],[MonthlyIncome]]&lt;6000,"3K-6K",IF(EmployeeData[[#This Row],[MonthlyIncome]]&lt;9000,"6K-9K",IF(EmployeeData[[#This Row],[MonthlyIncome]]&lt;12000,"9K-12K","12K+"))))</f>
        <v>Below 3K</v>
      </c>
    </row>
    <row r="466" spans="1:37" x14ac:dyDescent="0.3">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c r="AJ466" s="4" t="str">
        <f>IF(EmployeeData[[#This Row],[Age]]&lt;25,"Under 25",IF(EmployeeData[[#This Row],[Age]]&lt;35,"25-34",IF(EmployeeData[[#This Row],[Age]]&lt;45,"35-44",IF(EmployeeData[[#This Row],[Age]]&lt;55,"45-54","55+"))))</f>
        <v>35-44</v>
      </c>
      <c r="AK466" s="4" t="str">
        <f>IF(EmployeeData[[#This Row],[MonthlyIncome]]&lt;3000,"Below 3K",IF(EmployeeData[[#This Row],[MonthlyIncome]]&lt;6000,"3K-6K",IF(EmployeeData[[#This Row],[MonthlyIncome]]&lt;9000,"6K-9K",IF(EmployeeData[[#This Row],[MonthlyIncome]]&lt;12000,"9K-12K","12K+"))))</f>
        <v>6K-9K</v>
      </c>
    </row>
    <row r="467" spans="1:37" x14ac:dyDescent="0.3">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c r="AJ467" s="4" t="str">
        <f>IF(EmployeeData[[#This Row],[Age]]&lt;25,"Under 25",IF(EmployeeData[[#This Row],[Age]]&lt;35,"25-34",IF(EmployeeData[[#This Row],[Age]]&lt;45,"35-44",IF(EmployeeData[[#This Row],[Age]]&lt;55,"45-54","55+"))))</f>
        <v>45-54</v>
      </c>
      <c r="AK467" s="4" t="str">
        <f>IF(EmployeeData[[#This Row],[MonthlyIncome]]&lt;3000,"Below 3K",IF(EmployeeData[[#This Row],[MonthlyIncome]]&lt;6000,"3K-6K",IF(EmployeeData[[#This Row],[MonthlyIncome]]&lt;9000,"6K-9K",IF(EmployeeData[[#This Row],[MonthlyIncome]]&lt;12000,"9K-12K","12K+"))))</f>
        <v>9K-12K</v>
      </c>
    </row>
    <row r="468" spans="1:37" x14ac:dyDescent="0.3">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c r="AJ468" s="4" t="str">
        <f>IF(EmployeeData[[#This Row],[Age]]&lt;25,"Under 25",IF(EmployeeData[[#This Row],[Age]]&lt;35,"25-34",IF(EmployeeData[[#This Row],[Age]]&lt;45,"35-44",IF(EmployeeData[[#This Row],[Age]]&lt;55,"45-54","55+"))))</f>
        <v>35-44</v>
      </c>
      <c r="AK468" s="4" t="str">
        <f>IF(EmployeeData[[#This Row],[MonthlyIncome]]&lt;3000,"Below 3K",IF(EmployeeData[[#This Row],[MonthlyIncome]]&lt;6000,"3K-6K",IF(EmployeeData[[#This Row],[MonthlyIncome]]&lt;9000,"6K-9K",IF(EmployeeData[[#This Row],[MonthlyIncome]]&lt;12000,"9K-12K","12K+"))))</f>
        <v>12K+</v>
      </c>
    </row>
    <row r="469" spans="1:37" x14ac:dyDescent="0.3">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c r="AJ469" s="4" t="str">
        <f>IF(EmployeeData[[#This Row],[Age]]&lt;25,"Under 25",IF(EmployeeData[[#This Row],[Age]]&lt;35,"25-34",IF(EmployeeData[[#This Row],[Age]]&lt;45,"35-44",IF(EmployeeData[[#This Row],[Age]]&lt;55,"45-54","55+"))))</f>
        <v>35-44</v>
      </c>
      <c r="AK469" s="4" t="str">
        <f>IF(EmployeeData[[#This Row],[MonthlyIncome]]&lt;3000,"Below 3K",IF(EmployeeData[[#This Row],[MonthlyIncome]]&lt;6000,"3K-6K",IF(EmployeeData[[#This Row],[MonthlyIncome]]&lt;9000,"6K-9K",IF(EmployeeData[[#This Row],[MonthlyIncome]]&lt;12000,"9K-12K","12K+"))))</f>
        <v>6K-9K</v>
      </c>
    </row>
    <row r="470" spans="1:37" x14ac:dyDescent="0.3">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c r="AJ470" s="4" t="str">
        <f>IF(EmployeeData[[#This Row],[Age]]&lt;25,"Under 25",IF(EmployeeData[[#This Row],[Age]]&lt;35,"25-34",IF(EmployeeData[[#This Row],[Age]]&lt;45,"35-44",IF(EmployeeData[[#This Row],[Age]]&lt;55,"45-54","55+"))))</f>
        <v>45-54</v>
      </c>
      <c r="AK470" s="4" t="str">
        <f>IF(EmployeeData[[#This Row],[MonthlyIncome]]&lt;3000,"Below 3K",IF(EmployeeData[[#This Row],[MonthlyIncome]]&lt;6000,"3K-6K",IF(EmployeeData[[#This Row],[MonthlyIncome]]&lt;9000,"6K-9K",IF(EmployeeData[[#This Row],[MonthlyIncome]]&lt;12000,"9K-12K","12K+"))))</f>
        <v>3K-6K</v>
      </c>
    </row>
    <row r="471" spans="1:37" x14ac:dyDescent="0.3">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c r="AJ471" s="4" t="str">
        <f>IF(EmployeeData[[#This Row],[Age]]&lt;25,"Under 25",IF(EmployeeData[[#This Row],[Age]]&lt;35,"25-34",IF(EmployeeData[[#This Row],[Age]]&lt;45,"35-44",IF(EmployeeData[[#This Row],[Age]]&lt;55,"45-54","55+"))))</f>
        <v>25-34</v>
      </c>
      <c r="AK471" s="4" t="str">
        <f>IF(EmployeeData[[#This Row],[MonthlyIncome]]&lt;3000,"Below 3K",IF(EmployeeData[[#This Row],[MonthlyIncome]]&lt;6000,"3K-6K",IF(EmployeeData[[#This Row],[MonthlyIncome]]&lt;9000,"6K-9K",IF(EmployeeData[[#This Row],[MonthlyIncome]]&lt;12000,"9K-12K","12K+"))))</f>
        <v>3K-6K</v>
      </c>
    </row>
    <row r="472" spans="1:37" x14ac:dyDescent="0.3">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c r="AJ472" s="4" t="str">
        <f>IF(EmployeeData[[#This Row],[Age]]&lt;25,"Under 25",IF(EmployeeData[[#This Row],[Age]]&lt;35,"25-34",IF(EmployeeData[[#This Row],[Age]]&lt;45,"35-44",IF(EmployeeData[[#This Row],[Age]]&lt;55,"45-54","55+"))))</f>
        <v>Under 25</v>
      </c>
      <c r="AK472" s="4" t="str">
        <f>IF(EmployeeData[[#This Row],[MonthlyIncome]]&lt;3000,"Below 3K",IF(EmployeeData[[#This Row],[MonthlyIncome]]&lt;6000,"3K-6K",IF(EmployeeData[[#This Row],[MonthlyIncome]]&lt;9000,"6K-9K",IF(EmployeeData[[#This Row],[MonthlyIncome]]&lt;12000,"9K-12K","12K+"))))</f>
        <v>Below 3K</v>
      </c>
    </row>
    <row r="473" spans="1:37" x14ac:dyDescent="0.3">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c r="AJ473" s="4" t="str">
        <f>IF(EmployeeData[[#This Row],[Age]]&lt;25,"Under 25",IF(EmployeeData[[#This Row],[Age]]&lt;35,"25-34",IF(EmployeeData[[#This Row],[Age]]&lt;45,"35-44",IF(EmployeeData[[#This Row],[Age]]&lt;55,"45-54","55+"))))</f>
        <v>35-44</v>
      </c>
      <c r="AK473" s="4" t="str">
        <f>IF(EmployeeData[[#This Row],[MonthlyIncome]]&lt;3000,"Below 3K",IF(EmployeeData[[#This Row],[MonthlyIncome]]&lt;6000,"3K-6K",IF(EmployeeData[[#This Row],[MonthlyIncome]]&lt;9000,"6K-9K",IF(EmployeeData[[#This Row],[MonthlyIncome]]&lt;12000,"9K-12K","12K+"))))</f>
        <v>9K-12K</v>
      </c>
    </row>
    <row r="474" spans="1:37" x14ac:dyDescent="0.3">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c r="AJ474" s="4" t="str">
        <f>IF(EmployeeData[[#This Row],[Age]]&lt;25,"Under 25",IF(EmployeeData[[#This Row],[Age]]&lt;35,"25-34",IF(EmployeeData[[#This Row],[Age]]&lt;45,"35-44",IF(EmployeeData[[#This Row],[Age]]&lt;55,"45-54","55+"))))</f>
        <v>35-44</v>
      </c>
      <c r="AK474" s="4" t="str">
        <f>IF(EmployeeData[[#This Row],[MonthlyIncome]]&lt;3000,"Below 3K",IF(EmployeeData[[#This Row],[MonthlyIncome]]&lt;6000,"3K-6K",IF(EmployeeData[[#This Row],[MonthlyIncome]]&lt;9000,"6K-9K",IF(EmployeeData[[#This Row],[MonthlyIncome]]&lt;12000,"9K-12K","12K+"))))</f>
        <v>6K-9K</v>
      </c>
    </row>
    <row r="475" spans="1:37" x14ac:dyDescent="0.3">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c r="AJ475" s="4" t="str">
        <f>IF(EmployeeData[[#This Row],[Age]]&lt;25,"Under 25",IF(EmployeeData[[#This Row],[Age]]&lt;35,"25-34",IF(EmployeeData[[#This Row],[Age]]&lt;45,"35-44",IF(EmployeeData[[#This Row],[Age]]&lt;55,"45-54","55+"))))</f>
        <v>45-54</v>
      </c>
      <c r="AK475" s="4" t="str">
        <f>IF(EmployeeData[[#This Row],[MonthlyIncome]]&lt;3000,"Below 3K",IF(EmployeeData[[#This Row],[MonthlyIncome]]&lt;6000,"3K-6K",IF(EmployeeData[[#This Row],[MonthlyIncome]]&lt;9000,"6K-9K",IF(EmployeeData[[#This Row],[MonthlyIncome]]&lt;12000,"9K-12K","12K+"))))</f>
        <v>12K+</v>
      </c>
    </row>
    <row r="476" spans="1:37" x14ac:dyDescent="0.3">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c r="AJ476" s="4" t="str">
        <f>IF(EmployeeData[[#This Row],[Age]]&lt;25,"Under 25",IF(EmployeeData[[#This Row],[Age]]&lt;35,"25-34",IF(EmployeeData[[#This Row],[Age]]&lt;45,"35-44",IF(EmployeeData[[#This Row],[Age]]&lt;55,"45-54","55+"))))</f>
        <v>Under 25</v>
      </c>
      <c r="AK476" s="4" t="str">
        <f>IF(EmployeeData[[#This Row],[MonthlyIncome]]&lt;3000,"Below 3K",IF(EmployeeData[[#This Row],[MonthlyIncome]]&lt;6000,"3K-6K",IF(EmployeeData[[#This Row],[MonthlyIncome]]&lt;9000,"6K-9K",IF(EmployeeData[[#This Row],[MonthlyIncome]]&lt;12000,"9K-12K","12K+"))))</f>
        <v>Below 3K</v>
      </c>
    </row>
    <row r="477" spans="1:37" x14ac:dyDescent="0.3">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c r="AJ477" s="4" t="str">
        <f>IF(EmployeeData[[#This Row],[Age]]&lt;25,"Under 25",IF(EmployeeData[[#This Row],[Age]]&lt;35,"25-34",IF(EmployeeData[[#This Row],[Age]]&lt;45,"35-44",IF(EmployeeData[[#This Row],[Age]]&lt;55,"45-54","55+"))))</f>
        <v>25-34</v>
      </c>
      <c r="AK477" s="4" t="str">
        <f>IF(EmployeeData[[#This Row],[MonthlyIncome]]&lt;3000,"Below 3K",IF(EmployeeData[[#This Row],[MonthlyIncome]]&lt;6000,"3K-6K",IF(EmployeeData[[#This Row],[MonthlyIncome]]&lt;9000,"6K-9K",IF(EmployeeData[[#This Row],[MonthlyIncome]]&lt;12000,"9K-12K","12K+"))))</f>
        <v>6K-9K</v>
      </c>
    </row>
    <row r="478" spans="1:37" x14ac:dyDescent="0.3">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c r="AJ478" s="4" t="str">
        <f>IF(EmployeeData[[#This Row],[Age]]&lt;25,"Under 25",IF(EmployeeData[[#This Row],[Age]]&lt;35,"25-34",IF(EmployeeData[[#This Row],[Age]]&lt;45,"35-44",IF(EmployeeData[[#This Row],[Age]]&lt;55,"45-54","55+"))))</f>
        <v>Under 25</v>
      </c>
      <c r="AK478" s="4" t="str">
        <f>IF(EmployeeData[[#This Row],[MonthlyIncome]]&lt;3000,"Below 3K",IF(EmployeeData[[#This Row],[MonthlyIncome]]&lt;6000,"3K-6K",IF(EmployeeData[[#This Row],[MonthlyIncome]]&lt;9000,"6K-9K",IF(EmployeeData[[#This Row],[MonthlyIncome]]&lt;12000,"9K-12K","12K+"))))</f>
        <v>Below 3K</v>
      </c>
    </row>
    <row r="479" spans="1:37" x14ac:dyDescent="0.3">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c r="AJ479" s="4" t="str">
        <f>IF(EmployeeData[[#This Row],[Age]]&lt;25,"Under 25",IF(EmployeeData[[#This Row],[Age]]&lt;35,"25-34",IF(EmployeeData[[#This Row],[Age]]&lt;45,"35-44",IF(EmployeeData[[#This Row],[Age]]&lt;55,"45-54","55+"))))</f>
        <v>45-54</v>
      </c>
      <c r="AK479" s="4" t="str">
        <f>IF(EmployeeData[[#This Row],[MonthlyIncome]]&lt;3000,"Below 3K",IF(EmployeeData[[#This Row],[MonthlyIncome]]&lt;6000,"3K-6K",IF(EmployeeData[[#This Row],[MonthlyIncome]]&lt;9000,"6K-9K",IF(EmployeeData[[#This Row],[MonthlyIncome]]&lt;12000,"9K-12K","12K+"))))</f>
        <v>12K+</v>
      </c>
    </row>
    <row r="480" spans="1:37" x14ac:dyDescent="0.3">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c r="AJ480" s="4" t="str">
        <f>IF(EmployeeData[[#This Row],[Age]]&lt;25,"Under 25",IF(EmployeeData[[#This Row],[Age]]&lt;35,"25-34",IF(EmployeeData[[#This Row],[Age]]&lt;45,"35-44",IF(EmployeeData[[#This Row],[Age]]&lt;55,"45-54","55+"))))</f>
        <v>25-34</v>
      </c>
      <c r="AK480" s="4" t="str">
        <f>IF(EmployeeData[[#This Row],[MonthlyIncome]]&lt;3000,"Below 3K",IF(EmployeeData[[#This Row],[MonthlyIncome]]&lt;6000,"3K-6K",IF(EmployeeData[[#This Row],[MonthlyIncome]]&lt;9000,"6K-9K",IF(EmployeeData[[#This Row],[MonthlyIncome]]&lt;12000,"9K-12K","12K+"))))</f>
        <v>Below 3K</v>
      </c>
    </row>
    <row r="481" spans="1:37" x14ac:dyDescent="0.3">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c r="AJ481" s="4" t="str">
        <f>IF(EmployeeData[[#This Row],[Age]]&lt;25,"Under 25",IF(EmployeeData[[#This Row],[Age]]&lt;35,"25-34",IF(EmployeeData[[#This Row],[Age]]&lt;45,"35-44",IF(EmployeeData[[#This Row],[Age]]&lt;55,"45-54","55+"))))</f>
        <v>Under 25</v>
      </c>
      <c r="AK481" s="4" t="str">
        <f>IF(EmployeeData[[#This Row],[MonthlyIncome]]&lt;3000,"Below 3K",IF(EmployeeData[[#This Row],[MonthlyIncome]]&lt;6000,"3K-6K",IF(EmployeeData[[#This Row],[MonthlyIncome]]&lt;9000,"6K-9K",IF(EmployeeData[[#This Row],[MonthlyIncome]]&lt;12000,"9K-12K","12K+"))))</f>
        <v>Below 3K</v>
      </c>
    </row>
    <row r="482" spans="1:37" x14ac:dyDescent="0.3">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c r="AJ482" s="4" t="str">
        <f>IF(EmployeeData[[#This Row],[Age]]&lt;25,"Under 25",IF(EmployeeData[[#This Row],[Age]]&lt;35,"25-34",IF(EmployeeData[[#This Row],[Age]]&lt;45,"35-44",IF(EmployeeData[[#This Row],[Age]]&lt;55,"45-54","55+"))))</f>
        <v>25-34</v>
      </c>
      <c r="AK482" s="4" t="str">
        <f>IF(EmployeeData[[#This Row],[MonthlyIncome]]&lt;3000,"Below 3K",IF(EmployeeData[[#This Row],[MonthlyIncome]]&lt;6000,"3K-6K",IF(EmployeeData[[#This Row],[MonthlyIncome]]&lt;9000,"6K-9K",IF(EmployeeData[[#This Row],[MonthlyIncome]]&lt;12000,"9K-12K","12K+"))))</f>
        <v>Below 3K</v>
      </c>
    </row>
    <row r="483" spans="1:37" x14ac:dyDescent="0.3">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c r="AJ483" s="4" t="str">
        <f>IF(EmployeeData[[#This Row],[Age]]&lt;25,"Under 25",IF(EmployeeData[[#This Row],[Age]]&lt;35,"25-34",IF(EmployeeData[[#This Row],[Age]]&lt;45,"35-44",IF(EmployeeData[[#This Row],[Age]]&lt;55,"45-54","55+"))))</f>
        <v>25-34</v>
      </c>
      <c r="AK483" s="4" t="str">
        <f>IF(EmployeeData[[#This Row],[MonthlyIncome]]&lt;3000,"Below 3K",IF(EmployeeData[[#This Row],[MonthlyIncome]]&lt;6000,"3K-6K",IF(EmployeeData[[#This Row],[MonthlyIncome]]&lt;9000,"6K-9K",IF(EmployeeData[[#This Row],[MonthlyIncome]]&lt;12000,"9K-12K","12K+"))))</f>
        <v>3K-6K</v>
      </c>
    </row>
    <row r="484" spans="1:37" x14ac:dyDescent="0.3">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c r="AJ484" s="4" t="str">
        <f>IF(EmployeeData[[#This Row],[Age]]&lt;25,"Under 25",IF(EmployeeData[[#This Row],[Age]]&lt;35,"25-34",IF(EmployeeData[[#This Row],[Age]]&lt;45,"35-44",IF(EmployeeData[[#This Row],[Age]]&lt;55,"45-54","55+"))))</f>
        <v>25-34</v>
      </c>
      <c r="AK484" s="4" t="str">
        <f>IF(EmployeeData[[#This Row],[MonthlyIncome]]&lt;3000,"Below 3K",IF(EmployeeData[[#This Row],[MonthlyIncome]]&lt;6000,"3K-6K",IF(EmployeeData[[#This Row],[MonthlyIncome]]&lt;9000,"6K-9K",IF(EmployeeData[[#This Row],[MonthlyIncome]]&lt;12000,"9K-12K","12K+"))))</f>
        <v>3K-6K</v>
      </c>
    </row>
    <row r="485" spans="1:37" x14ac:dyDescent="0.3">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c r="AJ485" s="4" t="str">
        <f>IF(EmployeeData[[#This Row],[Age]]&lt;25,"Under 25",IF(EmployeeData[[#This Row],[Age]]&lt;35,"25-34",IF(EmployeeData[[#This Row],[Age]]&lt;45,"35-44",IF(EmployeeData[[#This Row],[Age]]&lt;55,"45-54","55+"))))</f>
        <v>35-44</v>
      </c>
      <c r="AK485" s="4" t="str">
        <f>IF(EmployeeData[[#This Row],[MonthlyIncome]]&lt;3000,"Below 3K",IF(EmployeeData[[#This Row],[MonthlyIncome]]&lt;6000,"3K-6K",IF(EmployeeData[[#This Row],[MonthlyIncome]]&lt;9000,"6K-9K",IF(EmployeeData[[#This Row],[MonthlyIncome]]&lt;12000,"9K-12K","12K+"))))</f>
        <v>3K-6K</v>
      </c>
    </row>
    <row r="486" spans="1:37" x14ac:dyDescent="0.3">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c r="AJ486" s="4" t="str">
        <f>IF(EmployeeData[[#This Row],[Age]]&lt;25,"Under 25",IF(EmployeeData[[#This Row],[Age]]&lt;35,"25-34",IF(EmployeeData[[#This Row],[Age]]&lt;45,"35-44",IF(EmployeeData[[#This Row],[Age]]&lt;55,"45-54","55+"))))</f>
        <v>25-34</v>
      </c>
      <c r="AK486" s="4" t="str">
        <f>IF(EmployeeData[[#This Row],[MonthlyIncome]]&lt;3000,"Below 3K",IF(EmployeeData[[#This Row],[MonthlyIncome]]&lt;6000,"3K-6K",IF(EmployeeData[[#This Row],[MonthlyIncome]]&lt;9000,"6K-9K",IF(EmployeeData[[#This Row],[MonthlyIncome]]&lt;12000,"9K-12K","12K+"))))</f>
        <v>3K-6K</v>
      </c>
    </row>
    <row r="487" spans="1:37" x14ac:dyDescent="0.3">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c r="AJ487" s="4" t="str">
        <f>IF(EmployeeData[[#This Row],[Age]]&lt;25,"Under 25",IF(EmployeeData[[#This Row],[Age]]&lt;35,"25-34",IF(EmployeeData[[#This Row],[Age]]&lt;45,"35-44",IF(EmployeeData[[#This Row],[Age]]&lt;55,"45-54","55+"))))</f>
        <v>25-34</v>
      </c>
      <c r="AK487" s="4" t="str">
        <f>IF(EmployeeData[[#This Row],[MonthlyIncome]]&lt;3000,"Below 3K",IF(EmployeeData[[#This Row],[MonthlyIncome]]&lt;6000,"3K-6K",IF(EmployeeData[[#This Row],[MonthlyIncome]]&lt;9000,"6K-9K",IF(EmployeeData[[#This Row],[MonthlyIncome]]&lt;12000,"9K-12K","12K+"))))</f>
        <v>Below 3K</v>
      </c>
    </row>
    <row r="488" spans="1:37" x14ac:dyDescent="0.3">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c r="AJ488" s="4" t="str">
        <f>IF(EmployeeData[[#This Row],[Age]]&lt;25,"Under 25",IF(EmployeeData[[#This Row],[Age]]&lt;35,"25-34",IF(EmployeeData[[#This Row],[Age]]&lt;45,"35-44",IF(EmployeeData[[#This Row],[Age]]&lt;55,"45-54","55+"))))</f>
        <v>35-44</v>
      </c>
      <c r="AK488" s="4" t="str">
        <f>IF(EmployeeData[[#This Row],[MonthlyIncome]]&lt;3000,"Below 3K",IF(EmployeeData[[#This Row],[MonthlyIncome]]&lt;6000,"3K-6K",IF(EmployeeData[[#This Row],[MonthlyIncome]]&lt;9000,"6K-9K",IF(EmployeeData[[#This Row],[MonthlyIncome]]&lt;12000,"9K-12K","12K+"))))</f>
        <v>9K-12K</v>
      </c>
    </row>
    <row r="489" spans="1:37" x14ac:dyDescent="0.3">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c r="AJ489" s="4" t="str">
        <f>IF(EmployeeData[[#This Row],[Age]]&lt;25,"Under 25",IF(EmployeeData[[#This Row],[Age]]&lt;35,"25-34",IF(EmployeeData[[#This Row],[Age]]&lt;45,"35-44",IF(EmployeeData[[#This Row],[Age]]&lt;55,"45-54","55+"))))</f>
        <v>Under 25</v>
      </c>
      <c r="AK489" s="4" t="str">
        <f>IF(EmployeeData[[#This Row],[MonthlyIncome]]&lt;3000,"Below 3K",IF(EmployeeData[[#This Row],[MonthlyIncome]]&lt;6000,"3K-6K",IF(EmployeeData[[#This Row],[MonthlyIncome]]&lt;9000,"6K-9K",IF(EmployeeData[[#This Row],[MonthlyIncome]]&lt;12000,"9K-12K","12K+"))))</f>
        <v>Below 3K</v>
      </c>
    </row>
    <row r="490" spans="1:37" x14ac:dyDescent="0.3">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c r="AJ490" s="4" t="str">
        <f>IF(EmployeeData[[#This Row],[Age]]&lt;25,"Under 25",IF(EmployeeData[[#This Row],[Age]]&lt;35,"25-34",IF(EmployeeData[[#This Row],[Age]]&lt;45,"35-44",IF(EmployeeData[[#This Row],[Age]]&lt;55,"45-54","55+"))))</f>
        <v>35-44</v>
      </c>
      <c r="AK490" s="4" t="str">
        <f>IF(EmployeeData[[#This Row],[MonthlyIncome]]&lt;3000,"Below 3K",IF(EmployeeData[[#This Row],[MonthlyIncome]]&lt;6000,"3K-6K",IF(EmployeeData[[#This Row],[MonthlyIncome]]&lt;9000,"6K-9K",IF(EmployeeData[[#This Row],[MonthlyIncome]]&lt;12000,"9K-12K","12K+"))))</f>
        <v>3K-6K</v>
      </c>
    </row>
    <row r="491" spans="1:37" x14ac:dyDescent="0.3">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c r="AJ491" s="4" t="str">
        <f>IF(EmployeeData[[#This Row],[Age]]&lt;25,"Under 25",IF(EmployeeData[[#This Row],[Age]]&lt;35,"25-34",IF(EmployeeData[[#This Row],[Age]]&lt;45,"35-44",IF(EmployeeData[[#This Row],[Age]]&lt;55,"45-54","55+"))))</f>
        <v>35-44</v>
      </c>
      <c r="AK491" s="4" t="str">
        <f>IF(EmployeeData[[#This Row],[MonthlyIncome]]&lt;3000,"Below 3K",IF(EmployeeData[[#This Row],[MonthlyIncome]]&lt;6000,"3K-6K",IF(EmployeeData[[#This Row],[MonthlyIncome]]&lt;9000,"6K-9K",IF(EmployeeData[[#This Row],[MonthlyIncome]]&lt;12000,"9K-12K","12K+"))))</f>
        <v>12K+</v>
      </c>
    </row>
    <row r="492" spans="1:37" x14ac:dyDescent="0.3">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c r="AJ492" s="4" t="str">
        <f>IF(EmployeeData[[#This Row],[Age]]&lt;25,"Under 25",IF(EmployeeData[[#This Row],[Age]]&lt;35,"25-34",IF(EmployeeData[[#This Row],[Age]]&lt;45,"35-44",IF(EmployeeData[[#This Row],[Age]]&lt;55,"45-54","55+"))))</f>
        <v>35-44</v>
      </c>
      <c r="AK492" s="4" t="str">
        <f>IF(EmployeeData[[#This Row],[MonthlyIncome]]&lt;3000,"Below 3K",IF(EmployeeData[[#This Row],[MonthlyIncome]]&lt;6000,"3K-6K",IF(EmployeeData[[#This Row],[MonthlyIncome]]&lt;9000,"6K-9K",IF(EmployeeData[[#This Row],[MonthlyIncome]]&lt;12000,"9K-12K","12K+"))))</f>
        <v>Below 3K</v>
      </c>
    </row>
    <row r="493" spans="1:37" x14ac:dyDescent="0.3">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c r="AJ493" s="4" t="str">
        <f>IF(EmployeeData[[#This Row],[Age]]&lt;25,"Under 25",IF(EmployeeData[[#This Row],[Age]]&lt;35,"25-34",IF(EmployeeData[[#This Row],[Age]]&lt;45,"35-44",IF(EmployeeData[[#This Row],[Age]]&lt;55,"45-54","55+"))))</f>
        <v>35-44</v>
      </c>
      <c r="AK493" s="4" t="str">
        <f>IF(EmployeeData[[#This Row],[MonthlyIncome]]&lt;3000,"Below 3K",IF(EmployeeData[[#This Row],[MonthlyIncome]]&lt;6000,"3K-6K",IF(EmployeeData[[#This Row],[MonthlyIncome]]&lt;9000,"6K-9K",IF(EmployeeData[[#This Row],[MonthlyIncome]]&lt;12000,"9K-12K","12K+"))))</f>
        <v>3K-6K</v>
      </c>
    </row>
    <row r="494" spans="1:37" x14ac:dyDescent="0.3">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c r="AJ494" s="4" t="str">
        <f>IF(EmployeeData[[#This Row],[Age]]&lt;25,"Under 25",IF(EmployeeData[[#This Row],[Age]]&lt;35,"25-34",IF(EmployeeData[[#This Row],[Age]]&lt;45,"35-44",IF(EmployeeData[[#This Row],[Age]]&lt;55,"45-54","55+"))))</f>
        <v>45-54</v>
      </c>
      <c r="AK494" s="4" t="str">
        <f>IF(EmployeeData[[#This Row],[MonthlyIncome]]&lt;3000,"Below 3K",IF(EmployeeData[[#This Row],[MonthlyIncome]]&lt;6000,"3K-6K",IF(EmployeeData[[#This Row],[MonthlyIncome]]&lt;9000,"6K-9K",IF(EmployeeData[[#This Row],[MonthlyIncome]]&lt;12000,"9K-12K","12K+"))))</f>
        <v>12K+</v>
      </c>
    </row>
    <row r="495" spans="1:37" x14ac:dyDescent="0.3">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c r="AJ495" s="4" t="str">
        <f>IF(EmployeeData[[#This Row],[Age]]&lt;25,"Under 25",IF(EmployeeData[[#This Row],[Age]]&lt;35,"25-34",IF(EmployeeData[[#This Row],[Age]]&lt;45,"35-44",IF(EmployeeData[[#This Row],[Age]]&lt;55,"45-54","55+"))))</f>
        <v>35-44</v>
      </c>
      <c r="AK495" s="4" t="str">
        <f>IF(EmployeeData[[#This Row],[MonthlyIncome]]&lt;3000,"Below 3K",IF(EmployeeData[[#This Row],[MonthlyIncome]]&lt;6000,"3K-6K",IF(EmployeeData[[#This Row],[MonthlyIncome]]&lt;9000,"6K-9K",IF(EmployeeData[[#This Row],[MonthlyIncome]]&lt;12000,"9K-12K","12K+"))))</f>
        <v>3K-6K</v>
      </c>
    </row>
    <row r="496" spans="1:37" x14ac:dyDescent="0.3">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c r="AJ496" s="4" t="str">
        <f>IF(EmployeeData[[#This Row],[Age]]&lt;25,"Under 25",IF(EmployeeData[[#This Row],[Age]]&lt;35,"25-34",IF(EmployeeData[[#This Row],[Age]]&lt;45,"35-44",IF(EmployeeData[[#This Row],[Age]]&lt;55,"45-54","55+"))))</f>
        <v>25-34</v>
      </c>
      <c r="AK496" s="4" t="str">
        <f>IF(EmployeeData[[#This Row],[MonthlyIncome]]&lt;3000,"Below 3K",IF(EmployeeData[[#This Row],[MonthlyIncome]]&lt;6000,"3K-6K",IF(EmployeeData[[#This Row],[MonthlyIncome]]&lt;9000,"6K-9K",IF(EmployeeData[[#This Row],[MonthlyIncome]]&lt;12000,"9K-12K","12K+"))))</f>
        <v>Below 3K</v>
      </c>
    </row>
    <row r="497" spans="1:37" x14ac:dyDescent="0.3">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c r="AJ497" s="4" t="str">
        <f>IF(EmployeeData[[#This Row],[Age]]&lt;25,"Under 25",IF(EmployeeData[[#This Row],[Age]]&lt;35,"25-34",IF(EmployeeData[[#This Row],[Age]]&lt;45,"35-44",IF(EmployeeData[[#This Row],[Age]]&lt;55,"45-54","55+"))))</f>
        <v>25-34</v>
      </c>
      <c r="AK497" s="4" t="str">
        <f>IF(EmployeeData[[#This Row],[MonthlyIncome]]&lt;3000,"Below 3K",IF(EmployeeData[[#This Row],[MonthlyIncome]]&lt;6000,"3K-6K",IF(EmployeeData[[#This Row],[MonthlyIncome]]&lt;9000,"6K-9K",IF(EmployeeData[[#This Row],[MonthlyIncome]]&lt;12000,"9K-12K","12K+"))))</f>
        <v>3K-6K</v>
      </c>
    </row>
    <row r="498" spans="1:37" x14ac:dyDescent="0.3">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c r="AJ498" s="4" t="str">
        <f>IF(EmployeeData[[#This Row],[Age]]&lt;25,"Under 25",IF(EmployeeData[[#This Row],[Age]]&lt;35,"25-34",IF(EmployeeData[[#This Row],[Age]]&lt;45,"35-44",IF(EmployeeData[[#This Row],[Age]]&lt;55,"45-54","55+"))))</f>
        <v>Under 25</v>
      </c>
      <c r="AK498" s="4" t="str">
        <f>IF(EmployeeData[[#This Row],[MonthlyIncome]]&lt;3000,"Below 3K",IF(EmployeeData[[#This Row],[MonthlyIncome]]&lt;6000,"3K-6K",IF(EmployeeData[[#This Row],[MonthlyIncome]]&lt;9000,"6K-9K",IF(EmployeeData[[#This Row],[MonthlyIncome]]&lt;12000,"9K-12K","12K+"))))</f>
        <v>3K-6K</v>
      </c>
    </row>
    <row r="499" spans="1:37" x14ac:dyDescent="0.3">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c r="AJ499" s="4" t="str">
        <f>IF(EmployeeData[[#This Row],[Age]]&lt;25,"Under 25",IF(EmployeeData[[#This Row],[Age]]&lt;35,"25-34",IF(EmployeeData[[#This Row],[Age]]&lt;45,"35-44",IF(EmployeeData[[#This Row],[Age]]&lt;55,"45-54","55+"))))</f>
        <v>35-44</v>
      </c>
      <c r="AK499" s="4" t="str">
        <f>IF(EmployeeData[[#This Row],[MonthlyIncome]]&lt;3000,"Below 3K",IF(EmployeeData[[#This Row],[MonthlyIncome]]&lt;6000,"3K-6K",IF(EmployeeData[[#This Row],[MonthlyIncome]]&lt;9000,"6K-9K",IF(EmployeeData[[#This Row],[MonthlyIncome]]&lt;12000,"9K-12K","12K+"))))</f>
        <v>12K+</v>
      </c>
    </row>
    <row r="500" spans="1:37" x14ac:dyDescent="0.3">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c r="AJ500" s="4" t="str">
        <f>IF(EmployeeData[[#This Row],[Age]]&lt;25,"Under 25",IF(EmployeeData[[#This Row],[Age]]&lt;35,"25-34",IF(EmployeeData[[#This Row],[Age]]&lt;45,"35-44",IF(EmployeeData[[#This Row],[Age]]&lt;55,"45-54","55+"))))</f>
        <v>Under 25</v>
      </c>
      <c r="AK500" s="4" t="str">
        <f>IF(EmployeeData[[#This Row],[MonthlyIncome]]&lt;3000,"Below 3K",IF(EmployeeData[[#This Row],[MonthlyIncome]]&lt;6000,"3K-6K",IF(EmployeeData[[#This Row],[MonthlyIncome]]&lt;9000,"6K-9K",IF(EmployeeData[[#This Row],[MonthlyIncome]]&lt;12000,"9K-12K","12K+"))))</f>
        <v>Below 3K</v>
      </c>
    </row>
    <row r="501" spans="1:37" x14ac:dyDescent="0.3">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c r="AJ501" s="4" t="str">
        <f>IF(EmployeeData[[#This Row],[Age]]&lt;25,"Under 25",IF(EmployeeData[[#This Row],[Age]]&lt;35,"25-34",IF(EmployeeData[[#This Row],[Age]]&lt;45,"35-44",IF(EmployeeData[[#This Row],[Age]]&lt;55,"45-54","55+"))))</f>
        <v>25-34</v>
      </c>
      <c r="AK501" s="4" t="str">
        <f>IF(EmployeeData[[#This Row],[MonthlyIncome]]&lt;3000,"Below 3K",IF(EmployeeData[[#This Row],[MonthlyIncome]]&lt;6000,"3K-6K",IF(EmployeeData[[#This Row],[MonthlyIncome]]&lt;9000,"6K-9K",IF(EmployeeData[[#This Row],[MonthlyIncome]]&lt;12000,"9K-12K","12K+"))))</f>
        <v>6K-9K</v>
      </c>
    </row>
    <row r="502" spans="1:37" x14ac:dyDescent="0.3">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c r="AJ502" s="4" t="str">
        <f>IF(EmployeeData[[#This Row],[Age]]&lt;25,"Under 25",IF(EmployeeData[[#This Row],[Age]]&lt;35,"25-34",IF(EmployeeData[[#This Row],[Age]]&lt;45,"35-44",IF(EmployeeData[[#This Row],[Age]]&lt;55,"45-54","55+"))))</f>
        <v>25-34</v>
      </c>
      <c r="AK502" s="4" t="str">
        <f>IF(EmployeeData[[#This Row],[MonthlyIncome]]&lt;3000,"Below 3K",IF(EmployeeData[[#This Row],[MonthlyIncome]]&lt;6000,"3K-6K",IF(EmployeeData[[#This Row],[MonthlyIncome]]&lt;9000,"6K-9K",IF(EmployeeData[[#This Row],[MonthlyIncome]]&lt;12000,"9K-12K","12K+"))))</f>
        <v>6K-9K</v>
      </c>
    </row>
    <row r="503" spans="1:37" x14ac:dyDescent="0.3">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c r="AJ503" s="4" t="str">
        <f>IF(EmployeeData[[#This Row],[Age]]&lt;25,"Under 25",IF(EmployeeData[[#This Row],[Age]]&lt;35,"25-34",IF(EmployeeData[[#This Row],[Age]]&lt;45,"35-44",IF(EmployeeData[[#This Row],[Age]]&lt;55,"45-54","55+"))))</f>
        <v>25-34</v>
      </c>
      <c r="AK503" s="4" t="str">
        <f>IF(EmployeeData[[#This Row],[MonthlyIncome]]&lt;3000,"Below 3K",IF(EmployeeData[[#This Row],[MonthlyIncome]]&lt;6000,"3K-6K",IF(EmployeeData[[#This Row],[MonthlyIncome]]&lt;9000,"6K-9K",IF(EmployeeData[[#This Row],[MonthlyIncome]]&lt;12000,"9K-12K","12K+"))))</f>
        <v>Below 3K</v>
      </c>
    </row>
    <row r="504" spans="1:37" x14ac:dyDescent="0.3">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c r="AJ504" s="4" t="str">
        <f>IF(EmployeeData[[#This Row],[Age]]&lt;25,"Under 25",IF(EmployeeData[[#This Row],[Age]]&lt;35,"25-34",IF(EmployeeData[[#This Row],[Age]]&lt;45,"35-44",IF(EmployeeData[[#This Row],[Age]]&lt;55,"45-54","55+"))))</f>
        <v>45-54</v>
      </c>
      <c r="AK504" s="4" t="str">
        <f>IF(EmployeeData[[#This Row],[MonthlyIncome]]&lt;3000,"Below 3K",IF(EmployeeData[[#This Row],[MonthlyIncome]]&lt;6000,"3K-6K",IF(EmployeeData[[#This Row],[MonthlyIncome]]&lt;9000,"6K-9K",IF(EmployeeData[[#This Row],[MonthlyIncome]]&lt;12000,"9K-12K","12K+"))))</f>
        <v>6K-9K</v>
      </c>
    </row>
    <row r="505" spans="1:37" x14ac:dyDescent="0.3">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c r="AJ505" s="4" t="str">
        <f>IF(EmployeeData[[#This Row],[Age]]&lt;25,"Under 25",IF(EmployeeData[[#This Row],[Age]]&lt;35,"25-34",IF(EmployeeData[[#This Row],[Age]]&lt;45,"35-44",IF(EmployeeData[[#This Row],[Age]]&lt;55,"45-54","55+"))))</f>
        <v>25-34</v>
      </c>
      <c r="AK505" s="4" t="str">
        <f>IF(EmployeeData[[#This Row],[MonthlyIncome]]&lt;3000,"Below 3K",IF(EmployeeData[[#This Row],[MonthlyIncome]]&lt;6000,"3K-6K",IF(EmployeeData[[#This Row],[MonthlyIncome]]&lt;9000,"6K-9K",IF(EmployeeData[[#This Row],[MonthlyIncome]]&lt;12000,"9K-12K","12K+"))))</f>
        <v>Below 3K</v>
      </c>
    </row>
    <row r="506" spans="1:37" x14ac:dyDescent="0.3">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c r="AJ506" s="4" t="str">
        <f>IF(EmployeeData[[#This Row],[Age]]&lt;25,"Under 25",IF(EmployeeData[[#This Row],[Age]]&lt;35,"25-34",IF(EmployeeData[[#This Row],[Age]]&lt;45,"35-44",IF(EmployeeData[[#This Row],[Age]]&lt;55,"45-54","55+"))))</f>
        <v>45-54</v>
      </c>
      <c r="AK506" s="4" t="str">
        <f>IF(EmployeeData[[#This Row],[MonthlyIncome]]&lt;3000,"Below 3K",IF(EmployeeData[[#This Row],[MonthlyIncome]]&lt;6000,"3K-6K",IF(EmployeeData[[#This Row],[MonthlyIncome]]&lt;9000,"6K-9K",IF(EmployeeData[[#This Row],[MonthlyIncome]]&lt;12000,"9K-12K","12K+"))))</f>
        <v>3K-6K</v>
      </c>
    </row>
    <row r="507" spans="1:37" x14ac:dyDescent="0.3">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c r="AJ507" s="4" t="str">
        <f>IF(EmployeeData[[#This Row],[Age]]&lt;25,"Under 25",IF(EmployeeData[[#This Row],[Age]]&lt;35,"25-34",IF(EmployeeData[[#This Row],[Age]]&lt;45,"35-44",IF(EmployeeData[[#This Row],[Age]]&lt;55,"45-54","55+"))))</f>
        <v>25-34</v>
      </c>
      <c r="AK507" s="4" t="str">
        <f>IF(EmployeeData[[#This Row],[MonthlyIncome]]&lt;3000,"Below 3K",IF(EmployeeData[[#This Row],[MonthlyIncome]]&lt;6000,"3K-6K",IF(EmployeeData[[#This Row],[MonthlyIncome]]&lt;9000,"6K-9K",IF(EmployeeData[[#This Row],[MonthlyIncome]]&lt;12000,"9K-12K","12K+"))))</f>
        <v>Below 3K</v>
      </c>
    </row>
    <row r="508" spans="1:37" x14ac:dyDescent="0.3">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c r="AJ508" s="4" t="str">
        <f>IF(EmployeeData[[#This Row],[Age]]&lt;25,"Under 25",IF(EmployeeData[[#This Row],[Age]]&lt;35,"25-34",IF(EmployeeData[[#This Row],[Age]]&lt;45,"35-44",IF(EmployeeData[[#This Row],[Age]]&lt;55,"45-54","55+"))))</f>
        <v>35-44</v>
      </c>
      <c r="AK508" s="4" t="str">
        <f>IF(EmployeeData[[#This Row],[MonthlyIncome]]&lt;3000,"Below 3K",IF(EmployeeData[[#This Row],[MonthlyIncome]]&lt;6000,"3K-6K",IF(EmployeeData[[#This Row],[MonthlyIncome]]&lt;9000,"6K-9K",IF(EmployeeData[[#This Row],[MonthlyIncome]]&lt;12000,"9K-12K","12K+"))))</f>
        <v>9K-12K</v>
      </c>
    </row>
    <row r="509" spans="1:37" x14ac:dyDescent="0.3">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c r="AJ509" s="4" t="str">
        <f>IF(EmployeeData[[#This Row],[Age]]&lt;25,"Under 25",IF(EmployeeData[[#This Row],[Age]]&lt;35,"25-34",IF(EmployeeData[[#This Row],[Age]]&lt;45,"35-44",IF(EmployeeData[[#This Row],[Age]]&lt;55,"45-54","55+"))))</f>
        <v>25-34</v>
      </c>
      <c r="AK509" s="4" t="str">
        <f>IF(EmployeeData[[#This Row],[MonthlyIncome]]&lt;3000,"Below 3K",IF(EmployeeData[[#This Row],[MonthlyIncome]]&lt;6000,"3K-6K",IF(EmployeeData[[#This Row],[MonthlyIncome]]&lt;9000,"6K-9K",IF(EmployeeData[[#This Row],[MonthlyIncome]]&lt;12000,"9K-12K","12K+"))))</f>
        <v>3K-6K</v>
      </c>
    </row>
    <row r="510" spans="1:37" x14ac:dyDescent="0.3">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c r="AJ510" s="4" t="str">
        <f>IF(EmployeeData[[#This Row],[Age]]&lt;25,"Under 25",IF(EmployeeData[[#This Row],[Age]]&lt;35,"25-34",IF(EmployeeData[[#This Row],[Age]]&lt;45,"35-44",IF(EmployeeData[[#This Row],[Age]]&lt;55,"45-54","55+"))))</f>
        <v>35-44</v>
      </c>
      <c r="AK510" s="4" t="str">
        <f>IF(EmployeeData[[#This Row],[MonthlyIncome]]&lt;3000,"Below 3K",IF(EmployeeData[[#This Row],[MonthlyIncome]]&lt;6000,"3K-6K",IF(EmployeeData[[#This Row],[MonthlyIncome]]&lt;9000,"6K-9K",IF(EmployeeData[[#This Row],[MonthlyIncome]]&lt;12000,"9K-12K","12K+"))))</f>
        <v>6K-9K</v>
      </c>
    </row>
    <row r="511" spans="1:37" x14ac:dyDescent="0.3">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c r="AJ511" s="4" t="str">
        <f>IF(EmployeeData[[#This Row],[Age]]&lt;25,"Under 25",IF(EmployeeData[[#This Row],[Age]]&lt;35,"25-34",IF(EmployeeData[[#This Row],[Age]]&lt;45,"35-44",IF(EmployeeData[[#This Row],[Age]]&lt;55,"45-54","55+"))))</f>
        <v>25-34</v>
      </c>
      <c r="AK511" s="4" t="str">
        <f>IF(EmployeeData[[#This Row],[MonthlyIncome]]&lt;3000,"Below 3K",IF(EmployeeData[[#This Row],[MonthlyIncome]]&lt;6000,"3K-6K",IF(EmployeeData[[#This Row],[MonthlyIncome]]&lt;9000,"6K-9K",IF(EmployeeData[[#This Row],[MonthlyIncome]]&lt;12000,"9K-12K","12K+"))))</f>
        <v>6K-9K</v>
      </c>
    </row>
    <row r="512" spans="1:37" x14ac:dyDescent="0.3">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c r="AJ512" s="4" t="str">
        <f>IF(EmployeeData[[#This Row],[Age]]&lt;25,"Under 25",IF(EmployeeData[[#This Row],[Age]]&lt;35,"25-34",IF(EmployeeData[[#This Row],[Age]]&lt;45,"35-44",IF(EmployeeData[[#This Row],[Age]]&lt;55,"45-54","55+"))))</f>
        <v>45-54</v>
      </c>
      <c r="AK512" s="4" t="str">
        <f>IF(EmployeeData[[#This Row],[MonthlyIncome]]&lt;3000,"Below 3K",IF(EmployeeData[[#This Row],[MonthlyIncome]]&lt;6000,"3K-6K",IF(EmployeeData[[#This Row],[MonthlyIncome]]&lt;9000,"6K-9K",IF(EmployeeData[[#This Row],[MonthlyIncome]]&lt;12000,"9K-12K","12K+"))))</f>
        <v>9K-12K</v>
      </c>
    </row>
    <row r="513" spans="1:37" x14ac:dyDescent="0.3">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c r="AJ513" s="4" t="str">
        <f>IF(EmployeeData[[#This Row],[Age]]&lt;25,"Under 25",IF(EmployeeData[[#This Row],[Age]]&lt;35,"25-34",IF(EmployeeData[[#This Row],[Age]]&lt;45,"35-44",IF(EmployeeData[[#This Row],[Age]]&lt;55,"45-54","55+"))))</f>
        <v>35-44</v>
      </c>
      <c r="AK513" s="4" t="str">
        <f>IF(EmployeeData[[#This Row],[MonthlyIncome]]&lt;3000,"Below 3K",IF(EmployeeData[[#This Row],[MonthlyIncome]]&lt;6000,"3K-6K",IF(EmployeeData[[#This Row],[MonthlyIncome]]&lt;9000,"6K-9K",IF(EmployeeData[[#This Row],[MonthlyIncome]]&lt;12000,"9K-12K","12K+"))))</f>
        <v>6K-9K</v>
      </c>
    </row>
    <row r="514" spans="1:37" x14ac:dyDescent="0.3">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c r="AJ514" s="4" t="str">
        <f>IF(EmployeeData[[#This Row],[Age]]&lt;25,"Under 25",IF(EmployeeData[[#This Row],[Age]]&lt;35,"25-34",IF(EmployeeData[[#This Row],[Age]]&lt;45,"35-44",IF(EmployeeData[[#This Row],[Age]]&lt;55,"45-54","55+"))))</f>
        <v>25-34</v>
      </c>
      <c r="AK514" s="4" t="str">
        <f>IF(EmployeeData[[#This Row],[MonthlyIncome]]&lt;3000,"Below 3K",IF(EmployeeData[[#This Row],[MonthlyIncome]]&lt;6000,"3K-6K",IF(EmployeeData[[#This Row],[MonthlyIncome]]&lt;9000,"6K-9K",IF(EmployeeData[[#This Row],[MonthlyIncome]]&lt;12000,"9K-12K","12K+"))))</f>
        <v>Below 3K</v>
      </c>
    </row>
    <row r="515" spans="1:37" x14ac:dyDescent="0.3">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c r="AJ515" s="4" t="str">
        <f>IF(EmployeeData[[#This Row],[Age]]&lt;25,"Under 25",IF(EmployeeData[[#This Row],[Age]]&lt;35,"25-34",IF(EmployeeData[[#This Row],[Age]]&lt;45,"35-44",IF(EmployeeData[[#This Row],[Age]]&lt;55,"45-54","55+"))))</f>
        <v>Under 25</v>
      </c>
      <c r="AK515" s="4" t="str">
        <f>IF(EmployeeData[[#This Row],[MonthlyIncome]]&lt;3000,"Below 3K",IF(EmployeeData[[#This Row],[MonthlyIncome]]&lt;6000,"3K-6K",IF(EmployeeData[[#This Row],[MonthlyIncome]]&lt;9000,"6K-9K",IF(EmployeeData[[#This Row],[MonthlyIncome]]&lt;12000,"9K-12K","12K+"))))</f>
        <v>Below 3K</v>
      </c>
    </row>
    <row r="516" spans="1:37" x14ac:dyDescent="0.3">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c r="AJ516" s="4" t="str">
        <f>IF(EmployeeData[[#This Row],[Age]]&lt;25,"Under 25",IF(EmployeeData[[#This Row],[Age]]&lt;35,"25-34",IF(EmployeeData[[#This Row],[Age]]&lt;45,"35-44",IF(EmployeeData[[#This Row],[Age]]&lt;55,"45-54","55+"))))</f>
        <v>25-34</v>
      </c>
      <c r="AK516" s="4" t="str">
        <f>IF(EmployeeData[[#This Row],[MonthlyIncome]]&lt;3000,"Below 3K",IF(EmployeeData[[#This Row],[MonthlyIncome]]&lt;6000,"3K-6K",IF(EmployeeData[[#This Row],[MonthlyIncome]]&lt;9000,"6K-9K",IF(EmployeeData[[#This Row],[MonthlyIncome]]&lt;12000,"9K-12K","12K+"))))</f>
        <v>3K-6K</v>
      </c>
    </row>
    <row r="517" spans="1:37" x14ac:dyDescent="0.3">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c r="AJ517" s="4" t="str">
        <f>IF(EmployeeData[[#This Row],[Age]]&lt;25,"Under 25",IF(EmployeeData[[#This Row],[Age]]&lt;35,"25-34",IF(EmployeeData[[#This Row],[Age]]&lt;45,"35-44",IF(EmployeeData[[#This Row],[Age]]&lt;55,"45-54","55+"))))</f>
        <v>35-44</v>
      </c>
      <c r="AK517" s="4" t="str">
        <f>IF(EmployeeData[[#This Row],[MonthlyIncome]]&lt;3000,"Below 3K",IF(EmployeeData[[#This Row],[MonthlyIncome]]&lt;6000,"3K-6K",IF(EmployeeData[[#This Row],[MonthlyIncome]]&lt;9000,"6K-9K",IF(EmployeeData[[#This Row],[MonthlyIncome]]&lt;12000,"9K-12K","12K+"))))</f>
        <v>Below 3K</v>
      </c>
    </row>
    <row r="518" spans="1:37" x14ac:dyDescent="0.3">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c r="AJ518" s="4" t="str">
        <f>IF(EmployeeData[[#This Row],[Age]]&lt;25,"Under 25",IF(EmployeeData[[#This Row],[Age]]&lt;35,"25-34",IF(EmployeeData[[#This Row],[Age]]&lt;45,"35-44",IF(EmployeeData[[#This Row],[Age]]&lt;55,"45-54","55+"))))</f>
        <v>Under 25</v>
      </c>
      <c r="AK518" s="4" t="str">
        <f>IF(EmployeeData[[#This Row],[MonthlyIncome]]&lt;3000,"Below 3K",IF(EmployeeData[[#This Row],[MonthlyIncome]]&lt;6000,"3K-6K",IF(EmployeeData[[#This Row],[MonthlyIncome]]&lt;9000,"6K-9K",IF(EmployeeData[[#This Row],[MonthlyIncome]]&lt;12000,"9K-12K","12K+"))))</f>
        <v>Below 3K</v>
      </c>
    </row>
    <row r="519" spans="1:37" x14ac:dyDescent="0.3">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c r="AJ519" s="4" t="str">
        <f>IF(EmployeeData[[#This Row],[Age]]&lt;25,"Under 25",IF(EmployeeData[[#This Row],[Age]]&lt;35,"25-34",IF(EmployeeData[[#This Row],[Age]]&lt;45,"35-44",IF(EmployeeData[[#This Row],[Age]]&lt;55,"45-54","55+"))))</f>
        <v>25-34</v>
      </c>
      <c r="AK519" s="4" t="str">
        <f>IF(EmployeeData[[#This Row],[MonthlyIncome]]&lt;3000,"Below 3K",IF(EmployeeData[[#This Row],[MonthlyIncome]]&lt;6000,"3K-6K",IF(EmployeeData[[#This Row],[MonthlyIncome]]&lt;9000,"6K-9K",IF(EmployeeData[[#This Row],[MonthlyIncome]]&lt;12000,"9K-12K","12K+"))))</f>
        <v>3K-6K</v>
      </c>
    </row>
    <row r="520" spans="1:37" x14ac:dyDescent="0.3">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c r="AJ520" s="4" t="str">
        <f>IF(EmployeeData[[#This Row],[Age]]&lt;25,"Under 25",IF(EmployeeData[[#This Row],[Age]]&lt;35,"25-34",IF(EmployeeData[[#This Row],[Age]]&lt;45,"35-44",IF(EmployeeData[[#This Row],[Age]]&lt;55,"45-54","55+"))))</f>
        <v>35-44</v>
      </c>
      <c r="AK520" s="4" t="str">
        <f>IF(EmployeeData[[#This Row],[MonthlyIncome]]&lt;3000,"Below 3K",IF(EmployeeData[[#This Row],[MonthlyIncome]]&lt;6000,"3K-6K",IF(EmployeeData[[#This Row],[MonthlyIncome]]&lt;9000,"6K-9K",IF(EmployeeData[[#This Row],[MonthlyIncome]]&lt;12000,"9K-12K","12K+"))))</f>
        <v>3K-6K</v>
      </c>
    </row>
    <row r="521" spans="1:37" x14ac:dyDescent="0.3">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c r="AJ521" s="4" t="str">
        <f>IF(EmployeeData[[#This Row],[Age]]&lt;25,"Under 25",IF(EmployeeData[[#This Row],[Age]]&lt;35,"25-34",IF(EmployeeData[[#This Row],[Age]]&lt;45,"35-44",IF(EmployeeData[[#This Row],[Age]]&lt;55,"45-54","55+"))))</f>
        <v>25-34</v>
      </c>
      <c r="AK521" s="4" t="str">
        <f>IF(EmployeeData[[#This Row],[MonthlyIncome]]&lt;3000,"Below 3K",IF(EmployeeData[[#This Row],[MonthlyIncome]]&lt;6000,"3K-6K",IF(EmployeeData[[#This Row],[MonthlyIncome]]&lt;9000,"6K-9K",IF(EmployeeData[[#This Row],[MonthlyIncome]]&lt;12000,"9K-12K","12K+"))))</f>
        <v>Below 3K</v>
      </c>
    </row>
    <row r="522" spans="1:37" x14ac:dyDescent="0.3">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c r="AJ522" s="4" t="str">
        <f>IF(EmployeeData[[#This Row],[Age]]&lt;25,"Under 25",IF(EmployeeData[[#This Row],[Age]]&lt;35,"25-34",IF(EmployeeData[[#This Row],[Age]]&lt;45,"35-44",IF(EmployeeData[[#This Row],[Age]]&lt;55,"45-54","55+"))))</f>
        <v>45-54</v>
      </c>
      <c r="AK522" s="4" t="str">
        <f>IF(EmployeeData[[#This Row],[MonthlyIncome]]&lt;3000,"Below 3K",IF(EmployeeData[[#This Row],[MonthlyIncome]]&lt;6000,"3K-6K",IF(EmployeeData[[#This Row],[MonthlyIncome]]&lt;9000,"6K-9K",IF(EmployeeData[[#This Row],[MonthlyIncome]]&lt;12000,"9K-12K","12K+"))))</f>
        <v>6K-9K</v>
      </c>
    </row>
    <row r="523" spans="1:37" x14ac:dyDescent="0.3">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c r="AJ523" s="4" t="str">
        <f>IF(EmployeeData[[#This Row],[Age]]&lt;25,"Under 25",IF(EmployeeData[[#This Row],[Age]]&lt;35,"25-34",IF(EmployeeData[[#This Row],[Age]]&lt;45,"35-44",IF(EmployeeData[[#This Row],[Age]]&lt;55,"45-54","55+"))))</f>
        <v>25-34</v>
      </c>
      <c r="AK523" s="4" t="str">
        <f>IF(EmployeeData[[#This Row],[MonthlyIncome]]&lt;3000,"Below 3K",IF(EmployeeData[[#This Row],[MonthlyIncome]]&lt;6000,"3K-6K",IF(EmployeeData[[#This Row],[MonthlyIncome]]&lt;9000,"6K-9K",IF(EmployeeData[[#This Row],[MonthlyIncome]]&lt;12000,"9K-12K","12K+"))))</f>
        <v>3K-6K</v>
      </c>
    </row>
    <row r="524" spans="1:37" x14ac:dyDescent="0.3">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c r="AJ524" s="4" t="str">
        <f>IF(EmployeeData[[#This Row],[Age]]&lt;25,"Under 25",IF(EmployeeData[[#This Row],[Age]]&lt;35,"25-34",IF(EmployeeData[[#This Row],[Age]]&lt;45,"35-44",IF(EmployeeData[[#This Row],[Age]]&lt;55,"45-54","55+"))))</f>
        <v>35-44</v>
      </c>
      <c r="AK524" s="4" t="str">
        <f>IF(EmployeeData[[#This Row],[MonthlyIncome]]&lt;3000,"Below 3K",IF(EmployeeData[[#This Row],[MonthlyIncome]]&lt;6000,"3K-6K",IF(EmployeeData[[#This Row],[MonthlyIncome]]&lt;9000,"6K-9K",IF(EmployeeData[[#This Row],[MonthlyIncome]]&lt;12000,"9K-12K","12K+"))))</f>
        <v>3K-6K</v>
      </c>
    </row>
    <row r="525" spans="1:37" x14ac:dyDescent="0.3">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c r="AJ525" s="4" t="str">
        <f>IF(EmployeeData[[#This Row],[Age]]&lt;25,"Under 25",IF(EmployeeData[[#This Row],[Age]]&lt;35,"25-34",IF(EmployeeData[[#This Row],[Age]]&lt;45,"35-44",IF(EmployeeData[[#This Row],[Age]]&lt;55,"45-54","55+"))))</f>
        <v>45-54</v>
      </c>
      <c r="AK525" s="4" t="str">
        <f>IF(EmployeeData[[#This Row],[MonthlyIncome]]&lt;3000,"Below 3K",IF(EmployeeData[[#This Row],[MonthlyIncome]]&lt;6000,"3K-6K",IF(EmployeeData[[#This Row],[MonthlyIncome]]&lt;9000,"6K-9K",IF(EmployeeData[[#This Row],[MonthlyIncome]]&lt;12000,"9K-12K","12K+"))))</f>
        <v>3K-6K</v>
      </c>
    </row>
    <row r="526" spans="1:37" x14ac:dyDescent="0.3">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c r="AJ526" s="4" t="str">
        <f>IF(EmployeeData[[#This Row],[Age]]&lt;25,"Under 25",IF(EmployeeData[[#This Row],[Age]]&lt;35,"25-34",IF(EmployeeData[[#This Row],[Age]]&lt;45,"35-44",IF(EmployeeData[[#This Row],[Age]]&lt;55,"45-54","55+"))))</f>
        <v>25-34</v>
      </c>
      <c r="AK526" s="4" t="str">
        <f>IF(EmployeeData[[#This Row],[MonthlyIncome]]&lt;3000,"Below 3K",IF(EmployeeData[[#This Row],[MonthlyIncome]]&lt;6000,"3K-6K",IF(EmployeeData[[#This Row],[MonthlyIncome]]&lt;9000,"6K-9K",IF(EmployeeData[[#This Row],[MonthlyIncome]]&lt;12000,"9K-12K","12K+"))))</f>
        <v>6K-9K</v>
      </c>
    </row>
    <row r="527" spans="1:37" x14ac:dyDescent="0.3">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c r="AJ527" s="4" t="str">
        <f>IF(EmployeeData[[#This Row],[Age]]&lt;25,"Under 25",IF(EmployeeData[[#This Row],[Age]]&lt;35,"25-34",IF(EmployeeData[[#This Row],[Age]]&lt;45,"35-44",IF(EmployeeData[[#This Row],[Age]]&lt;55,"45-54","55+"))))</f>
        <v>Under 25</v>
      </c>
      <c r="AK527" s="4" t="str">
        <f>IF(EmployeeData[[#This Row],[MonthlyIncome]]&lt;3000,"Below 3K",IF(EmployeeData[[#This Row],[MonthlyIncome]]&lt;6000,"3K-6K",IF(EmployeeData[[#This Row],[MonthlyIncome]]&lt;9000,"6K-9K",IF(EmployeeData[[#This Row],[MonthlyIncome]]&lt;12000,"9K-12K","12K+"))))</f>
        <v>3K-6K</v>
      </c>
    </row>
    <row r="528" spans="1:37" x14ac:dyDescent="0.3">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c r="AJ528" s="4" t="str">
        <f>IF(EmployeeData[[#This Row],[Age]]&lt;25,"Under 25",IF(EmployeeData[[#This Row],[Age]]&lt;35,"25-34",IF(EmployeeData[[#This Row],[Age]]&lt;45,"35-44",IF(EmployeeData[[#This Row],[Age]]&lt;55,"45-54","55+"))))</f>
        <v>35-44</v>
      </c>
      <c r="AK528" s="4" t="str">
        <f>IF(EmployeeData[[#This Row],[MonthlyIncome]]&lt;3000,"Below 3K",IF(EmployeeData[[#This Row],[MonthlyIncome]]&lt;6000,"3K-6K",IF(EmployeeData[[#This Row],[MonthlyIncome]]&lt;9000,"6K-9K",IF(EmployeeData[[#This Row],[MonthlyIncome]]&lt;12000,"9K-12K","12K+"))))</f>
        <v>3K-6K</v>
      </c>
    </row>
    <row r="529" spans="1:37" x14ac:dyDescent="0.3">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c r="AJ529" s="4" t="str">
        <f>IF(EmployeeData[[#This Row],[Age]]&lt;25,"Under 25",IF(EmployeeData[[#This Row],[Age]]&lt;35,"25-34",IF(EmployeeData[[#This Row],[Age]]&lt;45,"35-44",IF(EmployeeData[[#This Row],[Age]]&lt;55,"45-54","55+"))))</f>
        <v>25-34</v>
      </c>
      <c r="AK529" s="4" t="str">
        <f>IF(EmployeeData[[#This Row],[MonthlyIncome]]&lt;3000,"Below 3K",IF(EmployeeData[[#This Row],[MonthlyIncome]]&lt;6000,"3K-6K",IF(EmployeeData[[#This Row],[MonthlyIncome]]&lt;9000,"6K-9K",IF(EmployeeData[[#This Row],[MonthlyIncome]]&lt;12000,"9K-12K","12K+"))))</f>
        <v>3K-6K</v>
      </c>
    </row>
    <row r="530" spans="1:37" x14ac:dyDescent="0.3">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c r="AJ530" s="4" t="str">
        <f>IF(EmployeeData[[#This Row],[Age]]&lt;25,"Under 25",IF(EmployeeData[[#This Row],[Age]]&lt;35,"25-34",IF(EmployeeData[[#This Row],[Age]]&lt;45,"35-44",IF(EmployeeData[[#This Row],[Age]]&lt;55,"45-54","55+"))))</f>
        <v>45-54</v>
      </c>
      <c r="AK530" s="4" t="str">
        <f>IF(EmployeeData[[#This Row],[MonthlyIncome]]&lt;3000,"Below 3K",IF(EmployeeData[[#This Row],[MonthlyIncome]]&lt;6000,"3K-6K",IF(EmployeeData[[#This Row],[MonthlyIncome]]&lt;9000,"6K-9K",IF(EmployeeData[[#This Row],[MonthlyIncome]]&lt;12000,"9K-12K","12K+"))))</f>
        <v>6K-9K</v>
      </c>
    </row>
    <row r="531" spans="1:37" x14ac:dyDescent="0.3">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c r="AJ531" s="4" t="str">
        <f>IF(EmployeeData[[#This Row],[Age]]&lt;25,"Under 25",IF(EmployeeData[[#This Row],[Age]]&lt;35,"25-34",IF(EmployeeData[[#This Row],[Age]]&lt;45,"35-44",IF(EmployeeData[[#This Row],[Age]]&lt;55,"45-54","55+"))))</f>
        <v>35-44</v>
      </c>
      <c r="AK531" s="4" t="str">
        <f>IF(EmployeeData[[#This Row],[MonthlyIncome]]&lt;3000,"Below 3K",IF(EmployeeData[[#This Row],[MonthlyIncome]]&lt;6000,"3K-6K",IF(EmployeeData[[#This Row],[MonthlyIncome]]&lt;9000,"6K-9K",IF(EmployeeData[[#This Row],[MonthlyIncome]]&lt;12000,"9K-12K","12K+"))))</f>
        <v>6K-9K</v>
      </c>
    </row>
    <row r="532" spans="1:37" x14ac:dyDescent="0.3">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c r="AJ532" s="4" t="str">
        <f>IF(EmployeeData[[#This Row],[Age]]&lt;25,"Under 25",IF(EmployeeData[[#This Row],[Age]]&lt;35,"25-34",IF(EmployeeData[[#This Row],[Age]]&lt;45,"35-44",IF(EmployeeData[[#This Row],[Age]]&lt;55,"45-54","55+"))))</f>
        <v>25-34</v>
      </c>
      <c r="AK532" s="4" t="str">
        <f>IF(EmployeeData[[#This Row],[MonthlyIncome]]&lt;3000,"Below 3K",IF(EmployeeData[[#This Row],[MonthlyIncome]]&lt;6000,"3K-6K",IF(EmployeeData[[#This Row],[MonthlyIncome]]&lt;9000,"6K-9K",IF(EmployeeData[[#This Row],[MonthlyIncome]]&lt;12000,"9K-12K","12K+"))))</f>
        <v>6K-9K</v>
      </c>
    </row>
    <row r="533" spans="1:37" x14ac:dyDescent="0.3">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c r="AJ533" s="4" t="str">
        <f>IF(EmployeeData[[#This Row],[Age]]&lt;25,"Under 25",IF(EmployeeData[[#This Row],[Age]]&lt;35,"25-34",IF(EmployeeData[[#This Row],[Age]]&lt;45,"35-44",IF(EmployeeData[[#This Row],[Age]]&lt;55,"45-54","55+"))))</f>
        <v>25-34</v>
      </c>
      <c r="AK533" s="4" t="str">
        <f>IF(EmployeeData[[#This Row],[MonthlyIncome]]&lt;3000,"Below 3K",IF(EmployeeData[[#This Row],[MonthlyIncome]]&lt;6000,"3K-6K",IF(EmployeeData[[#This Row],[MonthlyIncome]]&lt;9000,"6K-9K",IF(EmployeeData[[#This Row],[MonthlyIncome]]&lt;12000,"9K-12K","12K+"))))</f>
        <v>9K-12K</v>
      </c>
    </row>
    <row r="534" spans="1:37" x14ac:dyDescent="0.3">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c r="AJ534" s="4" t="str">
        <f>IF(EmployeeData[[#This Row],[Age]]&lt;25,"Under 25",IF(EmployeeData[[#This Row],[Age]]&lt;35,"25-34",IF(EmployeeData[[#This Row],[Age]]&lt;45,"35-44",IF(EmployeeData[[#This Row],[Age]]&lt;55,"45-54","55+"))))</f>
        <v>45-54</v>
      </c>
      <c r="AK534" s="4" t="str">
        <f>IF(EmployeeData[[#This Row],[MonthlyIncome]]&lt;3000,"Below 3K",IF(EmployeeData[[#This Row],[MonthlyIncome]]&lt;6000,"3K-6K",IF(EmployeeData[[#This Row],[MonthlyIncome]]&lt;9000,"6K-9K",IF(EmployeeData[[#This Row],[MonthlyIncome]]&lt;12000,"9K-12K","12K+"))))</f>
        <v>3K-6K</v>
      </c>
    </row>
    <row r="535" spans="1:37" x14ac:dyDescent="0.3">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c r="AJ535" s="4" t="str">
        <f>IF(EmployeeData[[#This Row],[Age]]&lt;25,"Under 25",IF(EmployeeData[[#This Row],[Age]]&lt;35,"25-34",IF(EmployeeData[[#This Row],[Age]]&lt;45,"35-44",IF(EmployeeData[[#This Row],[Age]]&lt;55,"45-54","55+"))))</f>
        <v>35-44</v>
      </c>
      <c r="AK535" s="4" t="str">
        <f>IF(EmployeeData[[#This Row],[MonthlyIncome]]&lt;3000,"Below 3K",IF(EmployeeData[[#This Row],[MonthlyIncome]]&lt;6000,"3K-6K",IF(EmployeeData[[#This Row],[MonthlyIncome]]&lt;9000,"6K-9K",IF(EmployeeData[[#This Row],[MonthlyIncome]]&lt;12000,"9K-12K","12K+"))))</f>
        <v>9K-12K</v>
      </c>
    </row>
    <row r="536" spans="1:37" x14ac:dyDescent="0.3">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c r="AJ536" s="4" t="str">
        <f>IF(EmployeeData[[#This Row],[Age]]&lt;25,"Under 25",IF(EmployeeData[[#This Row],[Age]]&lt;35,"25-34",IF(EmployeeData[[#This Row],[Age]]&lt;45,"35-44",IF(EmployeeData[[#This Row],[Age]]&lt;55,"45-54","55+"))))</f>
        <v>45-54</v>
      </c>
      <c r="AK536" s="4" t="str">
        <f>IF(EmployeeData[[#This Row],[MonthlyIncome]]&lt;3000,"Below 3K",IF(EmployeeData[[#This Row],[MonthlyIncome]]&lt;6000,"3K-6K",IF(EmployeeData[[#This Row],[MonthlyIncome]]&lt;9000,"6K-9K",IF(EmployeeData[[#This Row],[MonthlyIncome]]&lt;12000,"9K-12K","12K+"))))</f>
        <v>12K+</v>
      </c>
    </row>
    <row r="537" spans="1:37" x14ac:dyDescent="0.3">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c r="AJ537" s="4" t="str">
        <f>IF(EmployeeData[[#This Row],[Age]]&lt;25,"Under 25",IF(EmployeeData[[#This Row],[Age]]&lt;35,"25-34",IF(EmployeeData[[#This Row],[Age]]&lt;45,"35-44",IF(EmployeeData[[#This Row],[Age]]&lt;55,"45-54","55+"))))</f>
        <v>35-44</v>
      </c>
      <c r="AK537" s="4" t="str">
        <f>IF(EmployeeData[[#This Row],[MonthlyIncome]]&lt;3000,"Below 3K",IF(EmployeeData[[#This Row],[MonthlyIncome]]&lt;6000,"3K-6K",IF(EmployeeData[[#This Row],[MonthlyIncome]]&lt;9000,"6K-9K",IF(EmployeeData[[#This Row],[MonthlyIncome]]&lt;12000,"9K-12K","12K+"))))</f>
        <v>12K+</v>
      </c>
    </row>
    <row r="538" spans="1:37" x14ac:dyDescent="0.3">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c r="AJ538" s="4" t="str">
        <f>IF(EmployeeData[[#This Row],[Age]]&lt;25,"Under 25",IF(EmployeeData[[#This Row],[Age]]&lt;35,"25-34",IF(EmployeeData[[#This Row],[Age]]&lt;45,"35-44",IF(EmployeeData[[#This Row],[Age]]&lt;55,"45-54","55+"))))</f>
        <v>55+</v>
      </c>
      <c r="AK538" s="4" t="str">
        <f>IF(EmployeeData[[#This Row],[MonthlyIncome]]&lt;3000,"Below 3K",IF(EmployeeData[[#This Row],[MonthlyIncome]]&lt;6000,"3K-6K",IF(EmployeeData[[#This Row],[MonthlyIncome]]&lt;9000,"6K-9K",IF(EmployeeData[[#This Row],[MonthlyIncome]]&lt;12000,"9K-12K","12K+"))))</f>
        <v>3K-6K</v>
      </c>
    </row>
    <row r="539" spans="1:37" x14ac:dyDescent="0.3">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c r="AJ539" s="4" t="str">
        <f>IF(EmployeeData[[#This Row],[Age]]&lt;25,"Under 25",IF(EmployeeData[[#This Row],[Age]]&lt;35,"25-34",IF(EmployeeData[[#This Row],[Age]]&lt;45,"35-44",IF(EmployeeData[[#This Row],[Age]]&lt;55,"45-54","55+"))))</f>
        <v>25-34</v>
      </c>
      <c r="AK539" s="4" t="str">
        <f>IF(EmployeeData[[#This Row],[MonthlyIncome]]&lt;3000,"Below 3K",IF(EmployeeData[[#This Row],[MonthlyIncome]]&lt;6000,"3K-6K",IF(EmployeeData[[#This Row],[MonthlyIncome]]&lt;9000,"6K-9K",IF(EmployeeData[[#This Row],[MonthlyIncome]]&lt;12000,"9K-12K","12K+"))))</f>
        <v>6K-9K</v>
      </c>
    </row>
    <row r="540" spans="1:37" x14ac:dyDescent="0.3">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c r="AJ540" s="4" t="str">
        <f>IF(EmployeeData[[#This Row],[Age]]&lt;25,"Under 25",IF(EmployeeData[[#This Row],[Age]]&lt;35,"25-34",IF(EmployeeData[[#This Row],[Age]]&lt;45,"35-44",IF(EmployeeData[[#This Row],[Age]]&lt;55,"45-54","55+"))))</f>
        <v>35-44</v>
      </c>
      <c r="AK540" s="4" t="str">
        <f>IF(EmployeeData[[#This Row],[MonthlyIncome]]&lt;3000,"Below 3K",IF(EmployeeData[[#This Row],[MonthlyIncome]]&lt;6000,"3K-6K",IF(EmployeeData[[#This Row],[MonthlyIncome]]&lt;9000,"6K-9K",IF(EmployeeData[[#This Row],[MonthlyIncome]]&lt;12000,"9K-12K","12K+"))))</f>
        <v>12K+</v>
      </c>
    </row>
    <row r="541" spans="1:37" x14ac:dyDescent="0.3">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c r="AJ541" s="4" t="str">
        <f>IF(EmployeeData[[#This Row],[Age]]&lt;25,"Under 25",IF(EmployeeData[[#This Row],[Age]]&lt;35,"25-34",IF(EmployeeData[[#This Row],[Age]]&lt;45,"35-44",IF(EmployeeData[[#This Row],[Age]]&lt;55,"45-54","55+"))))</f>
        <v>45-54</v>
      </c>
      <c r="AK541" s="4" t="str">
        <f>IF(EmployeeData[[#This Row],[MonthlyIncome]]&lt;3000,"Below 3K",IF(EmployeeData[[#This Row],[MonthlyIncome]]&lt;6000,"3K-6K",IF(EmployeeData[[#This Row],[MonthlyIncome]]&lt;9000,"6K-9K",IF(EmployeeData[[#This Row],[MonthlyIncome]]&lt;12000,"9K-12K","12K+"))))</f>
        <v>3K-6K</v>
      </c>
    </row>
    <row r="542" spans="1:37" x14ac:dyDescent="0.3">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c r="AJ542" s="4" t="str">
        <f>IF(EmployeeData[[#This Row],[Age]]&lt;25,"Under 25",IF(EmployeeData[[#This Row],[Age]]&lt;35,"25-34",IF(EmployeeData[[#This Row],[Age]]&lt;45,"35-44",IF(EmployeeData[[#This Row],[Age]]&lt;55,"45-54","55+"))))</f>
        <v>25-34</v>
      </c>
      <c r="AK542" s="4" t="str">
        <f>IF(EmployeeData[[#This Row],[MonthlyIncome]]&lt;3000,"Below 3K",IF(EmployeeData[[#This Row],[MonthlyIncome]]&lt;6000,"3K-6K",IF(EmployeeData[[#This Row],[MonthlyIncome]]&lt;9000,"6K-9K",IF(EmployeeData[[#This Row],[MonthlyIncome]]&lt;12000,"9K-12K","12K+"))))</f>
        <v>Below 3K</v>
      </c>
    </row>
    <row r="543" spans="1:37" x14ac:dyDescent="0.3">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c r="AJ543" s="4" t="str">
        <f>IF(EmployeeData[[#This Row],[Age]]&lt;25,"Under 25",IF(EmployeeData[[#This Row],[Age]]&lt;35,"25-34",IF(EmployeeData[[#This Row],[Age]]&lt;45,"35-44",IF(EmployeeData[[#This Row],[Age]]&lt;55,"45-54","55+"))))</f>
        <v>35-44</v>
      </c>
      <c r="AK543" s="4" t="str">
        <f>IF(EmployeeData[[#This Row],[MonthlyIncome]]&lt;3000,"Below 3K",IF(EmployeeData[[#This Row],[MonthlyIncome]]&lt;6000,"3K-6K",IF(EmployeeData[[#This Row],[MonthlyIncome]]&lt;9000,"6K-9K",IF(EmployeeData[[#This Row],[MonthlyIncome]]&lt;12000,"9K-12K","12K+"))))</f>
        <v>9K-12K</v>
      </c>
    </row>
    <row r="544" spans="1:37" x14ac:dyDescent="0.3">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c r="AJ544" s="4" t="str">
        <f>IF(EmployeeData[[#This Row],[Age]]&lt;25,"Under 25",IF(EmployeeData[[#This Row],[Age]]&lt;35,"25-34",IF(EmployeeData[[#This Row],[Age]]&lt;45,"35-44",IF(EmployeeData[[#This Row],[Age]]&lt;55,"45-54","55+"))))</f>
        <v>35-44</v>
      </c>
      <c r="AK544" s="4" t="str">
        <f>IF(EmployeeData[[#This Row],[MonthlyIncome]]&lt;3000,"Below 3K",IF(EmployeeData[[#This Row],[MonthlyIncome]]&lt;6000,"3K-6K",IF(EmployeeData[[#This Row],[MonthlyIncome]]&lt;9000,"6K-9K",IF(EmployeeData[[#This Row],[MonthlyIncome]]&lt;12000,"9K-12K","12K+"))))</f>
        <v>6K-9K</v>
      </c>
    </row>
    <row r="545" spans="1:37" x14ac:dyDescent="0.3">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c r="AJ545" s="4" t="str">
        <f>IF(EmployeeData[[#This Row],[Age]]&lt;25,"Under 25",IF(EmployeeData[[#This Row],[Age]]&lt;35,"25-34",IF(EmployeeData[[#This Row],[Age]]&lt;45,"35-44",IF(EmployeeData[[#This Row],[Age]]&lt;55,"45-54","55+"))))</f>
        <v>35-44</v>
      </c>
      <c r="AK545" s="4" t="str">
        <f>IF(EmployeeData[[#This Row],[MonthlyIncome]]&lt;3000,"Below 3K",IF(EmployeeData[[#This Row],[MonthlyIncome]]&lt;6000,"3K-6K",IF(EmployeeData[[#This Row],[MonthlyIncome]]&lt;9000,"6K-9K",IF(EmployeeData[[#This Row],[MonthlyIncome]]&lt;12000,"9K-12K","12K+"))))</f>
        <v>3K-6K</v>
      </c>
    </row>
    <row r="546" spans="1:37" x14ac:dyDescent="0.3">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c r="AJ546" s="4" t="str">
        <f>IF(EmployeeData[[#This Row],[Age]]&lt;25,"Under 25",IF(EmployeeData[[#This Row],[Age]]&lt;35,"25-34",IF(EmployeeData[[#This Row],[Age]]&lt;45,"35-44",IF(EmployeeData[[#This Row],[Age]]&lt;55,"45-54","55+"))))</f>
        <v>45-54</v>
      </c>
      <c r="AK546" s="4" t="str">
        <f>IF(EmployeeData[[#This Row],[MonthlyIncome]]&lt;3000,"Below 3K",IF(EmployeeData[[#This Row],[MonthlyIncome]]&lt;6000,"3K-6K",IF(EmployeeData[[#This Row],[MonthlyIncome]]&lt;9000,"6K-9K",IF(EmployeeData[[#This Row],[MonthlyIncome]]&lt;12000,"9K-12K","12K+"))))</f>
        <v>12K+</v>
      </c>
    </row>
    <row r="547" spans="1:37" x14ac:dyDescent="0.3">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c r="AJ547" s="4" t="str">
        <f>IF(EmployeeData[[#This Row],[Age]]&lt;25,"Under 25",IF(EmployeeData[[#This Row],[Age]]&lt;35,"25-34",IF(EmployeeData[[#This Row],[Age]]&lt;45,"35-44",IF(EmployeeData[[#This Row],[Age]]&lt;55,"45-54","55+"))))</f>
        <v>25-34</v>
      </c>
      <c r="AK547" s="4" t="str">
        <f>IF(EmployeeData[[#This Row],[MonthlyIncome]]&lt;3000,"Below 3K",IF(EmployeeData[[#This Row],[MonthlyIncome]]&lt;6000,"3K-6K",IF(EmployeeData[[#This Row],[MonthlyIncome]]&lt;9000,"6K-9K",IF(EmployeeData[[#This Row],[MonthlyIncome]]&lt;12000,"9K-12K","12K+"))))</f>
        <v>3K-6K</v>
      </c>
    </row>
    <row r="548" spans="1:37" x14ac:dyDescent="0.3">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c r="AJ548" s="4" t="str">
        <f>IF(EmployeeData[[#This Row],[Age]]&lt;25,"Under 25",IF(EmployeeData[[#This Row],[Age]]&lt;35,"25-34",IF(EmployeeData[[#This Row],[Age]]&lt;45,"35-44",IF(EmployeeData[[#This Row],[Age]]&lt;55,"45-54","55+"))))</f>
        <v>25-34</v>
      </c>
      <c r="AK548" s="4" t="str">
        <f>IF(EmployeeData[[#This Row],[MonthlyIncome]]&lt;3000,"Below 3K",IF(EmployeeData[[#This Row],[MonthlyIncome]]&lt;6000,"3K-6K",IF(EmployeeData[[#This Row],[MonthlyIncome]]&lt;9000,"6K-9K",IF(EmployeeData[[#This Row],[MonthlyIncome]]&lt;12000,"9K-12K","12K+"))))</f>
        <v>Below 3K</v>
      </c>
    </row>
    <row r="549" spans="1:37" x14ac:dyDescent="0.3">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c r="AJ549" s="4" t="str">
        <f>IF(EmployeeData[[#This Row],[Age]]&lt;25,"Under 25",IF(EmployeeData[[#This Row],[Age]]&lt;35,"25-34",IF(EmployeeData[[#This Row],[Age]]&lt;45,"35-44",IF(EmployeeData[[#This Row],[Age]]&lt;55,"45-54","55+"))))</f>
        <v>35-44</v>
      </c>
      <c r="AK549" s="4" t="str">
        <f>IF(EmployeeData[[#This Row],[MonthlyIncome]]&lt;3000,"Below 3K",IF(EmployeeData[[#This Row],[MonthlyIncome]]&lt;6000,"3K-6K",IF(EmployeeData[[#This Row],[MonthlyIncome]]&lt;9000,"6K-9K",IF(EmployeeData[[#This Row],[MonthlyIncome]]&lt;12000,"9K-12K","12K+"))))</f>
        <v>Below 3K</v>
      </c>
    </row>
    <row r="550" spans="1:37" x14ac:dyDescent="0.3">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c r="AJ550" s="4" t="str">
        <f>IF(EmployeeData[[#This Row],[Age]]&lt;25,"Under 25",IF(EmployeeData[[#This Row],[Age]]&lt;35,"25-34",IF(EmployeeData[[#This Row],[Age]]&lt;45,"35-44",IF(EmployeeData[[#This Row],[Age]]&lt;55,"45-54","55+"))))</f>
        <v>35-44</v>
      </c>
      <c r="AK550" s="4" t="str">
        <f>IF(EmployeeData[[#This Row],[MonthlyIncome]]&lt;3000,"Below 3K",IF(EmployeeData[[#This Row],[MonthlyIncome]]&lt;6000,"3K-6K",IF(EmployeeData[[#This Row],[MonthlyIncome]]&lt;9000,"6K-9K",IF(EmployeeData[[#This Row],[MonthlyIncome]]&lt;12000,"9K-12K","12K+"))))</f>
        <v>6K-9K</v>
      </c>
    </row>
    <row r="551" spans="1:37" x14ac:dyDescent="0.3">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c r="AJ551" s="4" t="str">
        <f>IF(EmployeeData[[#This Row],[Age]]&lt;25,"Under 25",IF(EmployeeData[[#This Row],[Age]]&lt;35,"25-34",IF(EmployeeData[[#This Row],[Age]]&lt;45,"35-44",IF(EmployeeData[[#This Row],[Age]]&lt;55,"45-54","55+"))))</f>
        <v>25-34</v>
      </c>
      <c r="AK551" s="4" t="str">
        <f>IF(EmployeeData[[#This Row],[MonthlyIncome]]&lt;3000,"Below 3K",IF(EmployeeData[[#This Row],[MonthlyIncome]]&lt;6000,"3K-6K",IF(EmployeeData[[#This Row],[MonthlyIncome]]&lt;9000,"6K-9K",IF(EmployeeData[[#This Row],[MonthlyIncome]]&lt;12000,"9K-12K","12K+"))))</f>
        <v>6K-9K</v>
      </c>
    </row>
    <row r="552" spans="1:37" x14ac:dyDescent="0.3">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c r="AJ552" s="4" t="str">
        <f>IF(EmployeeData[[#This Row],[Age]]&lt;25,"Under 25",IF(EmployeeData[[#This Row],[Age]]&lt;35,"25-34",IF(EmployeeData[[#This Row],[Age]]&lt;45,"35-44",IF(EmployeeData[[#This Row],[Age]]&lt;55,"45-54","55+"))))</f>
        <v>Under 25</v>
      </c>
      <c r="AK552" s="4" t="str">
        <f>IF(EmployeeData[[#This Row],[MonthlyIncome]]&lt;3000,"Below 3K",IF(EmployeeData[[#This Row],[MonthlyIncome]]&lt;6000,"3K-6K",IF(EmployeeData[[#This Row],[MonthlyIncome]]&lt;9000,"6K-9K",IF(EmployeeData[[#This Row],[MonthlyIncome]]&lt;12000,"9K-12K","12K+"))))</f>
        <v>Below 3K</v>
      </c>
    </row>
    <row r="553" spans="1:37" x14ac:dyDescent="0.3">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c r="AJ553" s="4" t="str">
        <f>IF(EmployeeData[[#This Row],[Age]]&lt;25,"Under 25",IF(EmployeeData[[#This Row],[Age]]&lt;35,"25-34",IF(EmployeeData[[#This Row],[Age]]&lt;45,"35-44",IF(EmployeeData[[#This Row],[Age]]&lt;55,"45-54","55+"))))</f>
        <v>35-44</v>
      </c>
      <c r="AK553" s="4" t="str">
        <f>IF(EmployeeData[[#This Row],[MonthlyIncome]]&lt;3000,"Below 3K",IF(EmployeeData[[#This Row],[MonthlyIncome]]&lt;6000,"3K-6K",IF(EmployeeData[[#This Row],[MonthlyIncome]]&lt;9000,"6K-9K",IF(EmployeeData[[#This Row],[MonthlyIncome]]&lt;12000,"9K-12K","12K+"))))</f>
        <v>6K-9K</v>
      </c>
    </row>
    <row r="554" spans="1:37" x14ac:dyDescent="0.3">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c r="AJ554" s="4" t="str">
        <f>IF(EmployeeData[[#This Row],[Age]]&lt;25,"Under 25",IF(EmployeeData[[#This Row],[Age]]&lt;35,"25-34",IF(EmployeeData[[#This Row],[Age]]&lt;45,"35-44",IF(EmployeeData[[#This Row],[Age]]&lt;55,"45-54","55+"))))</f>
        <v>55+</v>
      </c>
      <c r="AK554" s="4" t="str">
        <f>IF(EmployeeData[[#This Row],[MonthlyIncome]]&lt;3000,"Below 3K",IF(EmployeeData[[#This Row],[MonthlyIncome]]&lt;6000,"3K-6K",IF(EmployeeData[[#This Row],[MonthlyIncome]]&lt;9000,"6K-9K",IF(EmployeeData[[#This Row],[MonthlyIncome]]&lt;12000,"9K-12K","12K+"))))</f>
        <v>9K-12K</v>
      </c>
    </row>
    <row r="555" spans="1:37" x14ac:dyDescent="0.3">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c r="AJ555" s="4" t="str">
        <f>IF(EmployeeData[[#This Row],[Age]]&lt;25,"Under 25",IF(EmployeeData[[#This Row],[Age]]&lt;35,"25-34",IF(EmployeeData[[#This Row],[Age]]&lt;45,"35-44",IF(EmployeeData[[#This Row],[Age]]&lt;55,"45-54","55+"))))</f>
        <v>35-44</v>
      </c>
      <c r="AK555" s="4" t="str">
        <f>IF(EmployeeData[[#This Row],[MonthlyIncome]]&lt;3000,"Below 3K",IF(EmployeeData[[#This Row],[MonthlyIncome]]&lt;6000,"3K-6K",IF(EmployeeData[[#This Row],[MonthlyIncome]]&lt;9000,"6K-9K",IF(EmployeeData[[#This Row],[MonthlyIncome]]&lt;12000,"9K-12K","12K+"))))</f>
        <v>Below 3K</v>
      </c>
    </row>
    <row r="556" spans="1:37" x14ac:dyDescent="0.3">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c r="AJ556" s="4" t="str">
        <f>IF(EmployeeData[[#This Row],[Age]]&lt;25,"Under 25",IF(EmployeeData[[#This Row],[Age]]&lt;35,"25-34",IF(EmployeeData[[#This Row],[Age]]&lt;45,"35-44",IF(EmployeeData[[#This Row],[Age]]&lt;55,"45-54","55+"))))</f>
        <v>25-34</v>
      </c>
      <c r="AK556" s="4" t="str">
        <f>IF(EmployeeData[[#This Row],[MonthlyIncome]]&lt;3000,"Below 3K",IF(EmployeeData[[#This Row],[MonthlyIncome]]&lt;6000,"3K-6K",IF(EmployeeData[[#This Row],[MonthlyIncome]]&lt;9000,"6K-9K",IF(EmployeeData[[#This Row],[MonthlyIncome]]&lt;12000,"9K-12K","12K+"))))</f>
        <v>6K-9K</v>
      </c>
    </row>
    <row r="557" spans="1:37" x14ac:dyDescent="0.3">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c r="AJ557" s="4" t="str">
        <f>IF(EmployeeData[[#This Row],[Age]]&lt;25,"Under 25",IF(EmployeeData[[#This Row],[Age]]&lt;35,"25-34",IF(EmployeeData[[#This Row],[Age]]&lt;45,"35-44",IF(EmployeeData[[#This Row],[Age]]&lt;55,"45-54","55+"))))</f>
        <v>25-34</v>
      </c>
      <c r="AK557" s="4" t="str">
        <f>IF(EmployeeData[[#This Row],[MonthlyIncome]]&lt;3000,"Below 3K",IF(EmployeeData[[#This Row],[MonthlyIncome]]&lt;6000,"3K-6K",IF(EmployeeData[[#This Row],[MonthlyIncome]]&lt;9000,"6K-9K",IF(EmployeeData[[#This Row],[MonthlyIncome]]&lt;12000,"9K-12K","12K+"))))</f>
        <v>Below 3K</v>
      </c>
    </row>
    <row r="558" spans="1:37" x14ac:dyDescent="0.3">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c r="AJ558" s="4" t="str">
        <f>IF(EmployeeData[[#This Row],[Age]]&lt;25,"Under 25",IF(EmployeeData[[#This Row],[Age]]&lt;35,"25-34",IF(EmployeeData[[#This Row],[Age]]&lt;45,"35-44",IF(EmployeeData[[#This Row],[Age]]&lt;55,"45-54","55+"))))</f>
        <v>45-54</v>
      </c>
      <c r="AK558" s="4" t="str">
        <f>IF(EmployeeData[[#This Row],[MonthlyIncome]]&lt;3000,"Below 3K",IF(EmployeeData[[#This Row],[MonthlyIncome]]&lt;6000,"3K-6K",IF(EmployeeData[[#This Row],[MonthlyIncome]]&lt;9000,"6K-9K",IF(EmployeeData[[#This Row],[MonthlyIncome]]&lt;12000,"9K-12K","12K+"))))</f>
        <v>Below 3K</v>
      </c>
    </row>
    <row r="559" spans="1:37" x14ac:dyDescent="0.3">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c r="AJ559" s="4" t="str">
        <f>IF(EmployeeData[[#This Row],[Age]]&lt;25,"Under 25",IF(EmployeeData[[#This Row],[Age]]&lt;35,"25-34",IF(EmployeeData[[#This Row],[Age]]&lt;45,"35-44",IF(EmployeeData[[#This Row],[Age]]&lt;55,"45-54","55+"))))</f>
        <v>35-44</v>
      </c>
      <c r="AK559" s="4" t="str">
        <f>IF(EmployeeData[[#This Row],[MonthlyIncome]]&lt;3000,"Below 3K",IF(EmployeeData[[#This Row],[MonthlyIncome]]&lt;6000,"3K-6K",IF(EmployeeData[[#This Row],[MonthlyIncome]]&lt;9000,"6K-9K",IF(EmployeeData[[#This Row],[MonthlyIncome]]&lt;12000,"9K-12K","12K+"))))</f>
        <v>3K-6K</v>
      </c>
    </row>
    <row r="560" spans="1:37" x14ac:dyDescent="0.3">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c r="AJ560" s="4" t="str">
        <f>IF(EmployeeData[[#This Row],[Age]]&lt;25,"Under 25",IF(EmployeeData[[#This Row],[Age]]&lt;35,"25-34",IF(EmployeeData[[#This Row],[Age]]&lt;45,"35-44",IF(EmployeeData[[#This Row],[Age]]&lt;55,"45-54","55+"))))</f>
        <v>25-34</v>
      </c>
      <c r="AK560" s="4" t="str">
        <f>IF(EmployeeData[[#This Row],[MonthlyIncome]]&lt;3000,"Below 3K",IF(EmployeeData[[#This Row],[MonthlyIncome]]&lt;6000,"3K-6K",IF(EmployeeData[[#This Row],[MonthlyIncome]]&lt;9000,"6K-9K",IF(EmployeeData[[#This Row],[MonthlyIncome]]&lt;12000,"9K-12K","12K+"))))</f>
        <v>3K-6K</v>
      </c>
    </row>
    <row r="561" spans="1:37" x14ac:dyDescent="0.3">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c r="AJ561" s="4" t="str">
        <f>IF(EmployeeData[[#This Row],[Age]]&lt;25,"Under 25",IF(EmployeeData[[#This Row],[Age]]&lt;35,"25-34",IF(EmployeeData[[#This Row],[Age]]&lt;45,"35-44",IF(EmployeeData[[#This Row],[Age]]&lt;55,"45-54","55+"))))</f>
        <v>35-44</v>
      </c>
      <c r="AK561" s="4" t="str">
        <f>IF(EmployeeData[[#This Row],[MonthlyIncome]]&lt;3000,"Below 3K",IF(EmployeeData[[#This Row],[MonthlyIncome]]&lt;6000,"3K-6K",IF(EmployeeData[[#This Row],[MonthlyIncome]]&lt;9000,"6K-9K",IF(EmployeeData[[#This Row],[MonthlyIncome]]&lt;12000,"9K-12K","12K+"))))</f>
        <v>3K-6K</v>
      </c>
    </row>
    <row r="562" spans="1:37" x14ac:dyDescent="0.3">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c r="AJ562" s="4" t="str">
        <f>IF(EmployeeData[[#This Row],[Age]]&lt;25,"Under 25",IF(EmployeeData[[#This Row],[Age]]&lt;35,"25-34",IF(EmployeeData[[#This Row],[Age]]&lt;45,"35-44",IF(EmployeeData[[#This Row],[Age]]&lt;55,"45-54","55+"))))</f>
        <v>25-34</v>
      </c>
      <c r="AK562" s="4" t="str">
        <f>IF(EmployeeData[[#This Row],[MonthlyIncome]]&lt;3000,"Below 3K",IF(EmployeeData[[#This Row],[MonthlyIncome]]&lt;6000,"3K-6K",IF(EmployeeData[[#This Row],[MonthlyIncome]]&lt;9000,"6K-9K",IF(EmployeeData[[#This Row],[MonthlyIncome]]&lt;12000,"9K-12K","12K+"))))</f>
        <v>3K-6K</v>
      </c>
    </row>
    <row r="563" spans="1:37" x14ac:dyDescent="0.3">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c r="AJ563" s="4" t="str">
        <f>IF(EmployeeData[[#This Row],[Age]]&lt;25,"Under 25",IF(EmployeeData[[#This Row],[Age]]&lt;35,"25-34",IF(EmployeeData[[#This Row],[Age]]&lt;45,"35-44",IF(EmployeeData[[#This Row],[Age]]&lt;55,"45-54","55+"))))</f>
        <v>45-54</v>
      </c>
      <c r="AK563" s="4" t="str">
        <f>IF(EmployeeData[[#This Row],[MonthlyIncome]]&lt;3000,"Below 3K",IF(EmployeeData[[#This Row],[MonthlyIncome]]&lt;6000,"3K-6K",IF(EmployeeData[[#This Row],[MonthlyIncome]]&lt;9000,"6K-9K",IF(EmployeeData[[#This Row],[MonthlyIncome]]&lt;12000,"9K-12K","12K+"))))</f>
        <v>12K+</v>
      </c>
    </row>
    <row r="564" spans="1:37" x14ac:dyDescent="0.3">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c r="AJ564" s="4" t="str">
        <f>IF(EmployeeData[[#This Row],[Age]]&lt;25,"Under 25",IF(EmployeeData[[#This Row],[Age]]&lt;35,"25-34",IF(EmployeeData[[#This Row],[Age]]&lt;45,"35-44",IF(EmployeeData[[#This Row],[Age]]&lt;55,"45-54","55+"))))</f>
        <v>25-34</v>
      </c>
      <c r="AK564" s="4" t="str">
        <f>IF(EmployeeData[[#This Row],[MonthlyIncome]]&lt;3000,"Below 3K",IF(EmployeeData[[#This Row],[MonthlyIncome]]&lt;6000,"3K-6K",IF(EmployeeData[[#This Row],[MonthlyIncome]]&lt;9000,"6K-9K",IF(EmployeeData[[#This Row],[MonthlyIncome]]&lt;12000,"9K-12K","12K+"))))</f>
        <v>Below 3K</v>
      </c>
    </row>
    <row r="565" spans="1:37" x14ac:dyDescent="0.3">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c r="AJ565" s="4" t="str">
        <f>IF(EmployeeData[[#This Row],[Age]]&lt;25,"Under 25",IF(EmployeeData[[#This Row],[Age]]&lt;35,"25-34",IF(EmployeeData[[#This Row],[Age]]&lt;45,"35-44",IF(EmployeeData[[#This Row],[Age]]&lt;55,"45-54","55+"))))</f>
        <v>25-34</v>
      </c>
      <c r="AK565" s="4" t="str">
        <f>IF(EmployeeData[[#This Row],[MonthlyIncome]]&lt;3000,"Below 3K",IF(EmployeeData[[#This Row],[MonthlyIncome]]&lt;6000,"3K-6K",IF(EmployeeData[[#This Row],[MonthlyIncome]]&lt;9000,"6K-9K",IF(EmployeeData[[#This Row],[MonthlyIncome]]&lt;12000,"9K-12K","12K+"))))</f>
        <v>6K-9K</v>
      </c>
    </row>
    <row r="566" spans="1:37" x14ac:dyDescent="0.3">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c r="AJ566" s="4" t="str">
        <f>IF(EmployeeData[[#This Row],[Age]]&lt;25,"Under 25",IF(EmployeeData[[#This Row],[Age]]&lt;35,"25-34",IF(EmployeeData[[#This Row],[Age]]&lt;45,"35-44",IF(EmployeeData[[#This Row],[Age]]&lt;55,"45-54","55+"))))</f>
        <v>45-54</v>
      </c>
      <c r="AK566" s="4" t="str">
        <f>IF(EmployeeData[[#This Row],[MonthlyIncome]]&lt;3000,"Below 3K",IF(EmployeeData[[#This Row],[MonthlyIncome]]&lt;6000,"3K-6K",IF(EmployeeData[[#This Row],[MonthlyIncome]]&lt;9000,"6K-9K",IF(EmployeeData[[#This Row],[MonthlyIncome]]&lt;12000,"9K-12K","12K+"))))</f>
        <v>6K-9K</v>
      </c>
    </row>
    <row r="567" spans="1:37" x14ac:dyDescent="0.3">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c r="AJ567" s="4" t="str">
        <f>IF(EmployeeData[[#This Row],[Age]]&lt;25,"Under 25",IF(EmployeeData[[#This Row],[Age]]&lt;35,"25-34",IF(EmployeeData[[#This Row],[Age]]&lt;45,"35-44",IF(EmployeeData[[#This Row],[Age]]&lt;55,"45-54","55+"))))</f>
        <v>Under 25</v>
      </c>
      <c r="AK567" s="4" t="str">
        <f>IF(EmployeeData[[#This Row],[MonthlyIncome]]&lt;3000,"Below 3K",IF(EmployeeData[[#This Row],[MonthlyIncome]]&lt;6000,"3K-6K",IF(EmployeeData[[#This Row],[MonthlyIncome]]&lt;9000,"6K-9K",IF(EmployeeData[[#This Row],[MonthlyIncome]]&lt;12000,"9K-12K","12K+"))))</f>
        <v>3K-6K</v>
      </c>
    </row>
    <row r="568" spans="1:37" x14ac:dyDescent="0.3">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c r="AJ568" s="4" t="str">
        <f>IF(EmployeeData[[#This Row],[Age]]&lt;25,"Under 25",IF(EmployeeData[[#This Row],[Age]]&lt;35,"25-34",IF(EmployeeData[[#This Row],[Age]]&lt;45,"35-44",IF(EmployeeData[[#This Row],[Age]]&lt;55,"45-54","55+"))))</f>
        <v>45-54</v>
      </c>
      <c r="AK568" s="4" t="str">
        <f>IF(EmployeeData[[#This Row],[MonthlyIncome]]&lt;3000,"Below 3K",IF(EmployeeData[[#This Row],[MonthlyIncome]]&lt;6000,"3K-6K",IF(EmployeeData[[#This Row],[MonthlyIncome]]&lt;9000,"6K-9K",IF(EmployeeData[[#This Row],[MonthlyIncome]]&lt;12000,"9K-12K","12K+"))))</f>
        <v>6K-9K</v>
      </c>
    </row>
    <row r="569" spans="1:37" x14ac:dyDescent="0.3">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c r="AJ569" s="4" t="str">
        <f>IF(EmployeeData[[#This Row],[Age]]&lt;25,"Under 25",IF(EmployeeData[[#This Row],[Age]]&lt;35,"25-34",IF(EmployeeData[[#This Row],[Age]]&lt;45,"35-44",IF(EmployeeData[[#This Row],[Age]]&lt;55,"45-54","55+"))))</f>
        <v>25-34</v>
      </c>
      <c r="AK569" s="4" t="str">
        <f>IF(EmployeeData[[#This Row],[MonthlyIncome]]&lt;3000,"Below 3K",IF(EmployeeData[[#This Row],[MonthlyIncome]]&lt;6000,"3K-6K",IF(EmployeeData[[#This Row],[MonthlyIncome]]&lt;9000,"6K-9K",IF(EmployeeData[[#This Row],[MonthlyIncome]]&lt;12000,"9K-12K","12K+"))))</f>
        <v>6K-9K</v>
      </c>
    </row>
    <row r="570" spans="1:37" x14ac:dyDescent="0.3">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c r="AJ570" s="4" t="str">
        <f>IF(EmployeeData[[#This Row],[Age]]&lt;25,"Under 25",IF(EmployeeData[[#This Row],[Age]]&lt;35,"25-34",IF(EmployeeData[[#This Row],[Age]]&lt;45,"35-44",IF(EmployeeData[[#This Row],[Age]]&lt;55,"45-54","55+"))))</f>
        <v>55+</v>
      </c>
      <c r="AK570" s="4" t="str">
        <f>IF(EmployeeData[[#This Row],[MonthlyIncome]]&lt;3000,"Below 3K",IF(EmployeeData[[#This Row],[MonthlyIncome]]&lt;6000,"3K-6K",IF(EmployeeData[[#This Row],[MonthlyIncome]]&lt;9000,"6K-9K",IF(EmployeeData[[#This Row],[MonthlyIncome]]&lt;12000,"9K-12K","12K+"))))</f>
        <v>12K+</v>
      </c>
    </row>
    <row r="571" spans="1:37" x14ac:dyDescent="0.3">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c r="AJ571" s="4" t="str">
        <f>IF(EmployeeData[[#This Row],[Age]]&lt;25,"Under 25",IF(EmployeeData[[#This Row],[Age]]&lt;35,"25-34",IF(EmployeeData[[#This Row],[Age]]&lt;45,"35-44",IF(EmployeeData[[#This Row],[Age]]&lt;55,"45-54","55+"))))</f>
        <v>35-44</v>
      </c>
      <c r="AK571" s="4" t="str">
        <f>IF(EmployeeData[[#This Row],[MonthlyIncome]]&lt;3000,"Below 3K",IF(EmployeeData[[#This Row],[MonthlyIncome]]&lt;6000,"3K-6K",IF(EmployeeData[[#This Row],[MonthlyIncome]]&lt;9000,"6K-9K",IF(EmployeeData[[#This Row],[MonthlyIncome]]&lt;12000,"9K-12K","12K+"))))</f>
        <v>6K-9K</v>
      </c>
    </row>
    <row r="572" spans="1:37" x14ac:dyDescent="0.3">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c r="AJ572" s="4" t="str">
        <f>IF(EmployeeData[[#This Row],[Age]]&lt;25,"Under 25",IF(EmployeeData[[#This Row],[Age]]&lt;35,"25-34",IF(EmployeeData[[#This Row],[Age]]&lt;45,"35-44",IF(EmployeeData[[#This Row],[Age]]&lt;55,"45-54","55+"))))</f>
        <v>45-54</v>
      </c>
      <c r="AK572" s="4" t="str">
        <f>IF(EmployeeData[[#This Row],[MonthlyIncome]]&lt;3000,"Below 3K",IF(EmployeeData[[#This Row],[MonthlyIncome]]&lt;6000,"3K-6K",IF(EmployeeData[[#This Row],[MonthlyIncome]]&lt;9000,"6K-9K",IF(EmployeeData[[#This Row],[MonthlyIncome]]&lt;12000,"9K-12K","12K+"))))</f>
        <v>3K-6K</v>
      </c>
    </row>
    <row r="573" spans="1:37" x14ac:dyDescent="0.3">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c r="AJ573" s="4" t="str">
        <f>IF(EmployeeData[[#This Row],[Age]]&lt;25,"Under 25",IF(EmployeeData[[#This Row],[Age]]&lt;35,"25-34",IF(EmployeeData[[#This Row],[Age]]&lt;45,"35-44",IF(EmployeeData[[#This Row],[Age]]&lt;55,"45-54","55+"))))</f>
        <v>25-34</v>
      </c>
      <c r="AK573" s="4" t="str">
        <f>IF(EmployeeData[[#This Row],[MonthlyIncome]]&lt;3000,"Below 3K",IF(EmployeeData[[#This Row],[MonthlyIncome]]&lt;6000,"3K-6K",IF(EmployeeData[[#This Row],[MonthlyIncome]]&lt;9000,"6K-9K",IF(EmployeeData[[#This Row],[MonthlyIncome]]&lt;12000,"9K-12K","12K+"))))</f>
        <v>3K-6K</v>
      </c>
    </row>
    <row r="574" spans="1:37" x14ac:dyDescent="0.3">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c r="AJ574" s="4" t="str">
        <f>IF(EmployeeData[[#This Row],[Age]]&lt;25,"Under 25",IF(EmployeeData[[#This Row],[Age]]&lt;35,"25-34",IF(EmployeeData[[#This Row],[Age]]&lt;45,"35-44",IF(EmployeeData[[#This Row],[Age]]&lt;55,"45-54","55+"))))</f>
        <v>25-34</v>
      </c>
      <c r="AK574" s="4" t="str">
        <f>IF(EmployeeData[[#This Row],[MonthlyIncome]]&lt;3000,"Below 3K",IF(EmployeeData[[#This Row],[MonthlyIncome]]&lt;6000,"3K-6K",IF(EmployeeData[[#This Row],[MonthlyIncome]]&lt;9000,"6K-9K",IF(EmployeeData[[#This Row],[MonthlyIncome]]&lt;12000,"9K-12K","12K+"))))</f>
        <v>3K-6K</v>
      </c>
    </row>
    <row r="575" spans="1:37" x14ac:dyDescent="0.3">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c r="AJ575" s="4" t="str">
        <f>IF(EmployeeData[[#This Row],[Age]]&lt;25,"Under 25",IF(EmployeeData[[#This Row],[Age]]&lt;35,"25-34",IF(EmployeeData[[#This Row],[Age]]&lt;45,"35-44",IF(EmployeeData[[#This Row],[Age]]&lt;55,"45-54","55+"))))</f>
        <v>25-34</v>
      </c>
      <c r="AK575" s="4" t="str">
        <f>IF(EmployeeData[[#This Row],[MonthlyIncome]]&lt;3000,"Below 3K",IF(EmployeeData[[#This Row],[MonthlyIncome]]&lt;6000,"3K-6K",IF(EmployeeData[[#This Row],[MonthlyIncome]]&lt;9000,"6K-9K",IF(EmployeeData[[#This Row],[MonthlyIncome]]&lt;12000,"9K-12K","12K+"))))</f>
        <v>3K-6K</v>
      </c>
    </row>
    <row r="576" spans="1:37" x14ac:dyDescent="0.3">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c r="AJ576" s="4" t="str">
        <f>IF(EmployeeData[[#This Row],[Age]]&lt;25,"Under 25",IF(EmployeeData[[#This Row],[Age]]&lt;35,"25-34",IF(EmployeeData[[#This Row],[Age]]&lt;45,"35-44",IF(EmployeeData[[#This Row],[Age]]&lt;55,"45-54","55+"))))</f>
        <v>25-34</v>
      </c>
      <c r="AK576" s="4" t="str">
        <f>IF(EmployeeData[[#This Row],[MonthlyIncome]]&lt;3000,"Below 3K",IF(EmployeeData[[#This Row],[MonthlyIncome]]&lt;6000,"3K-6K",IF(EmployeeData[[#This Row],[MonthlyIncome]]&lt;9000,"6K-9K",IF(EmployeeData[[#This Row],[MonthlyIncome]]&lt;12000,"9K-12K","12K+"))))</f>
        <v>3K-6K</v>
      </c>
    </row>
    <row r="577" spans="1:37" x14ac:dyDescent="0.3">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c r="AJ577" s="4" t="str">
        <f>IF(EmployeeData[[#This Row],[Age]]&lt;25,"Under 25",IF(EmployeeData[[#This Row],[Age]]&lt;35,"25-34",IF(EmployeeData[[#This Row],[Age]]&lt;45,"35-44",IF(EmployeeData[[#This Row],[Age]]&lt;55,"45-54","55+"))))</f>
        <v>45-54</v>
      </c>
      <c r="AK577" s="4" t="str">
        <f>IF(EmployeeData[[#This Row],[MonthlyIncome]]&lt;3000,"Below 3K",IF(EmployeeData[[#This Row],[MonthlyIncome]]&lt;6000,"3K-6K",IF(EmployeeData[[#This Row],[MonthlyIncome]]&lt;9000,"6K-9K",IF(EmployeeData[[#This Row],[MonthlyIncome]]&lt;12000,"9K-12K","12K+"))))</f>
        <v>3K-6K</v>
      </c>
    </row>
    <row r="578" spans="1:37" x14ac:dyDescent="0.3">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c r="AJ578" s="4" t="str">
        <f>IF(EmployeeData[[#This Row],[Age]]&lt;25,"Under 25",IF(EmployeeData[[#This Row],[Age]]&lt;35,"25-34",IF(EmployeeData[[#This Row],[Age]]&lt;45,"35-44",IF(EmployeeData[[#This Row],[Age]]&lt;55,"45-54","55+"))))</f>
        <v>25-34</v>
      </c>
      <c r="AK578" s="4" t="str">
        <f>IF(EmployeeData[[#This Row],[MonthlyIncome]]&lt;3000,"Below 3K",IF(EmployeeData[[#This Row],[MonthlyIncome]]&lt;6000,"3K-6K",IF(EmployeeData[[#This Row],[MonthlyIncome]]&lt;9000,"6K-9K",IF(EmployeeData[[#This Row],[MonthlyIncome]]&lt;12000,"9K-12K","12K+"))))</f>
        <v>3K-6K</v>
      </c>
    </row>
    <row r="579" spans="1:37" x14ac:dyDescent="0.3">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c r="AJ579" s="4" t="str">
        <f>IF(EmployeeData[[#This Row],[Age]]&lt;25,"Under 25",IF(EmployeeData[[#This Row],[Age]]&lt;35,"25-34",IF(EmployeeData[[#This Row],[Age]]&lt;45,"35-44",IF(EmployeeData[[#This Row],[Age]]&lt;55,"45-54","55+"))))</f>
        <v>35-44</v>
      </c>
      <c r="AK579" s="4" t="str">
        <f>IF(EmployeeData[[#This Row],[MonthlyIncome]]&lt;3000,"Below 3K",IF(EmployeeData[[#This Row],[MonthlyIncome]]&lt;6000,"3K-6K",IF(EmployeeData[[#This Row],[MonthlyIncome]]&lt;9000,"6K-9K",IF(EmployeeData[[#This Row],[MonthlyIncome]]&lt;12000,"9K-12K","12K+"))))</f>
        <v>Below 3K</v>
      </c>
    </row>
    <row r="580" spans="1:37" x14ac:dyDescent="0.3">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c r="AJ580" s="4" t="str">
        <f>IF(EmployeeData[[#This Row],[Age]]&lt;25,"Under 25",IF(EmployeeData[[#This Row],[Age]]&lt;35,"25-34",IF(EmployeeData[[#This Row],[Age]]&lt;45,"35-44",IF(EmployeeData[[#This Row],[Age]]&lt;55,"45-54","55+"))))</f>
        <v>35-44</v>
      </c>
      <c r="AK580" s="4" t="str">
        <f>IF(EmployeeData[[#This Row],[MonthlyIncome]]&lt;3000,"Below 3K",IF(EmployeeData[[#This Row],[MonthlyIncome]]&lt;6000,"3K-6K",IF(EmployeeData[[#This Row],[MonthlyIncome]]&lt;9000,"6K-9K",IF(EmployeeData[[#This Row],[MonthlyIncome]]&lt;12000,"9K-12K","12K+"))))</f>
        <v>3K-6K</v>
      </c>
    </row>
    <row r="581" spans="1:37" x14ac:dyDescent="0.3">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c r="AJ581" s="4" t="str">
        <f>IF(EmployeeData[[#This Row],[Age]]&lt;25,"Under 25",IF(EmployeeData[[#This Row],[Age]]&lt;35,"25-34",IF(EmployeeData[[#This Row],[Age]]&lt;45,"35-44",IF(EmployeeData[[#This Row],[Age]]&lt;55,"45-54","55+"))))</f>
        <v>25-34</v>
      </c>
      <c r="AK581" s="4" t="str">
        <f>IF(EmployeeData[[#This Row],[MonthlyIncome]]&lt;3000,"Below 3K",IF(EmployeeData[[#This Row],[MonthlyIncome]]&lt;6000,"3K-6K",IF(EmployeeData[[#This Row],[MonthlyIncome]]&lt;9000,"6K-9K",IF(EmployeeData[[#This Row],[MonthlyIncome]]&lt;12000,"9K-12K","12K+"))))</f>
        <v>3K-6K</v>
      </c>
    </row>
    <row r="582" spans="1:37" x14ac:dyDescent="0.3">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c r="AJ582" s="4" t="str">
        <f>IF(EmployeeData[[#This Row],[Age]]&lt;25,"Under 25",IF(EmployeeData[[#This Row],[Age]]&lt;35,"25-34",IF(EmployeeData[[#This Row],[Age]]&lt;45,"35-44",IF(EmployeeData[[#This Row],[Age]]&lt;55,"45-54","55+"))))</f>
        <v>35-44</v>
      </c>
      <c r="AK582" s="4" t="str">
        <f>IF(EmployeeData[[#This Row],[MonthlyIncome]]&lt;3000,"Below 3K",IF(EmployeeData[[#This Row],[MonthlyIncome]]&lt;6000,"3K-6K",IF(EmployeeData[[#This Row],[MonthlyIncome]]&lt;9000,"6K-9K",IF(EmployeeData[[#This Row],[MonthlyIncome]]&lt;12000,"9K-12K","12K+"))))</f>
        <v>Below 3K</v>
      </c>
    </row>
    <row r="583" spans="1:37" x14ac:dyDescent="0.3">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c r="AJ583" s="4" t="str">
        <f>IF(EmployeeData[[#This Row],[Age]]&lt;25,"Under 25",IF(EmployeeData[[#This Row],[Age]]&lt;35,"25-34",IF(EmployeeData[[#This Row],[Age]]&lt;45,"35-44",IF(EmployeeData[[#This Row],[Age]]&lt;55,"45-54","55+"))))</f>
        <v>25-34</v>
      </c>
      <c r="AK583" s="4" t="str">
        <f>IF(EmployeeData[[#This Row],[MonthlyIncome]]&lt;3000,"Below 3K",IF(EmployeeData[[#This Row],[MonthlyIncome]]&lt;6000,"3K-6K",IF(EmployeeData[[#This Row],[MonthlyIncome]]&lt;9000,"6K-9K",IF(EmployeeData[[#This Row],[MonthlyIncome]]&lt;12000,"9K-12K","12K+"))))</f>
        <v>3K-6K</v>
      </c>
    </row>
    <row r="584" spans="1:37" x14ac:dyDescent="0.3">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c r="AJ584" s="4" t="str">
        <f>IF(EmployeeData[[#This Row],[Age]]&lt;25,"Under 25",IF(EmployeeData[[#This Row],[Age]]&lt;35,"25-34",IF(EmployeeData[[#This Row],[Age]]&lt;45,"35-44",IF(EmployeeData[[#This Row],[Age]]&lt;55,"45-54","55+"))))</f>
        <v>35-44</v>
      </c>
      <c r="AK584" s="4" t="str">
        <f>IF(EmployeeData[[#This Row],[MonthlyIncome]]&lt;3000,"Below 3K",IF(EmployeeData[[#This Row],[MonthlyIncome]]&lt;6000,"3K-6K",IF(EmployeeData[[#This Row],[MonthlyIncome]]&lt;9000,"6K-9K",IF(EmployeeData[[#This Row],[MonthlyIncome]]&lt;12000,"9K-12K","12K+"))))</f>
        <v>3K-6K</v>
      </c>
    </row>
    <row r="585" spans="1:37" x14ac:dyDescent="0.3">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c r="AJ585" s="4" t="str">
        <f>IF(EmployeeData[[#This Row],[Age]]&lt;25,"Under 25",IF(EmployeeData[[#This Row],[Age]]&lt;35,"25-34",IF(EmployeeData[[#This Row],[Age]]&lt;45,"35-44",IF(EmployeeData[[#This Row],[Age]]&lt;55,"45-54","55+"))))</f>
        <v>25-34</v>
      </c>
      <c r="AK585" s="4" t="str">
        <f>IF(EmployeeData[[#This Row],[MonthlyIncome]]&lt;3000,"Below 3K",IF(EmployeeData[[#This Row],[MonthlyIncome]]&lt;6000,"3K-6K",IF(EmployeeData[[#This Row],[MonthlyIncome]]&lt;9000,"6K-9K",IF(EmployeeData[[#This Row],[MonthlyIncome]]&lt;12000,"9K-12K","12K+"))))</f>
        <v>6K-9K</v>
      </c>
    </row>
    <row r="586" spans="1:37" x14ac:dyDescent="0.3">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c r="AJ586" s="4" t="str">
        <f>IF(EmployeeData[[#This Row],[Age]]&lt;25,"Under 25",IF(EmployeeData[[#This Row],[Age]]&lt;35,"25-34",IF(EmployeeData[[#This Row],[Age]]&lt;45,"35-44",IF(EmployeeData[[#This Row],[Age]]&lt;55,"45-54","55+"))))</f>
        <v>35-44</v>
      </c>
      <c r="AK586" s="4" t="str">
        <f>IF(EmployeeData[[#This Row],[MonthlyIncome]]&lt;3000,"Below 3K",IF(EmployeeData[[#This Row],[MonthlyIncome]]&lt;6000,"3K-6K",IF(EmployeeData[[#This Row],[MonthlyIncome]]&lt;9000,"6K-9K",IF(EmployeeData[[#This Row],[MonthlyIncome]]&lt;12000,"9K-12K","12K+"))))</f>
        <v>12K+</v>
      </c>
    </row>
    <row r="587" spans="1:37" x14ac:dyDescent="0.3">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c r="AJ587" s="4" t="str">
        <f>IF(EmployeeData[[#This Row],[Age]]&lt;25,"Under 25",IF(EmployeeData[[#This Row],[Age]]&lt;35,"25-34",IF(EmployeeData[[#This Row],[Age]]&lt;45,"35-44",IF(EmployeeData[[#This Row],[Age]]&lt;55,"45-54","55+"))))</f>
        <v>Under 25</v>
      </c>
      <c r="AK587" s="4" t="str">
        <f>IF(EmployeeData[[#This Row],[MonthlyIncome]]&lt;3000,"Below 3K",IF(EmployeeData[[#This Row],[MonthlyIncome]]&lt;6000,"3K-6K",IF(EmployeeData[[#This Row],[MonthlyIncome]]&lt;9000,"6K-9K",IF(EmployeeData[[#This Row],[MonthlyIncome]]&lt;12000,"9K-12K","12K+"))))</f>
        <v>Below 3K</v>
      </c>
    </row>
    <row r="588" spans="1:37" x14ac:dyDescent="0.3">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c r="AJ588" s="4" t="str">
        <f>IF(EmployeeData[[#This Row],[Age]]&lt;25,"Under 25",IF(EmployeeData[[#This Row],[Age]]&lt;35,"25-34",IF(EmployeeData[[#This Row],[Age]]&lt;45,"35-44",IF(EmployeeData[[#This Row],[Age]]&lt;55,"45-54","55+"))))</f>
        <v>Under 25</v>
      </c>
      <c r="AK588" s="4" t="str">
        <f>IF(EmployeeData[[#This Row],[MonthlyIncome]]&lt;3000,"Below 3K",IF(EmployeeData[[#This Row],[MonthlyIncome]]&lt;6000,"3K-6K",IF(EmployeeData[[#This Row],[MonthlyIncome]]&lt;9000,"6K-9K",IF(EmployeeData[[#This Row],[MonthlyIncome]]&lt;12000,"9K-12K","12K+"))))</f>
        <v>Below 3K</v>
      </c>
    </row>
    <row r="589" spans="1:37" x14ac:dyDescent="0.3">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c r="AJ589" s="4" t="str">
        <f>IF(EmployeeData[[#This Row],[Age]]&lt;25,"Under 25",IF(EmployeeData[[#This Row],[Age]]&lt;35,"25-34",IF(EmployeeData[[#This Row],[Age]]&lt;45,"35-44",IF(EmployeeData[[#This Row],[Age]]&lt;55,"45-54","55+"))))</f>
        <v>45-54</v>
      </c>
      <c r="AK589" s="4" t="str">
        <f>IF(EmployeeData[[#This Row],[MonthlyIncome]]&lt;3000,"Below 3K",IF(EmployeeData[[#This Row],[MonthlyIncome]]&lt;6000,"3K-6K",IF(EmployeeData[[#This Row],[MonthlyIncome]]&lt;9000,"6K-9K",IF(EmployeeData[[#This Row],[MonthlyIncome]]&lt;12000,"9K-12K","12K+"))))</f>
        <v>3K-6K</v>
      </c>
    </row>
    <row r="590" spans="1:37" x14ac:dyDescent="0.3">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c r="AJ590" s="4" t="str">
        <f>IF(EmployeeData[[#This Row],[Age]]&lt;25,"Under 25",IF(EmployeeData[[#This Row],[Age]]&lt;35,"25-34",IF(EmployeeData[[#This Row],[Age]]&lt;45,"35-44",IF(EmployeeData[[#This Row],[Age]]&lt;55,"45-54","55+"))))</f>
        <v>45-54</v>
      </c>
      <c r="AK590" s="4" t="str">
        <f>IF(EmployeeData[[#This Row],[MonthlyIncome]]&lt;3000,"Below 3K",IF(EmployeeData[[#This Row],[MonthlyIncome]]&lt;6000,"3K-6K",IF(EmployeeData[[#This Row],[MonthlyIncome]]&lt;9000,"6K-9K",IF(EmployeeData[[#This Row],[MonthlyIncome]]&lt;12000,"9K-12K","12K+"))))</f>
        <v>12K+</v>
      </c>
    </row>
    <row r="591" spans="1:37" x14ac:dyDescent="0.3">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c r="AJ591" s="4" t="str">
        <f>IF(EmployeeData[[#This Row],[Age]]&lt;25,"Under 25",IF(EmployeeData[[#This Row],[Age]]&lt;35,"25-34",IF(EmployeeData[[#This Row],[Age]]&lt;45,"35-44",IF(EmployeeData[[#This Row],[Age]]&lt;55,"45-54","55+"))))</f>
        <v>25-34</v>
      </c>
      <c r="AK591" s="4" t="str">
        <f>IF(EmployeeData[[#This Row],[MonthlyIncome]]&lt;3000,"Below 3K",IF(EmployeeData[[#This Row],[MonthlyIncome]]&lt;6000,"3K-6K",IF(EmployeeData[[#This Row],[MonthlyIncome]]&lt;9000,"6K-9K",IF(EmployeeData[[#This Row],[MonthlyIncome]]&lt;12000,"9K-12K","12K+"))))</f>
        <v>Below 3K</v>
      </c>
    </row>
    <row r="592" spans="1:37" x14ac:dyDescent="0.3">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c r="AJ592" s="4" t="str">
        <f>IF(EmployeeData[[#This Row],[Age]]&lt;25,"Under 25",IF(EmployeeData[[#This Row],[Age]]&lt;35,"25-34",IF(EmployeeData[[#This Row],[Age]]&lt;45,"35-44",IF(EmployeeData[[#This Row],[Age]]&lt;55,"45-54","55+"))))</f>
        <v>25-34</v>
      </c>
      <c r="AK592" s="4" t="str">
        <f>IF(EmployeeData[[#This Row],[MonthlyIncome]]&lt;3000,"Below 3K",IF(EmployeeData[[#This Row],[MonthlyIncome]]&lt;6000,"3K-6K",IF(EmployeeData[[#This Row],[MonthlyIncome]]&lt;9000,"6K-9K",IF(EmployeeData[[#This Row],[MonthlyIncome]]&lt;12000,"9K-12K","12K+"))))</f>
        <v>9K-12K</v>
      </c>
    </row>
    <row r="593" spans="1:37" x14ac:dyDescent="0.3">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c r="AJ593" s="4" t="str">
        <f>IF(EmployeeData[[#This Row],[Age]]&lt;25,"Under 25",IF(EmployeeData[[#This Row],[Age]]&lt;35,"25-34",IF(EmployeeData[[#This Row],[Age]]&lt;45,"35-44",IF(EmployeeData[[#This Row],[Age]]&lt;55,"45-54","55+"))))</f>
        <v>25-34</v>
      </c>
      <c r="AK593" s="4" t="str">
        <f>IF(EmployeeData[[#This Row],[MonthlyIncome]]&lt;3000,"Below 3K",IF(EmployeeData[[#This Row],[MonthlyIncome]]&lt;6000,"3K-6K",IF(EmployeeData[[#This Row],[MonthlyIncome]]&lt;9000,"6K-9K",IF(EmployeeData[[#This Row],[MonthlyIncome]]&lt;12000,"9K-12K","12K+"))))</f>
        <v>3K-6K</v>
      </c>
    </row>
    <row r="594" spans="1:37" x14ac:dyDescent="0.3">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c r="AJ594" s="4" t="str">
        <f>IF(EmployeeData[[#This Row],[Age]]&lt;25,"Under 25",IF(EmployeeData[[#This Row],[Age]]&lt;35,"25-34",IF(EmployeeData[[#This Row],[Age]]&lt;45,"35-44",IF(EmployeeData[[#This Row],[Age]]&lt;55,"45-54","55+"))))</f>
        <v>45-54</v>
      </c>
      <c r="AK594" s="4" t="str">
        <f>IF(EmployeeData[[#This Row],[MonthlyIncome]]&lt;3000,"Below 3K",IF(EmployeeData[[#This Row],[MonthlyIncome]]&lt;6000,"3K-6K",IF(EmployeeData[[#This Row],[MonthlyIncome]]&lt;9000,"6K-9K",IF(EmployeeData[[#This Row],[MonthlyIncome]]&lt;12000,"9K-12K","12K+"))))</f>
        <v>12K+</v>
      </c>
    </row>
    <row r="595" spans="1:37" x14ac:dyDescent="0.3">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c r="AJ595" s="4" t="str">
        <f>IF(EmployeeData[[#This Row],[Age]]&lt;25,"Under 25",IF(EmployeeData[[#This Row],[Age]]&lt;35,"25-34",IF(EmployeeData[[#This Row],[Age]]&lt;45,"35-44",IF(EmployeeData[[#This Row],[Age]]&lt;55,"45-54","55+"))))</f>
        <v>35-44</v>
      </c>
      <c r="AK595" s="4" t="str">
        <f>IF(EmployeeData[[#This Row],[MonthlyIncome]]&lt;3000,"Below 3K",IF(EmployeeData[[#This Row],[MonthlyIncome]]&lt;6000,"3K-6K",IF(EmployeeData[[#This Row],[MonthlyIncome]]&lt;9000,"6K-9K",IF(EmployeeData[[#This Row],[MonthlyIncome]]&lt;12000,"9K-12K","12K+"))))</f>
        <v>3K-6K</v>
      </c>
    </row>
    <row r="596" spans="1:37" x14ac:dyDescent="0.3">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c r="AJ596" s="4" t="str">
        <f>IF(EmployeeData[[#This Row],[Age]]&lt;25,"Under 25",IF(EmployeeData[[#This Row],[Age]]&lt;35,"25-34",IF(EmployeeData[[#This Row],[Age]]&lt;45,"35-44",IF(EmployeeData[[#This Row],[Age]]&lt;55,"45-54","55+"))))</f>
        <v>25-34</v>
      </c>
      <c r="AK596" s="4" t="str">
        <f>IF(EmployeeData[[#This Row],[MonthlyIncome]]&lt;3000,"Below 3K",IF(EmployeeData[[#This Row],[MonthlyIncome]]&lt;6000,"3K-6K",IF(EmployeeData[[#This Row],[MonthlyIncome]]&lt;9000,"6K-9K",IF(EmployeeData[[#This Row],[MonthlyIncome]]&lt;12000,"9K-12K","12K+"))))</f>
        <v>Below 3K</v>
      </c>
    </row>
    <row r="597" spans="1:37" x14ac:dyDescent="0.3">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c r="AJ597" s="4" t="str">
        <f>IF(EmployeeData[[#This Row],[Age]]&lt;25,"Under 25",IF(EmployeeData[[#This Row],[Age]]&lt;35,"25-34",IF(EmployeeData[[#This Row],[Age]]&lt;45,"35-44",IF(EmployeeData[[#This Row],[Age]]&lt;55,"45-54","55+"))))</f>
        <v>55+</v>
      </c>
      <c r="AK597" s="4" t="str">
        <f>IF(EmployeeData[[#This Row],[MonthlyIncome]]&lt;3000,"Below 3K",IF(EmployeeData[[#This Row],[MonthlyIncome]]&lt;6000,"3K-6K",IF(EmployeeData[[#This Row],[MonthlyIncome]]&lt;9000,"6K-9K",IF(EmployeeData[[#This Row],[MonthlyIncome]]&lt;12000,"9K-12K","12K+"))))</f>
        <v>12K+</v>
      </c>
    </row>
    <row r="598" spans="1:37" x14ac:dyDescent="0.3">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c r="AJ598" s="4" t="str">
        <f>IF(EmployeeData[[#This Row],[Age]]&lt;25,"Under 25",IF(EmployeeData[[#This Row],[Age]]&lt;35,"25-34",IF(EmployeeData[[#This Row],[Age]]&lt;45,"35-44",IF(EmployeeData[[#This Row],[Age]]&lt;55,"45-54","55+"))))</f>
        <v>35-44</v>
      </c>
      <c r="AK598" s="4" t="str">
        <f>IF(EmployeeData[[#This Row],[MonthlyIncome]]&lt;3000,"Below 3K",IF(EmployeeData[[#This Row],[MonthlyIncome]]&lt;6000,"3K-6K",IF(EmployeeData[[#This Row],[MonthlyIncome]]&lt;9000,"6K-9K",IF(EmployeeData[[#This Row],[MonthlyIncome]]&lt;12000,"9K-12K","12K+"))))</f>
        <v>Below 3K</v>
      </c>
    </row>
    <row r="599" spans="1:37" x14ac:dyDescent="0.3">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c r="AJ599" s="4" t="str">
        <f>IF(EmployeeData[[#This Row],[Age]]&lt;25,"Under 25",IF(EmployeeData[[#This Row],[Age]]&lt;35,"25-34",IF(EmployeeData[[#This Row],[Age]]&lt;45,"35-44",IF(EmployeeData[[#This Row],[Age]]&lt;55,"45-54","55+"))))</f>
        <v>35-44</v>
      </c>
      <c r="AK599" s="4" t="str">
        <f>IF(EmployeeData[[#This Row],[MonthlyIncome]]&lt;3000,"Below 3K",IF(EmployeeData[[#This Row],[MonthlyIncome]]&lt;6000,"3K-6K",IF(EmployeeData[[#This Row],[MonthlyIncome]]&lt;9000,"6K-9K",IF(EmployeeData[[#This Row],[MonthlyIncome]]&lt;12000,"9K-12K","12K+"))))</f>
        <v>6K-9K</v>
      </c>
    </row>
    <row r="600" spans="1:37" x14ac:dyDescent="0.3">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c r="AJ600" s="4" t="str">
        <f>IF(EmployeeData[[#This Row],[Age]]&lt;25,"Under 25",IF(EmployeeData[[#This Row],[Age]]&lt;35,"25-34",IF(EmployeeData[[#This Row],[Age]]&lt;45,"35-44",IF(EmployeeData[[#This Row],[Age]]&lt;55,"45-54","55+"))))</f>
        <v>25-34</v>
      </c>
      <c r="AK600" s="4" t="str">
        <f>IF(EmployeeData[[#This Row],[MonthlyIncome]]&lt;3000,"Below 3K",IF(EmployeeData[[#This Row],[MonthlyIncome]]&lt;6000,"3K-6K",IF(EmployeeData[[#This Row],[MonthlyIncome]]&lt;9000,"6K-9K",IF(EmployeeData[[#This Row],[MonthlyIncome]]&lt;12000,"9K-12K","12K+"))))</f>
        <v>3K-6K</v>
      </c>
    </row>
    <row r="601" spans="1:37" x14ac:dyDescent="0.3">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c r="AJ601" s="4" t="str">
        <f>IF(EmployeeData[[#This Row],[Age]]&lt;25,"Under 25",IF(EmployeeData[[#This Row],[Age]]&lt;35,"25-34",IF(EmployeeData[[#This Row],[Age]]&lt;45,"35-44",IF(EmployeeData[[#This Row],[Age]]&lt;55,"45-54","55+"))))</f>
        <v>35-44</v>
      </c>
      <c r="AK601" s="4" t="str">
        <f>IF(EmployeeData[[#This Row],[MonthlyIncome]]&lt;3000,"Below 3K",IF(EmployeeData[[#This Row],[MonthlyIncome]]&lt;6000,"3K-6K",IF(EmployeeData[[#This Row],[MonthlyIncome]]&lt;9000,"6K-9K",IF(EmployeeData[[#This Row],[MonthlyIncome]]&lt;12000,"9K-12K","12K+"))))</f>
        <v>Below 3K</v>
      </c>
    </row>
    <row r="602" spans="1:37" x14ac:dyDescent="0.3">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c r="AJ602" s="4" t="str">
        <f>IF(EmployeeData[[#This Row],[Age]]&lt;25,"Under 25",IF(EmployeeData[[#This Row],[Age]]&lt;35,"25-34",IF(EmployeeData[[#This Row],[Age]]&lt;45,"35-44",IF(EmployeeData[[#This Row],[Age]]&lt;55,"45-54","55+"))))</f>
        <v>25-34</v>
      </c>
      <c r="AK602" s="4" t="str">
        <f>IF(EmployeeData[[#This Row],[MonthlyIncome]]&lt;3000,"Below 3K",IF(EmployeeData[[#This Row],[MonthlyIncome]]&lt;6000,"3K-6K",IF(EmployeeData[[#This Row],[MonthlyIncome]]&lt;9000,"6K-9K",IF(EmployeeData[[#This Row],[MonthlyIncome]]&lt;12000,"9K-12K","12K+"))))</f>
        <v>6K-9K</v>
      </c>
    </row>
    <row r="603" spans="1:37" x14ac:dyDescent="0.3">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c r="AJ603" s="4" t="str">
        <f>IF(EmployeeData[[#This Row],[Age]]&lt;25,"Under 25",IF(EmployeeData[[#This Row],[Age]]&lt;35,"25-34",IF(EmployeeData[[#This Row],[Age]]&lt;45,"35-44",IF(EmployeeData[[#This Row],[Age]]&lt;55,"45-54","55+"))))</f>
        <v>35-44</v>
      </c>
      <c r="AK603" s="4" t="str">
        <f>IF(EmployeeData[[#This Row],[MonthlyIncome]]&lt;3000,"Below 3K",IF(EmployeeData[[#This Row],[MonthlyIncome]]&lt;6000,"3K-6K",IF(EmployeeData[[#This Row],[MonthlyIncome]]&lt;9000,"6K-9K",IF(EmployeeData[[#This Row],[MonthlyIncome]]&lt;12000,"9K-12K","12K+"))))</f>
        <v>3K-6K</v>
      </c>
    </row>
    <row r="604" spans="1:37" x14ac:dyDescent="0.3">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c r="AJ604" s="4" t="str">
        <f>IF(EmployeeData[[#This Row],[Age]]&lt;25,"Under 25",IF(EmployeeData[[#This Row],[Age]]&lt;35,"25-34",IF(EmployeeData[[#This Row],[Age]]&lt;45,"35-44",IF(EmployeeData[[#This Row],[Age]]&lt;55,"45-54","55+"))))</f>
        <v>25-34</v>
      </c>
      <c r="AK604" s="4" t="str">
        <f>IF(EmployeeData[[#This Row],[MonthlyIncome]]&lt;3000,"Below 3K",IF(EmployeeData[[#This Row],[MonthlyIncome]]&lt;6000,"3K-6K",IF(EmployeeData[[#This Row],[MonthlyIncome]]&lt;9000,"6K-9K",IF(EmployeeData[[#This Row],[MonthlyIncome]]&lt;12000,"9K-12K","12K+"))))</f>
        <v>6K-9K</v>
      </c>
    </row>
    <row r="605" spans="1:37" x14ac:dyDescent="0.3">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c r="AJ605" s="4" t="str">
        <f>IF(EmployeeData[[#This Row],[Age]]&lt;25,"Under 25",IF(EmployeeData[[#This Row],[Age]]&lt;35,"25-34",IF(EmployeeData[[#This Row],[Age]]&lt;45,"35-44",IF(EmployeeData[[#This Row],[Age]]&lt;55,"45-54","55+"))))</f>
        <v>45-54</v>
      </c>
      <c r="AK605" s="4" t="str">
        <f>IF(EmployeeData[[#This Row],[MonthlyIncome]]&lt;3000,"Below 3K",IF(EmployeeData[[#This Row],[MonthlyIncome]]&lt;6000,"3K-6K",IF(EmployeeData[[#This Row],[MonthlyIncome]]&lt;9000,"6K-9K",IF(EmployeeData[[#This Row],[MonthlyIncome]]&lt;12000,"9K-12K","12K+"))))</f>
        <v>Below 3K</v>
      </c>
    </row>
    <row r="606" spans="1:37" x14ac:dyDescent="0.3">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c r="AJ606" s="4" t="str">
        <f>IF(EmployeeData[[#This Row],[Age]]&lt;25,"Under 25",IF(EmployeeData[[#This Row],[Age]]&lt;35,"25-34",IF(EmployeeData[[#This Row],[Age]]&lt;45,"35-44",IF(EmployeeData[[#This Row],[Age]]&lt;55,"45-54","55+"))))</f>
        <v>35-44</v>
      </c>
      <c r="AK606" s="4" t="str">
        <f>IF(EmployeeData[[#This Row],[MonthlyIncome]]&lt;3000,"Below 3K",IF(EmployeeData[[#This Row],[MonthlyIncome]]&lt;6000,"3K-6K",IF(EmployeeData[[#This Row],[MonthlyIncome]]&lt;9000,"6K-9K",IF(EmployeeData[[#This Row],[MonthlyIncome]]&lt;12000,"9K-12K","12K+"))))</f>
        <v>3K-6K</v>
      </c>
    </row>
    <row r="607" spans="1:37" x14ac:dyDescent="0.3">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c r="AJ607" s="4" t="str">
        <f>IF(EmployeeData[[#This Row],[Age]]&lt;25,"Under 25",IF(EmployeeData[[#This Row],[Age]]&lt;35,"25-34",IF(EmployeeData[[#This Row],[Age]]&lt;45,"35-44",IF(EmployeeData[[#This Row],[Age]]&lt;55,"45-54","55+"))))</f>
        <v>35-44</v>
      </c>
      <c r="AK607" s="4" t="str">
        <f>IF(EmployeeData[[#This Row],[MonthlyIncome]]&lt;3000,"Below 3K",IF(EmployeeData[[#This Row],[MonthlyIncome]]&lt;6000,"3K-6K",IF(EmployeeData[[#This Row],[MonthlyIncome]]&lt;9000,"6K-9K",IF(EmployeeData[[#This Row],[MonthlyIncome]]&lt;12000,"9K-12K","12K+"))))</f>
        <v>6K-9K</v>
      </c>
    </row>
    <row r="608" spans="1:37" x14ac:dyDescent="0.3">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c r="AJ608" s="4" t="str">
        <f>IF(EmployeeData[[#This Row],[Age]]&lt;25,"Under 25",IF(EmployeeData[[#This Row],[Age]]&lt;35,"25-34",IF(EmployeeData[[#This Row],[Age]]&lt;45,"35-44",IF(EmployeeData[[#This Row],[Age]]&lt;55,"45-54","55+"))))</f>
        <v>25-34</v>
      </c>
      <c r="AK608" s="4" t="str">
        <f>IF(EmployeeData[[#This Row],[MonthlyIncome]]&lt;3000,"Below 3K",IF(EmployeeData[[#This Row],[MonthlyIncome]]&lt;6000,"3K-6K",IF(EmployeeData[[#This Row],[MonthlyIncome]]&lt;9000,"6K-9K",IF(EmployeeData[[#This Row],[MonthlyIncome]]&lt;12000,"9K-12K","12K+"))))</f>
        <v>Below 3K</v>
      </c>
    </row>
    <row r="609" spans="1:37" x14ac:dyDescent="0.3">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c r="AJ609" s="4" t="str">
        <f>IF(EmployeeData[[#This Row],[Age]]&lt;25,"Under 25",IF(EmployeeData[[#This Row],[Age]]&lt;35,"25-34",IF(EmployeeData[[#This Row],[Age]]&lt;45,"35-44",IF(EmployeeData[[#This Row],[Age]]&lt;55,"45-54","55+"))))</f>
        <v>45-54</v>
      </c>
      <c r="AK609" s="4" t="str">
        <f>IF(EmployeeData[[#This Row],[MonthlyIncome]]&lt;3000,"Below 3K",IF(EmployeeData[[#This Row],[MonthlyIncome]]&lt;6000,"3K-6K",IF(EmployeeData[[#This Row],[MonthlyIncome]]&lt;9000,"6K-9K",IF(EmployeeData[[#This Row],[MonthlyIncome]]&lt;12000,"9K-12K","12K+"))))</f>
        <v>6K-9K</v>
      </c>
    </row>
    <row r="610" spans="1:37" x14ac:dyDescent="0.3">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c r="AJ610" s="4" t="str">
        <f>IF(EmployeeData[[#This Row],[Age]]&lt;25,"Under 25",IF(EmployeeData[[#This Row],[Age]]&lt;35,"25-34",IF(EmployeeData[[#This Row],[Age]]&lt;45,"35-44",IF(EmployeeData[[#This Row],[Age]]&lt;55,"45-54","55+"))))</f>
        <v>55+</v>
      </c>
      <c r="AK610" s="4" t="str">
        <f>IF(EmployeeData[[#This Row],[MonthlyIncome]]&lt;3000,"Below 3K",IF(EmployeeData[[#This Row],[MonthlyIncome]]&lt;6000,"3K-6K",IF(EmployeeData[[#This Row],[MonthlyIncome]]&lt;9000,"6K-9K",IF(EmployeeData[[#This Row],[MonthlyIncome]]&lt;12000,"9K-12K","12K+"))))</f>
        <v>3K-6K</v>
      </c>
    </row>
    <row r="611" spans="1:37" x14ac:dyDescent="0.3">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c r="AJ611" s="4" t="str">
        <f>IF(EmployeeData[[#This Row],[Age]]&lt;25,"Under 25",IF(EmployeeData[[#This Row],[Age]]&lt;35,"25-34",IF(EmployeeData[[#This Row],[Age]]&lt;45,"35-44",IF(EmployeeData[[#This Row],[Age]]&lt;55,"45-54","55+"))))</f>
        <v>35-44</v>
      </c>
      <c r="AK611" s="4" t="str">
        <f>IF(EmployeeData[[#This Row],[MonthlyIncome]]&lt;3000,"Below 3K",IF(EmployeeData[[#This Row],[MonthlyIncome]]&lt;6000,"3K-6K",IF(EmployeeData[[#This Row],[MonthlyIncome]]&lt;9000,"6K-9K",IF(EmployeeData[[#This Row],[MonthlyIncome]]&lt;12000,"9K-12K","12K+"))))</f>
        <v>12K+</v>
      </c>
    </row>
    <row r="612" spans="1:37" x14ac:dyDescent="0.3">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c r="AJ612" s="4" t="str">
        <f>IF(EmployeeData[[#This Row],[Age]]&lt;25,"Under 25",IF(EmployeeData[[#This Row],[Age]]&lt;35,"25-34",IF(EmployeeData[[#This Row],[Age]]&lt;45,"35-44",IF(EmployeeData[[#This Row],[Age]]&lt;55,"45-54","55+"))))</f>
        <v>25-34</v>
      </c>
      <c r="AK612" s="4" t="str">
        <f>IF(EmployeeData[[#This Row],[MonthlyIncome]]&lt;3000,"Below 3K",IF(EmployeeData[[#This Row],[MonthlyIncome]]&lt;6000,"3K-6K",IF(EmployeeData[[#This Row],[MonthlyIncome]]&lt;9000,"6K-9K",IF(EmployeeData[[#This Row],[MonthlyIncome]]&lt;12000,"9K-12K","12K+"))))</f>
        <v>12K+</v>
      </c>
    </row>
    <row r="613" spans="1:37" x14ac:dyDescent="0.3">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c r="AJ613" s="4" t="str">
        <f>IF(EmployeeData[[#This Row],[Age]]&lt;25,"Under 25",IF(EmployeeData[[#This Row],[Age]]&lt;35,"25-34",IF(EmployeeData[[#This Row],[Age]]&lt;45,"35-44",IF(EmployeeData[[#This Row],[Age]]&lt;55,"45-54","55+"))))</f>
        <v>35-44</v>
      </c>
      <c r="AK613" s="4" t="str">
        <f>IF(EmployeeData[[#This Row],[MonthlyIncome]]&lt;3000,"Below 3K",IF(EmployeeData[[#This Row],[MonthlyIncome]]&lt;6000,"3K-6K",IF(EmployeeData[[#This Row],[MonthlyIncome]]&lt;9000,"6K-9K",IF(EmployeeData[[#This Row],[MonthlyIncome]]&lt;12000,"9K-12K","12K+"))))</f>
        <v>9K-12K</v>
      </c>
    </row>
    <row r="614" spans="1:37" x14ac:dyDescent="0.3">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c r="AJ614" s="4" t="str">
        <f>IF(EmployeeData[[#This Row],[Age]]&lt;25,"Under 25",IF(EmployeeData[[#This Row],[Age]]&lt;35,"25-34",IF(EmployeeData[[#This Row],[Age]]&lt;45,"35-44",IF(EmployeeData[[#This Row],[Age]]&lt;55,"45-54","55+"))))</f>
        <v>25-34</v>
      </c>
      <c r="AK614" s="4" t="str">
        <f>IF(EmployeeData[[#This Row],[MonthlyIncome]]&lt;3000,"Below 3K",IF(EmployeeData[[#This Row],[MonthlyIncome]]&lt;6000,"3K-6K",IF(EmployeeData[[#This Row],[MonthlyIncome]]&lt;9000,"6K-9K",IF(EmployeeData[[#This Row],[MonthlyIncome]]&lt;12000,"9K-12K","12K+"))))</f>
        <v>3K-6K</v>
      </c>
    </row>
    <row r="615" spans="1:37" x14ac:dyDescent="0.3">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c r="AJ615" s="4" t="str">
        <f>IF(EmployeeData[[#This Row],[Age]]&lt;25,"Under 25",IF(EmployeeData[[#This Row],[Age]]&lt;35,"25-34",IF(EmployeeData[[#This Row],[Age]]&lt;45,"35-44",IF(EmployeeData[[#This Row],[Age]]&lt;55,"45-54","55+"))))</f>
        <v>25-34</v>
      </c>
      <c r="AK615" s="4" t="str">
        <f>IF(EmployeeData[[#This Row],[MonthlyIncome]]&lt;3000,"Below 3K",IF(EmployeeData[[#This Row],[MonthlyIncome]]&lt;6000,"3K-6K",IF(EmployeeData[[#This Row],[MonthlyIncome]]&lt;9000,"6K-9K",IF(EmployeeData[[#This Row],[MonthlyIncome]]&lt;12000,"9K-12K","12K+"))))</f>
        <v>3K-6K</v>
      </c>
    </row>
    <row r="616" spans="1:37" x14ac:dyDescent="0.3">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c r="AJ616" s="4" t="str">
        <f>IF(EmployeeData[[#This Row],[Age]]&lt;25,"Under 25",IF(EmployeeData[[#This Row],[Age]]&lt;35,"25-34",IF(EmployeeData[[#This Row],[Age]]&lt;45,"35-44",IF(EmployeeData[[#This Row],[Age]]&lt;55,"45-54","55+"))))</f>
        <v>25-34</v>
      </c>
      <c r="AK616" s="4" t="str">
        <f>IF(EmployeeData[[#This Row],[MonthlyIncome]]&lt;3000,"Below 3K",IF(EmployeeData[[#This Row],[MonthlyIncome]]&lt;6000,"3K-6K",IF(EmployeeData[[#This Row],[MonthlyIncome]]&lt;9000,"6K-9K",IF(EmployeeData[[#This Row],[MonthlyIncome]]&lt;12000,"9K-12K","12K+"))))</f>
        <v>Below 3K</v>
      </c>
    </row>
    <row r="617" spans="1:37" x14ac:dyDescent="0.3">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c r="AJ617" s="4" t="str">
        <f>IF(EmployeeData[[#This Row],[Age]]&lt;25,"Under 25",IF(EmployeeData[[#This Row],[Age]]&lt;35,"25-34",IF(EmployeeData[[#This Row],[Age]]&lt;45,"35-44",IF(EmployeeData[[#This Row],[Age]]&lt;55,"45-54","55+"))))</f>
        <v>25-34</v>
      </c>
      <c r="AK617" s="4" t="str">
        <f>IF(EmployeeData[[#This Row],[MonthlyIncome]]&lt;3000,"Below 3K",IF(EmployeeData[[#This Row],[MonthlyIncome]]&lt;6000,"3K-6K",IF(EmployeeData[[#This Row],[MonthlyIncome]]&lt;9000,"6K-9K",IF(EmployeeData[[#This Row],[MonthlyIncome]]&lt;12000,"9K-12K","12K+"))))</f>
        <v>Below 3K</v>
      </c>
    </row>
    <row r="618" spans="1:37" x14ac:dyDescent="0.3">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c r="AJ618" s="4" t="str">
        <f>IF(EmployeeData[[#This Row],[Age]]&lt;25,"Under 25",IF(EmployeeData[[#This Row],[Age]]&lt;35,"25-34",IF(EmployeeData[[#This Row],[Age]]&lt;45,"35-44",IF(EmployeeData[[#This Row],[Age]]&lt;55,"45-54","55+"))))</f>
        <v>45-54</v>
      </c>
      <c r="AK618" s="4" t="str">
        <f>IF(EmployeeData[[#This Row],[MonthlyIncome]]&lt;3000,"Below 3K",IF(EmployeeData[[#This Row],[MonthlyIncome]]&lt;6000,"3K-6K",IF(EmployeeData[[#This Row],[MonthlyIncome]]&lt;9000,"6K-9K",IF(EmployeeData[[#This Row],[MonthlyIncome]]&lt;12000,"9K-12K","12K+"))))</f>
        <v>12K+</v>
      </c>
    </row>
    <row r="619" spans="1:37" x14ac:dyDescent="0.3">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c r="AJ619" s="4" t="str">
        <f>IF(EmployeeData[[#This Row],[Age]]&lt;25,"Under 25",IF(EmployeeData[[#This Row],[Age]]&lt;35,"25-34",IF(EmployeeData[[#This Row],[Age]]&lt;45,"35-44",IF(EmployeeData[[#This Row],[Age]]&lt;55,"45-54","55+"))))</f>
        <v>35-44</v>
      </c>
      <c r="AK619" s="4" t="str">
        <f>IF(EmployeeData[[#This Row],[MonthlyIncome]]&lt;3000,"Below 3K",IF(EmployeeData[[#This Row],[MonthlyIncome]]&lt;6000,"3K-6K",IF(EmployeeData[[#This Row],[MonthlyIncome]]&lt;9000,"6K-9K",IF(EmployeeData[[#This Row],[MonthlyIncome]]&lt;12000,"9K-12K","12K+"))))</f>
        <v>3K-6K</v>
      </c>
    </row>
    <row r="620" spans="1:37" x14ac:dyDescent="0.3">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c r="AJ620" s="4" t="str">
        <f>IF(EmployeeData[[#This Row],[Age]]&lt;25,"Under 25",IF(EmployeeData[[#This Row],[Age]]&lt;35,"25-34",IF(EmployeeData[[#This Row],[Age]]&lt;45,"35-44",IF(EmployeeData[[#This Row],[Age]]&lt;55,"45-54","55+"))))</f>
        <v>25-34</v>
      </c>
      <c r="AK620" s="4" t="str">
        <f>IF(EmployeeData[[#This Row],[MonthlyIncome]]&lt;3000,"Below 3K",IF(EmployeeData[[#This Row],[MonthlyIncome]]&lt;6000,"3K-6K",IF(EmployeeData[[#This Row],[MonthlyIncome]]&lt;9000,"6K-9K",IF(EmployeeData[[#This Row],[MonthlyIncome]]&lt;12000,"9K-12K","12K+"))))</f>
        <v>3K-6K</v>
      </c>
    </row>
    <row r="621" spans="1:37" x14ac:dyDescent="0.3">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c r="AJ621" s="4" t="str">
        <f>IF(EmployeeData[[#This Row],[Age]]&lt;25,"Under 25",IF(EmployeeData[[#This Row],[Age]]&lt;35,"25-34",IF(EmployeeData[[#This Row],[Age]]&lt;45,"35-44",IF(EmployeeData[[#This Row],[Age]]&lt;55,"45-54","55+"))))</f>
        <v>25-34</v>
      </c>
      <c r="AK621" s="4" t="str">
        <f>IF(EmployeeData[[#This Row],[MonthlyIncome]]&lt;3000,"Below 3K",IF(EmployeeData[[#This Row],[MonthlyIncome]]&lt;6000,"3K-6K",IF(EmployeeData[[#This Row],[MonthlyIncome]]&lt;9000,"6K-9K",IF(EmployeeData[[#This Row],[MonthlyIncome]]&lt;12000,"9K-12K","12K+"))))</f>
        <v>3K-6K</v>
      </c>
    </row>
    <row r="622" spans="1:37" x14ac:dyDescent="0.3">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c r="AJ622" s="4" t="str">
        <f>IF(EmployeeData[[#This Row],[Age]]&lt;25,"Under 25",IF(EmployeeData[[#This Row],[Age]]&lt;35,"25-34",IF(EmployeeData[[#This Row],[Age]]&lt;45,"35-44",IF(EmployeeData[[#This Row],[Age]]&lt;55,"45-54","55+"))))</f>
        <v>35-44</v>
      </c>
      <c r="AK622" s="4" t="str">
        <f>IF(EmployeeData[[#This Row],[MonthlyIncome]]&lt;3000,"Below 3K",IF(EmployeeData[[#This Row],[MonthlyIncome]]&lt;6000,"3K-6K",IF(EmployeeData[[#This Row],[MonthlyIncome]]&lt;9000,"6K-9K",IF(EmployeeData[[#This Row],[MonthlyIncome]]&lt;12000,"9K-12K","12K+"))))</f>
        <v>Below 3K</v>
      </c>
    </row>
    <row r="623" spans="1:37" x14ac:dyDescent="0.3">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c r="AJ623" s="4" t="str">
        <f>IF(EmployeeData[[#This Row],[Age]]&lt;25,"Under 25",IF(EmployeeData[[#This Row],[Age]]&lt;35,"25-34",IF(EmployeeData[[#This Row],[Age]]&lt;45,"35-44",IF(EmployeeData[[#This Row],[Age]]&lt;55,"45-54","55+"))))</f>
        <v>35-44</v>
      </c>
      <c r="AK623" s="4" t="str">
        <f>IF(EmployeeData[[#This Row],[MonthlyIncome]]&lt;3000,"Below 3K",IF(EmployeeData[[#This Row],[MonthlyIncome]]&lt;6000,"3K-6K",IF(EmployeeData[[#This Row],[MonthlyIncome]]&lt;9000,"6K-9K",IF(EmployeeData[[#This Row],[MonthlyIncome]]&lt;12000,"9K-12K","12K+"))))</f>
        <v>6K-9K</v>
      </c>
    </row>
    <row r="624" spans="1:37" x14ac:dyDescent="0.3">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c r="AJ624" s="4" t="str">
        <f>IF(EmployeeData[[#This Row],[Age]]&lt;25,"Under 25",IF(EmployeeData[[#This Row],[Age]]&lt;35,"25-34",IF(EmployeeData[[#This Row],[Age]]&lt;45,"35-44",IF(EmployeeData[[#This Row],[Age]]&lt;55,"45-54","55+"))))</f>
        <v>25-34</v>
      </c>
      <c r="AK624" s="4" t="str">
        <f>IF(EmployeeData[[#This Row],[MonthlyIncome]]&lt;3000,"Below 3K",IF(EmployeeData[[#This Row],[MonthlyIncome]]&lt;6000,"3K-6K",IF(EmployeeData[[#This Row],[MonthlyIncome]]&lt;9000,"6K-9K",IF(EmployeeData[[#This Row],[MonthlyIncome]]&lt;12000,"9K-12K","12K+"))))</f>
        <v>3K-6K</v>
      </c>
    </row>
    <row r="625" spans="1:37" x14ac:dyDescent="0.3">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c r="AJ625" s="4" t="str">
        <f>IF(EmployeeData[[#This Row],[Age]]&lt;25,"Under 25",IF(EmployeeData[[#This Row],[Age]]&lt;35,"25-34",IF(EmployeeData[[#This Row],[Age]]&lt;45,"35-44",IF(EmployeeData[[#This Row],[Age]]&lt;55,"45-54","55+"))))</f>
        <v>25-34</v>
      </c>
      <c r="AK625" s="4" t="str">
        <f>IF(EmployeeData[[#This Row],[MonthlyIncome]]&lt;3000,"Below 3K",IF(EmployeeData[[#This Row],[MonthlyIncome]]&lt;6000,"3K-6K",IF(EmployeeData[[#This Row],[MonthlyIncome]]&lt;9000,"6K-9K",IF(EmployeeData[[#This Row],[MonthlyIncome]]&lt;12000,"9K-12K","12K+"))))</f>
        <v>3K-6K</v>
      </c>
    </row>
    <row r="626" spans="1:37" x14ac:dyDescent="0.3">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c r="AJ626" s="4" t="str">
        <f>IF(EmployeeData[[#This Row],[Age]]&lt;25,"Under 25",IF(EmployeeData[[#This Row],[Age]]&lt;35,"25-34",IF(EmployeeData[[#This Row],[Age]]&lt;45,"35-44",IF(EmployeeData[[#This Row],[Age]]&lt;55,"45-54","55+"))))</f>
        <v>45-54</v>
      </c>
      <c r="AK626" s="4" t="str">
        <f>IF(EmployeeData[[#This Row],[MonthlyIncome]]&lt;3000,"Below 3K",IF(EmployeeData[[#This Row],[MonthlyIncome]]&lt;6000,"3K-6K",IF(EmployeeData[[#This Row],[MonthlyIncome]]&lt;9000,"6K-9K",IF(EmployeeData[[#This Row],[MonthlyIncome]]&lt;12000,"9K-12K","12K+"))))</f>
        <v>9K-12K</v>
      </c>
    </row>
    <row r="627" spans="1:37" x14ac:dyDescent="0.3">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c r="AJ627" s="4" t="str">
        <f>IF(EmployeeData[[#This Row],[Age]]&lt;25,"Under 25",IF(EmployeeData[[#This Row],[Age]]&lt;35,"25-34",IF(EmployeeData[[#This Row],[Age]]&lt;45,"35-44",IF(EmployeeData[[#This Row],[Age]]&lt;55,"45-54","55+"))))</f>
        <v>45-54</v>
      </c>
      <c r="AK627" s="4" t="str">
        <f>IF(EmployeeData[[#This Row],[MonthlyIncome]]&lt;3000,"Below 3K",IF(EmployeeData[[#This Row],[MonthlyIncome]]&lt;6000,"3K-6K",IF(EmployeeData[[#This Row],[MonthlyIncome]]&lt;9000,"6K-9K",IF(EmployeeData[[#This Row],[MonthlyIncome]]&lt;12000,"9K-12K","12K+"))))</f>
        <v>9K-12K</v>
      </c>
    </row>
    <row r="628" spans="1:37" x14ac:dyDescent="0.3">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c r="AJ628" s="4" t="str">
        <f>IF(EmployeeData[[#This Row],[Age]]&lt;25,"Under 25",IF(EmployeeData[[#This Row],[Age]]&lt;35,"25-34",IF(EmployeeData[[#This Row],[Age]]&lt;45,"35-44",IF(EmployeeData[[#This Row],[Age]]&lt;55,"45-54","55+"))))</f>
        <v>25-34</v>
      </c>
      <c r="AK628" s="4" t="str">
        <f>IF(EmployeeData[[#This Row],[MonthlyIncome]]&lt;3000,"Below 3K",IF(EmployeeData[[#This Row],[MonthlyIncome]]&lt;6000,"3K-6K",IF(EmployeeData[[#This Row],[MonthlyIncome]]&lt;9000,"6K-9K",IF(EmployeeData[[#This Row],[MonthlyIncome]]&lt;12000,"9K-12K","12K+"))))</f>
        <v>3K-6K</v>
      </c>
    </row>
    <row r="629" spans="1:37" x14ac:dyDescent="0.3">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c r="AJ629" s="4" t="str">
        <f>IF(EmployeeData[[#This Row],[Age]]&lt;25,"Under 25",IF(EmployeeData[[#This Row],[Age]]&lt;35,"25-34",IF(EmployeeData[[#This Row],[Age]]&lt;45,"35-44",IF(EmployeeData[[#This Row],[Age]]&lt;55,"45-54","55+"))))</f>
        <v>45-54</v>
      </c>
      <c r="AK629" s="4" t="str">
        <f>IF(EmployeeData[[#This Row],[MonthlyIncome]]&lt;3000,"Below 3K",IF(EmployeeData[[#This Row],[MonthlyIncome]]&lt;6000,"3K-6K",IF(EmployeeData[[#This Row],[MonthlyIncome]]&lt;9000,"6K-9K",IF(EmployeeData[[#This Row],[MonthlyIncome]]&lt;12000,"9K-12K","12K+"))))</f>
        <v>12K+</v>
      </c>
    </row>
    <row r="630" spans="1:37" x14ac:dyDescent="0.3">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c r="AJ630" s="4" t="str">
        <f>IF(EmployeeData[[#This Row],[Age]]&lt;25,"Under 25",IF(EmployeeData[[#This Row],[Age]]&lt;35,"25-34",IF(EmployeeData[[#This Row],[Age]]&lt;45,"35-44",IF(EmployeeData[[#This Row],[Age]]&lt;55,"45-54","55+"))))</f>
        <v>35-44</v>
      </c>
      <c r="AK630" s="4" t="str">
        <f>IF(EmployeeData[[#This Row],[MonthlyIncome]]&lt;3000,"Below 3K",IF(EmployeeData[[#This Row],[MonthlyIncome]]&lt;6000,"3K-6K",IF(EmployeeData[[#This Row],[MonthlyIncome]]&lt;9000,"6K-9K",IF(EmployeeData[[#This Row],[MonthlyIncome]]&lt;12000,"9K-12K","12K+"))))</f>
        <v>6K-9K</v>
      </c>
    </row>
    <row r="631" spans="1:37" x14ac:dyDescent="0.3">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c r="AJ631" s="4" t="str">
        <f>IF(EmployeeData[[#This Row],[Age]]&lt;25,"Under 25",IF(EmployeeData[[#This Row],[Age]]&lt;35,"25-34",IF(EmployeeData[[#This Row],[Age]]&lt;45,"35-44",IF(EmployeeData[[#This Row],[Age]]&lt;55,"45-54","55+"))))</f>
        <v>25-34</v>
      </c>
      <c r="AK631" s="4" t="str">
        <f>IF(EmployeeData[[#This Row],[MonthlyIncome]]&lt;3000,"Below 3K",IF(EmployeeData[[#This Row],[MonthlyIncome]]&lt;6000,"3K-6K",IF(EmployeeData[[#This Row],[MonthlyIncome]]&lt;9000,"6K-9K",IF(EmployeeData[[#This Row],[MonthlyIncome]]&lt;12000,"9K-12K","12K+"))))</f>
        <v>3K-6K</v>
      </c>
    </row>
    <row r="632" spans="1:37" x14ac:dyDescent="0.3">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c r="AJ632" s="4" t="str">
        <f>IF(EmployeeData[[#This Row],[Age]]&lt;25,"Under 25",IF(EmployeeData[[#This Row],[Age]]&lt;35,"25-34",IF(EmployeeData[[#This Row],[Age]]&lt;45,"35-44",IF(EmployeeData[[#This Row],[Age]]&lt;55,"45-54","55+"))))</f>
        <v>Under 25</v>
      </c>
      <c r="AK632" s="4" t="str">
        <f>IF(EmployeeData[[#This Row],[MonthlyIncome]]&lt;3000,"Below 3K",IF(EmployeeData[[#This Row],[MonthlyIncome]]&lt;6000,"3K-6K",IF(EmployeeData[[#This Row],[MonthlyIncome]]&lt;9000,"6K-9K",IF(EmployeeData[[#This Row],[MonthlyIncome]]&lt;12000,"9K-12K","12K+"))))</f>
        <v>3K-6K</v>
      </c>
    </row>
    <row r="633" spans="1:37" x14ac:dyDescent="0.3">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c r="AJ633" s="4" t="str">
        <f>IF(EmployeeData[[#This Row],[Age]]&lt;25,"Under 25",IF(EmployeeData[[#This Row],[Age]]&lt;35,"25-34",IF(EmployeeData[[#This Row],[Age]]&lt;45,"35-44",IF(EmployeeData[[#This Row],[Age]]&lt;55,"45-54","55+"))))</f>
        <v>35-44</v>
      </c>
      <c r="AK633" s="4" t="str">
        <f>IF(EmployeeData[[#This Row],[MonthlyIncome]]&lt;3000,"Below 3K",IF(EmployeeData[[#This Row],[MonthlyIncome]]&lt;6000,"3K-6K",IF(EmployeeData[[#This Row],[MonthlyIncome]]&lt;9000,"6K-9K",IF(EmployeeData[[#This Row],[MonthlyIncome]]&lt;12000,"9K-12K","12K+"))))</f>
        <v>Below 3K</v>
      </c>
    </row>
    <row r="634" spans="1:37" x14ac:dyDescent="0.3">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c r="AJ634" s="4" t="str">
        <f>IF(EmployeeData[[#This Row],[Age]]&lt;25,"Under 25",IF(EmployeeData[[#This Row],[Age]]&lt;35,"25-34",IF(EmployeeData[[#This Row],[Age]]&lt;45,"35-44",IF(EmployeeData[[#This Row],[Age]]&lt;55,"45-54","55+"))))</f>
        <v>35-44</v>
      </c>
      <c r="AK634" s="4" t="str">
        <f>IF(EmployeeData[[#This Row],[MonthlyIncome]]&lt;3000,"Below 3K",IF(EmployeeData[[#This Row],[MonthlyIncome]]&lt;6000,"3K-6K",IF(EmployeeData[[#This Row],[MonthlyIncome]]&lt;9000,"6K-9K",IF(EmployeeData[[#This Row],[MonthlyIncome]]&lt;12000,"9K-12K","12K+"))))</f>
        <v>Below 3K</v>
      </c>
    </row>
    <row r="635" spans="1:37" x14ac:dyDescent="0.3">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c r="AJ635" s="4" t="str">
        <f>IF(EmployeeData[[#This Row],[Age]]&lt;25,"Under 25",IF(EmployeeData[[#This Row],[Age]]&lt;35,"25-34",IF(EmployeeData[[#This Row],[Age]]&lt;45,"35-44",IF(EmployeeData[[#This Row],[Age]]&lt;55,"45-54","55+"))))</f>
        <v>35-44</v>
      </c>
      <c r="AK635" s="4" t="str">
        <f>IF(EmployeeData[[#This Row],[MonthlyIncome]]&lt;3000,"Below 3K",IF(EmployeeData[[#This Row],[MonthlyIncome]]&lt;6000,"3K-6K",IF(EmployeeData[[#This Row],[MonthlyIncome]]&lt;9000,"6K-9K",IF(EmployeeData[[#This Row],[MonthlyIncome]]&lt;12000,"9K-12K","12K+"))))</f>
        <v>Below 3K</v>
      </c>
    </row>
    <row r="636" spans="1:37" x14ac:dyDescent="0.3">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c r="AJ636" s="4" t="str">
        <f>IF(EmployeeData[[#This Row],[Age]]&lt;25,"Under 25",IF(EmployeeData[[#This Row],[Age]]&lt;35,"25-34",IF(EmployeeData[[#This Row],[Age]]&lt;45,"35-44",IF(EmployeeData[[#This Row],[Age]]&lt;55,"45-54","55+"))))</f>
        <v>25-34</v>
      </c>
      <c r="AK636" s="4" t="str">
        <f>IF(EmployeeData[[#This Row],[MonthlyIncome]]&lt;3000,"Below 3K",IF(EmployeeData[[#This Row],[MonthlyIncome]]&lt;6000,"3K-6K",IF(EmployeeData[[#This Row],[MonthlyIncome]]&lt;9000,"6K-9K",IF(EmployeeData[[#This Row],[MonthlyIncome]]&lt;12000,"9K-12K","12K+"))))</f>
        <v>3K-6K</v>
      </c>
    </row>
    <row r="637" spans="1:37" x14ac:dyDescent="0.3">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c r="AJ637" s="4" t="str">
        <f>IF(EmployeeData[[#This Row],[Age]]&lt;25,"Under 25",IF(EmployeeData[[#This Row],[Age]]&lt;35,"25-34",IF(EmployeeData[[#This Row],[Age]]&lt;45,"35-44",IF(EmployeeData[[#This Row],[Age]]&lt;55,"45-54","55+"))))</f>
        <v>35-44</v>
      </c>
      <c r="AK637" s="4" t="str">
        <f>IF(EmployeeData[[#This Row],[MonthlyIncome]]&lt;3000,"Below 3K",IF(EmployeeData[[#This Row],[MonthlyIncome]]&lt;6000,"3K-6K",IF(EmployeeData[[#This Row],[MonthlyIncome]]&lt;9000,"6K-9K",IF(EmployeeData[[#This Row],[MonthlyIncome]]&lt;12000,"9K-12K","12K+"))))</f>
        <v>9K-12K</v>
      </c>
    </row>
    <row r="638" spans="1:37" x14ac:dyDescent="0.3">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c r="AJ638" s="4" t="str">
        <f>IF(EmployeeData[[#This Row],[Age]]&lt;25,"Under 25",IF(EmployeeData[[#This Row],[Age]]&lt;35,"25-34",IF(EmployeeData[[#This Row],[Age]]&lt;45,"35-44",IF(EmployeeData[[#This Row],[Age]]&lt;55,"45-54","55+"))))</f>
        <v>35-44</v>
      </c>
      <c r="AK638" s="4" t="str">
        <f>IF(EmployeeData[[#This Row],[MonthlyIncome]]&lt;3000,"Below 3K",IF(EmployeeData[[#This Row],[MonthlyIncome]]&lt;6000,"3K-6K",IF(EmployeeData[[#This Row],[MonthlyIncome]]&lt;9000,"6K-9K",IF(EmployeeData[[#This Row],[MonthlyIncome]]&lt;12000,"9K-12K","12K+"))))</f>
        <v>Below 3K</v>
      </c>
    </row>
    <row r="639" spans="1:37" x14ac:dyDescent="0.3">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c r="AJ639" s="4" t="str">
        <f>IF(EmployeeData[[#This Row],[Age]]&lt;25,"Under 25",IF(EmployeeData[[#This Row],[Age]]&lt;35,"25-34",IF(EmployeeData[[#This Row],[Age]]&lt;45,"35-44",IF(EmployeeData[[#This Row],[Age]]&lt;55,"45-54","55+"))))</f>
        <v>25-34</v>
      </c>
      <c r="AK639" s="4" t="str">
        <f>IF(EmployeeData[[#This Row],[MonthlyIncome]]&lt;3000,"Below 3K",IF(EmployeeData[[#This Row],[MonthlyIncome]]&lt;6000,"3K-6K",IF(EmployeeData[[#This Row],[MonthlyIncome]]&lt;9000,"6K-9K",IF(EmployeeData[[#This Row],[MonthlyIncome]]&lt;12000,"9K-12K","12K+"))))</f>
        <v>Below 3K</v>
      </c>
    </row>
    <row r="640" spans="1:37" x14ac:dyDescent="0.3">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c r="AJ640" s="4" t="str">
        <f>IF(EmployeeData[[#This Row],[Age]]&lt;25,"Under 25",IF(EmployeeData[[#This Row],[Age]]&lt;35,"25-34",IF(EmployeeData[[#This Row],[Age]]&lt;45,"35-44",IF(EmployeeData[[#This Row],[Age]]&lt;55,"45-54","55+"))))</f>
        <v>25-34</v>
      </c>
      <c r="AK640" s="4" t="str">
        <f>IF(EmployeeData[[#This Row],[MonthlyIncome]]&lt;3000,"Below 3K",IF(EmployeeData[[#This Row],[MonthlyIncome]]&lt;6000,"3K-6K",IF(EmployeeData[[#This Row],[MonthlyIncome]]&lt;9000,"6K-9K",IF(EmployeeData[[#This Row],[MonthlyIncome]]&lt;12000,"9K-12K","12K+"))))</f>
        <v>3K-6K</v>
      </c>
    </row>
    <row r="641" spans="1:37" x14ac:dyDescent="0.3">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c r="AJ641" s="4" t="str">
        <f>IF(EmployeeData[[#This Row],[Age]]&lt;25,"Under 25",IF(EmployeeData[[#This Row],[Age]]&lt;35,"25-34",IF(EmployeeData[[#This Row],[Age]]&lt;45,"35-44",IF(EmployeeData[[#This Row],[Age]]&lt;55,"45-54","55+"))))</f>
        <v>45-54</v>
      </c>
      <c r="AK641" s="4" t="str">
        <f>IF(EmployeeData[[#This Row],[MonthlyIncome]]&lt;3000,"Below 3K",IF(EmployeeData[[#This Row],[MonthlyIncome]]&lt;6000,"3K-6K",IF(EmployeeData[[#This Row],[MonthlyIncome]]&lt;9000,"6K-9K",IF(EmployeeData[[#This Row],[MonthlyIncome]]&lt;12000,"9K-12K","12K+"))))</f>
        <v>3K-6K</v>
      </c>
    </row>
    <row r="642" spans="1:37" x14ac:dyDescent="0.3">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c r="AJ642" s="4" t="str">
        <f>IF(EmployeeData[[#This Row],[Age]]&lt;25,"Under 25",IF(EmployeeData[[#This Row],[Age]]&lt;35,"25-34",IF(EmployeeData[[#This Row],[Age]]&lt;45,"35-44",IF(EmployeeData[[#This Row],[Age]]&lt;55,"45-54","55+"))))</f>
        <v>Under 25</v>
      </c>
      <c r="AK642" s="4" t="str">
        <f>IF(EmployeeData[[#This Row],[MonthlyIncome]]&lt;3000,"Below 3K",IF(EmployeeData[[#This Row],[MonthlyIncome]]&lt;6000,"3K-6K",IF(EmployeeData[[#This Row],[MonthlyIncome]]&lt;9000,"6K-9K",IF(EmployeeData[[#This Row],[MonthlyIncome]]&lt;12000,"9K-12K","12K+"))))</f>
        <v>3K-6K</v>
      </c>
    </row>
    <row r="643" spans="1:37" x14ac:dyDescent="0.3">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c r="AJ643" s="4" t="str">
        <f>IF(EmployeeData[[#This Row],[Age]]&lt;25,"Under 25",IF(EmployeeData[[#This Row],[Age]]&lt;35,"25-34",IF(EmployeeData[[#This Row],[Age]]&lt;45,"35-44",IF(EmployeeData[[#This Row],[Age]]&lt;55,"45-54","55+"))))</f>
        <v>25-34</v>
      </c>
      <c r="AK643" s="4" t="str">
        <f>IF(EmployeeData[[#This Row],[MonthlyIncome]]&lt;3000,"Below 3K",IF(EmployeeData[[#This Row],[MonthlyIncome]]&lt;6000,"3K-6K",IF(EmployeeData[[#This Row],[MonthlyIncome]]&lt;9000,"6K-9K",IF(EmployeeData[[#This Row],[MonthlyIncome]]&lt;12000,"9K-12K","12K+"))))</f>
        <v>6K-9K</v>
      </c>
    </row>
    <row r="644" spans="1:37" x14ac:dyDescent="0.3">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c r="AJ644" s="4" t="str">
        <f>IF(EmployeeData[[#This Row],[Age]]&lt;25,"Under 25",IF(EmployeeData[[#This Row],[Age]]&lt;35,"25-34",IF(EmployeeData[[#This Row],[Age]]&lt;45,"35-44",IF(EmployeeData[[#This Row],[Age]]&lt;55,"45-54","55+"))))</f>
        <v>35-44</v>
      </c>
      <c r="AK644" s="4" t="str">
        <f>IF(EmployeeData[[#This Row],[MonthlyIncome]]&lt;3000,"Below 3K",IF(EmployeeData[[#This Row],[MonthlyIncome]]&lt;6000,"3K-6K",IF(EmployeeData[[#This Row],[MonthlyIncome]]&lt;9000,"6K-9K",IF(EmployeeData[[#This Row],[MonthlyIncome]]&lt;12000,"9K-12K","12K+"))))</f>
        <v>Below 3K</v>
      </c>
    </row>
    <row r="645" spans="1:37" x14ac:dyDescent="0.3">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c r="AJ645" s="4" t="str">
        <f>IF(EmployeeData[[#This Row],[Age]]&lt;25,"Under 25",IF(EmployeeData[[#This Row],[Age]]&lt;35,"25-34",IF(EmployeeData[[#This Row],[Age]]&lt;45,"35-44",IF(EmployeeData[[#This Row],[Age]]&lt;55,"45-54","55+"))))</f>
        <v>35-44</v>
      </c>
      <c r="AK645" s="4" t="str">
        <f>IF(EmployeeData[[#This Row],[MonthlyIncome]]&lt;3000,"Below 3K",IF(EmployeeData[[#This Row],[MonthlyIncome]]&lt;6000,"3K-6K",IF(EmployeeData[[#This Row],[MonthlyIncome]]&lt;9000,"6K-9K",IF(EmployeeData[[#This Row],[MonthlyIncome]]&lt;12000,"9K-12K","12K+"))))</f>
        <v>3K-6K</v>
      </c>
    </row>
    <row r="646" spans="1:37" x14ac:dyDescent="0.3">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c r="AJ646" s="4" t="str">
        <f>IF(EmployeeData[[#This Row],[Age]]&lt;25,"Under 25",IF(EmployeeData[[#This Row],[Age]]&lt;35,"25-34",IF(EmployeeData[[#This Row],[Age]]&lt;45,"35-44",IF(EmployeeData[[#This Row],[Age]]&lt;55,"45-54","55+"))))</f>
        <v>25-34</v>
      </c>
      <c r="AK646" s="4" t="str">
        <f>IF(EmployeeData[[#This Row],[MonthlyIncome]]&lt;3000,"Below 3K",IF(EmployeeData[[#This Row],[MonthlyIncome]]&lt;6000,"3K-6K",IF(EmployeeData[[#This Row],[MonthlyIncome]]&lt;9000,"6K-9K",IF(EmployeeData[[#This Row],[MonthlyIncome]]&lt;12000,"9K-12K","12K+"))))</f>
        <v>Below 3K</v>
      </c>
    </row>
    <row r="647" spans="1:37" x14ac:dyDescent="0.3">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c r="AJ647" s="4" t="str">
        <f>IF(EmployeeData[[#This Row],[Age]]&lt;25,"Under 25",IF(EmployeeData[[#This Row],[Age]]&lt;35,"25-34",IF(EmployeeData[[#This Row],[Age]]&lt;45,"35-44",IF(EmployeeData[[#This Row],[Age]]&lt;55,"45-54","55+"))))</f>
        <v>25-34</v>
      </c>
      <c r="AK647" s="4" t="str">
        <f>IF(EmployeeData[[#This Row],[MonthlyIncome]]&lt;3000,"Below 3K",IF(EmployeeData[[#This Row],[MonthlyIncome]]&lt;6000,"3K-6K",IF(EmployeeData[[#This Row],[MonthlyIncome]]&lt;9000,"6K-9K",IF(EmployeeData[[#This Row],[MonthlyIncome]]&lt;12000,"9K-12K","12K+"))))</f>
        <v>Below 3K</v>
      </c>
    </row>
    <row r="648" spans="1:37" x14ac:dyDescent="0.3">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c r="AJ648" s="4" t="str">
        <f>IF(EmployeeData[[#This Row],[Age]]&lt;25,"Under 25",IF(EmployeeData[[#This Row],[Age]]&lt;35,"25-34",IF(EmployeeData[[#This Row],[Age]]&lt;45,"35-44",IF(EmployeeData[[#This Row],[Age]]&lt;55,"45-54","55+"))))</f>
        <v>45-54</v>
      </c>
      <c r="AK648" s="4" t="str">
        <f>IF(EmployeeData[[#This Row],[MonthlyIncome]]&lt;3000,"Below 3K",IF(EmployeeData[[#This Row],[MonthlyIncome]]&lt;6000,"3K-6K",IF(EmployeeData[[#This Row],[MonthlyIncome]]&lt;9000,"6K-9K",IF(EmployeeData[[#This Row],[MonthlyIncome]]&lt;12000,"9K-12K","12K+"))))</f>
        <v>9K-12K</v>
      </c>
    </row>
    <row r="649" spans="1:37" x14ac:dyDescent="0.3">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c r="AJ649" s="4" t="str">
        <f>IF(EmployeeData[[#This Row],[Age]]&lt;25,"Under 25",IF(EmployeeData[[#This Row],[Age]]&lt;35,"25-34",IF(EmployeeData[[#This Row],[Age]]&lt;45,"35-44",IF(EmployeeData[[#This Row],[Age]]&lt;55,"45-54","55+"))))</f>
        <v>35-44</v>
      </c>
      <c r="AK649" s="4" t="str">
        <f>IF(EmployeeData[[#This Row],[MonthlyIncome]]&lt;3000,"Below 3K",IF(EmployeeData[[#This Row],[MonthlyIncome]]&lt;6000,"3K-6K",IF(EmployeeData[[#This Row],[MonthlyIncome]]&lt;9000,"6K-9K",IF(EmployeeData[[#This Row],[MonthlyIncome]]&lt;12000,"9K-12K","12K+"))))</f>
        <v>9K-12K</v>
      </c>
    </row>
    <row r="650" spans="1:37" x14ac:dyDescent="0.3">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c r="AJ650" s="4" t="str">
        <f>IF(EmployeeData[[#This Row],[Age]]&lt;25,"Under 25",IF(EmployeeData[[#This Row],[Age]]&lt;35,"25-34",IF(EmployeeData[[#This Row],[Age]]&lt;45,"35-44",IF(EmployeeData[[#This Row],[Age]]&lt;55,"45-54","55+"))))</f>
        <v>35-44</v>
      </c>
      <c r="AK650" s="4" t="str">
        <f>IF(EmployeeData[[#This Row],[MonthlyIncome]]&lt;3000,"Below 3K",IF(EmployeeData[[#This Row],[MonthlyIncome]]&lt;6000,"3K-6K",IF(EmployeeData[[#This Row],[MonthlyIncome]]&lt;9000,"6K-9K",IF(EmployeeData[[#This Row],[MonthlyIncome]]&lt;12000,"9K-12K","12K+"))))</f>
        <v>Below 3K</v>
      </c>
    </row>
    <row r="651" spans="1:37" x14ac:dyDescent="0.3">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c r="AJ651" s="4" t="str">
        <f>IF(EmployeeData[[#This Row],[Age]]&lt;25,"Under 25",IF(EmployeeData[[#This Row],[Age]]&lt;35,"25-34",IF(EmployeeData[[#This Row],[Age]]&lt;45,"35-44",IF(EmployeeData[[#This Row],[Age]]&lt;55,"45-54","55+"))))</f>
        <v>45-54</v>
      </c>
      <c r="AK651" s="4" t="str">
        <f>IF(EmployeeData[[#This Row],[MonthlyIncome]]&lt;3000,"Below 3K",IF(EmployeeData[[#This Row],[MonthlyIncome]]&lt;6000,"3K-6K",IF(EmployeeData[[#This Row],[MonthlyIncome]]&lt;9000,"6K-9K",IF(EmployeeData[[#This Row],[MonthlyIncome]]&lt;12000,"9K-12K","12K+"))))</f>
        <v>12K+</v>
      </c>
    </row>
    <row r="652" spans="1:37" x14ac:dyDescent="0.3">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c r="AJ652" s="4" t="str">
        <f>IF(EmployeeData[[#This Row],[Age]]&lt;25,"Under 25",IF(EmployeeData[[#This Row],[Age]]&lt;35,"25-34",IF(EmployeeData[[#This Row],[Age]]&lt;45,"35-44",IF(EmployeeData[[#This Row],[Age]]&lt;55,"45-54","55+"))))</f>
        <v>35-44</v>
      </c>
      <c r="AK652" s="4" t="str">
        <f>IF(EmployeeData[[#This Row],[MonthlyIncome]]&lt;3000,"Below 3K",IF(EmployeeData[[#This Row],[MonthlyIncome]]&lt;6000,"3K-6K",IF(EmployeeData[[#This Row],[MonthlyIncome]]&lt;9000,"6K-9K",IF(EmployeeData[[#This Row],[MonthlyIncome]]&lt;12000,"9K-12K","12K+"))))</f>
        <v>3K-6K</v>
      </c>
    </row>
    <row r="653" spans="1:37" x14ac:dyDescent="0.3">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c r="AJ653" s="4" t="str">
        <f>IF(EmployeeData[[#This Row],[Age]]&lt;25,"Under 25",IF(EmployeeData[[#This Row],[Age]]&lt;35,"25-34",IF(EmployeeData[[#This Row],[Age]]&lt;45,"35-44",IF(EmployeeData[[#This Row],[Age]]&lt;55,"45-54","55+"))))</f>
        <v>45-54</v>
      </c>
      <c r="AK653" s="4" t="str">
        <f>IF(EmployeeData[[#This Row],[MonthlyIncome]]&lt;3000,"Below 3K",IF(EmployeeData[[#This Row],[MonthlyIncome]]&lt;6000,"3K-6K",IF(EmployeeData[[#This Row],[MonthlyIncome]]&lt;9000,"6K-9K",IF(EmployeeData[[#This Row],[MonthlyIncome]]&lt;12000,"9K-12K","12K+"))))</f>
        <v>3K-6K</v>
      </c>
    </row>
    <row r="654" spans="1:37" x14ac:dyDescent="0.3">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c r="AJ654" s="4" t="str">
        <f>IF(EmployeeData[[#This Row],[Age]]&lt;25,"Under 25",IF(EmployeeData[[#This Row],[Age]]&lt;35,"25-34",IF(EmployeeData[[#This Row],[Age]]&lt;45,"35-44",IF(EmployeeData[[#This Row],[Age]]&lt;55,"45-54","55+"))))</f>
        <v>35-44</v>
      </c>
      <c r="AK654" s="4" t="str">
        <f>IF(EmployeeData[[#This Row],[MonthlyIncome]]&lt;3000,"Below 3K",IF(EmployeeData[[#This Row],[MonthlyIncome]]&lt;6000,"3K-6K",IF(EmployeeData[[#This Row],[MonthlyIncome]]&lt;9000,"6K-9K",IF(EmployeeData[[#This Row],[MonthlyIncome]]&lt;12000,"9K-12K","12K+"))))</f>
        <v>6K-9K</v>
      </c>
    </row>
    <row r="655" spans="1:37" x14ac:dyDescent="0.3">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c r="AJ655" s="4" t="str">
        <f>IF(EmployeeData[[#This Row],[Age]]&lt;25,"Under 25",IF(EmployeeData[[#This Row],[Age]]&lt;35,"25-34",IF(EmployeeData[[#This Row],[Age]]&lt;45,"35-44",IF(EmployeeData[[#This Row],[Age]]&lt;55,"45-54","55+"))))</f>
        <v>45-54</v>
      </c>
      <c r="AK655" s="4" t="str">
        <f>IF(EmployeeData[[#This Row],[MonthlyIncome]]&lt;3000,"Below 3K",IF(EmployeeData[[#This Row],[MonthlyIncome]]&lt;6000,"3K-6K",IF(EmployeeData[[#This Row],[MonthlyIncome]]&lt;9000,"6K-9K",IF(EmployeeData[[#This Row],[MonthlyIncome]]&lt;12000,"9K-12K","12K+"))))</f>
        <v>12K+</v>
      </c>
    </row>
    <row r="656" spans="1:37" x14ac:dyDescent="0.3">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c r="AJ656" s="4" t="str">
        <f>IF(EmployeeData[[#This Row],[Age]]&lt;25,"Under 25",IF(EmployeeData[[#This Row],[Age]]&lt;35,"25-34",IF(EmployeeData[[#This Row],[Age]]&lt;45,"35-44",IF(EmployeeData[[#This Row],[Age]]&lt;55,"45-54","55+"))))</f>
        <v>35-44</v>
      </c>
      <c r="AK656" s="4" t="str">
        <f>IF(EmployeeData[[#This Row],[MonthlyIncome]]&lt;3000,"Below 3K",IF(EmployeeData[[#This Row],[MonthlyIncome]]&lt;6000,"3K-6K",IF(EmployeeData[[#This Row],[MonthlyIncome]]&lt;9000,"6K-9K",IF(EmployeeData[[#This Row],[MonthlyIncome]]&lt;12000,"9K-12K","12K+"))))</f>
        <v>3K-6K</v>
      </c>
    </row>
    <row r="657" spans="1:37" x14ac:dyDescent="0.3">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c r="AJ657" s="4" t="str">
        <f>IF(EmployeeData[[#This Row],[Age]]&lt;25,"Under 25",IF(EmployeeData[[#This Row],[Age]]&lt;35,"25-34",IF(EmployeeData[[#This Row],[Age]]&lt;45,"35-44",IF(EmployeeData[[#This Row],[Age]]&lt;55,"45-54","55+"))))</f>
        <v>25-34</v>
      </c>
      <c r="AK657" s="4" t="str">
        <f>IF(EmployeeData[[#This Row],[MonthlyIncome]]&lt;3000,"Below 3K",IF(EmployeeData[[#This Row],[MonthlyIncome]]&lt;6000,"3K-6K",IF(EmployeeData[[#This Row],[MonthlyIncome]]&lt;9000,"6K-9K",IF(EmployeeData[[#This Row],[MonthlyIncome]]&lt;12000,"9K-12K","12K+"))))</f>
        <v>Below 3K</v>
      </c>
    </row>
    <row r="658" spans="1:37" x14ac:dyDescent="0.3">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c r="AJ658" s="4" t="str">
        <f>IF(EmployeeData[[#This Row],[Age]]&lt;25,"Under 25",IF(EmployeeData[[#This Row],[Age]]&lt;35,"25-34",IF(EmployeeData[[#This Row],[Age]]&lt;45,"35-44",IF(EmployeeData[[#This Row],[Age]]&lt;55,"45-54","55+"))))</f>
        <v>25-34</v>
      </c>
      <c r="AK658" s="4" t="str">
        <f>IF(EmployeeData[[#This Row],[MonthlyIncome]]&lt;3000,"Below 3K",IF(EmployeeData[[#This Row],[MonthlyIncome]]&lt;6000,"3K-6K",IF(EmployeeData[[#This Row],[MonthlyIncome]]&lt;9000,"6K-9K",IF(EmployeeData[[#This Row],[MonthlyIncome]]&lt;12000,"9K-12K","12K+"))))</f>
        <v>Below 3K</v>
      </c>
    </row>
    <row r="659" spans="1:37" x14ac:dyDescent="0.3">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c r="AJ659" s="4" t="str">
        <f>IF(EmployeeData[[#This Row],[Age]]&lt;25,"Under 25",IF(EmployeeData[[#This Row],[Age]]&lt;35,"25-34",IF(EmployeeData[[#This Row],[Age]]&lt;45,"35-44",IF(EmployeeData[[#This Row],[Age]]&lt;55,"45-54","55+"))))</f>
        <v>25-34</v>
      </c>
      <c r="AK659" s="4" t="str">
        <f>IF(EmployeeData[[#This Row],[MonthlyIncome]]&lt;3000,"Below 3K",IF(EmployeeData[[#This Row],[MonthlyIncome]]&lt;6000,"3K-6K",IF(EmployeeData[[#This Row],[MonthlyIncome]]&lt;9000,"6K-9K",IF(EmployeeData[[#This Row],[MonthlyIncome]]&lt;12000,"9K-12K","12K+"))))</f>
        <v>Below 3K</v>
      </c>
    </row>
    <row r="660" spans="1:37" x14ac:dyDescent="0.3">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c r="AJ660" s="4" t="str">
        <f>IF(EmployeeData[[#This Row],[Age]]&lt;25,"Under 25",IF(EmployeeData[[#This Row],[Age]]&lt;35,"25-34",IF(EmployeeData[[#This Row],[Age]]&lt;45,"35-44",IF(EmployeeData[[#This Row],[Age]]&lt;55,"45-54","55+"))))</f>
        <v>35-44</v>
      </c>
      <c r="AK660" s="4" t="str">
        <f>IF(EmployeeData[[#This Row],[MonthlyIncome]]&lt;3000,"Below 3K",IF(EmployeeData[[#This Row],[MonthlyIncome]]&lt;6000,"3K-6K",IF(EmployeeData[[#This Row],[MonthlyIncome]]&lt;9000,"6K-9K",IF(EmployeeData[[#This Row],[MonthlyIncome]]&lt;12000,"9K-12K","12K+"))))</f>
        <v>Below 3K</v>
      </c>
    </row>
    <row r="661" spans="1:37" x14ac:dyDescent="0.3">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c r="AJ661" s="4" t="str">
        <f>IF(EmployeeData[[#This Row],[Age]]&lt;25,"Under 25",IF(EmployeeData[[#This Row],[Age]]&lt;35,"25-34",IF(EmployeeData[[#This Row],[Age]]&lt;45,"35-44",IF(EmployeeData[[#This Row],[Age]]&lt;55,"45-54","55+"))))</f>
        <v>25-34</v>
      </c>
      <c r="AK661" s="4" t="str">
        <f>IF(EmployeeData[[#This Row],[MonthlyIncome]]&lt;3000,"Below 3K",IF(EmployeeData[[#This Row],[MonthlyIncome]]&lt;6000,"3K-6K",IF(EmployeeData[[#This Row],[MonthlyIncome]]&lt;9000,"6K-9K",IF(EmployeeData[[#This Row],[MonthlyIncome]]&lt;12000,"9K-12K","12K+"))))</f>
        <v>3K-6K</v>
      </c>
    </row>
    <row r="662" spans="1:37" x14ac:dyDescent="0.3">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c r="AJ662" s="4" t="str">
        <f>IF(EmployeeData[[#This Row],[Age]]&lt;25,"Under 25",IF(EmployeeData[[#This Row],[Age]]&lt;35,"25-34",IF(EmployeeData[[#This Row],[Age]]&lt;45,"35-44",IF(EmployeeData[[#This Row],[Age]]&lt;55,"45-54","55+"))))</f>
        <v>55+</v>
      </c>
      <c r="AK662" s="4" t="str">
        <f>IF(EmployeeData[[#This Row],[MonthlyIncome]]&lt;3000,"Below 3K",IF(EmployeeData[[#This Row],[MonthlyIncome]]&lt;6000,"3K-6K",IF(EmployeeData[[#This Row],[MonthlyIncome]]&lt;9000,"6K-9K",IF(EmployeeData[[#This Row],[MonthlyIncome]]&lt;12000,"9K-12K","12K+"))))</f>
        <v>Below 3K</v>
      </c>
    </row>
    <row r="663" spans="1:37" x14ac:dyDescent="0.3">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c r="AJ663" s="4" t="str">
        <f>IF(EmployeeData[[#This Row],[Age]]&lt;25,"Under 25",IF(EmployeeData[[#This Row],[Age]]&lt;35,"25-34",IF(EmployeeData[[#This Row],[Age]]&lt;45,"35-44",IF(EmployeeData[[#This Row],[Age]]&lt;55,"45-54","55+"))))</f>
        <v>35-44</v>
      </c>
      <c r="AK663" s="4" t="str">
        <f>IF(EmployeeData[[#This Row],[MonthlyIncome]]&lt;3000,"Below 3K",IF(EmployeeData[[#This Row],[MonthlyIncome]]&lt;6000,"3K-6K",IF(EmployeeData[[#This Row],[MonthlyIncome]]&lt;9000,"6K-9K",IF(EmployeeData[[#This Row],[MonthlyIncome]]&lt;12000,"9K-12K","12K+"))))</f>
        <v>3K-6K</v>
      </c>
    </row>
    <row r="664" spans="1:37" x14ac:dyDescent="0.3">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c r="AJ664" s="4" t="str">
        <f>IF(EmployeeData[[#This Row],[Age]]&lt;25,"Under 25",IF(EmployeeData[[#This Row],[Age]]&lt;35,"25-34",IF(EmployeeData[[#This Row],[Age]]&lt;45,"35-44",IF(EmployeeData[[#This Row],[Age]]&lt;55,"45-54","55+"))))</f>
        <v>Under 25</v>
      </c>
      <c r="AK664" s="4" t="str">
        <f>IF(EmployeeData[[#This Row],[MonthlyIncome]]&lt;3000,"Below 3K",IF(EmployeeData[[#This Row],[MonthlyIncome]]&lt;6000,"3K-6K",IF(EmployeeData[[#This Row],[MonthlyIncome]]&lt;9000,"6K-9K",IF(EmployeeData[[#This Row],[MonthlyIncome]]&lt;12000,"9K-12K","12K+"))))</f>
        <v>Below 3K</v>
      </c>
    </row>
    <row r="665" spans="1:37" x14ac:dyDescent="0.3">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c r="AJ665" s="4" t="str">
        <f>IF(EmployeeData[[#This Row],[Age]]&lt;25,"Under 25",IF(EmployeeData[[#This Row],[Age]]&lt;35,"25-34",IF(EmployeeData[[#This Row],[Age]]&lt;45,"35-44",IF(EmployeeData[[#This Row],[Age]]&lt;55,"45-54","55+"))))</f>
        <v>Under 25</v>
      </c>
      <c r="AK665" s="4" t="str">
        <f>IF(EmployeeData[[#This Row],[MonthlyIncome]]&lt;3000,"Below 3K",IF(EmployeeData[[#This Row],[MonthlyIncome]]&lt;6000,"3K-6K",IF(EmployeeData[[#This Row],[MonthlyIncome]]&lt;9000,"6K-9K",IF(EmployeeData[[#This Row],[MonthlyIncome]]&lt;12000,"9K-12K","12K+"))))</f>
        <v>Below 3K</v>
      </c>
    </row>
    <row r="666" spans="1:37" x14ac:dyDescent="0.3">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c r="AJ666" s="4" t="str">
        <f>IF(EmployeeData[[#This Row],[Age]]&lt;25,"Under 25",IF(EmployeeData[[#This Row],[Age]]&lt;35,"25-34",IF(EmployeeData[[#This Row],[Age]]&lt;45,"35-44",IF(EmployeeData[[#This Row],[Age]]&lt;55,"45-54","55+"))))</f>
        <v>35-44</v>
      </c>
      <c r="AK666" s="4" t="str">
        <f>IF(EmployeeData[[#This Row],[MonthlyIncome]]&lt;3000,"Below 3K",IF(EmployeeData[[#This Row],[MonthlyIncome]]&lt;6000,"3K-6K",IF(EmployeeData[[#This Row],[MonthlyIncome]]&lt;9000,"6K-9K",IF(EmployeeData[[#This Row],[MonthlyIncome]]&lt;12000,"9K-12K","12K+"))))</f>
        <v>6K-9K</v>
      </c>
    </row>
    <row r="667" spans="1:37" x14ac:dyDescent="0.3">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c r="AJ667" s="4" t="str">
        <f>IF(EmployeeData[[#This Row],[Age]]&lt;25,"Under 25",IF(EmployeeData[[#This Row],[Age]]&lt;35,"25-34",IF(EmployeeData[[#This Row],[Age]]&lt;45,"35-44",IF(EmployeeData[[#This Row],[Age]]&lt;55,"45-54","55+"))))</f>
        <v>45-54</v>
      </c>
      <c r="AK667" s="4" t="str">
        <f>IF(EmployeeData[[#This Row],[MonthlyIncome]]&lt;3000,"Below 3K",IF(EmployeeData[[#This Row],[MonthlyIncome]]&lt;6000,"3K-6K",IF(EmployeeData[[#This Row],[MonthlyIncome]]&lt;9000,"6K-9K",IF(EmployeeData[[#This Row],[MonthlyIncome]]&lt;12000,"9K-12K","12K+"))))</f>
        <v>3K-6K</v>
      </c>
    </row>
    <row r="668" spans="1:37" x14ac:dyDescent="0.3">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c r="AJ668" s="4" t="str">
        <f>IF(EmployeeData[[#This Row],[Age]]&lt;25,"Under 25",IF(EmployeeData[[#This Row],[Age]]&lt;35,"25-34",IF(EmployeeData[[#This Row],[Age]]&lt;45,"35-44",IF(EmployeeData[[#This Row],[Age]]&lt;55,"45-54","55+"))))</f>
        <v>Under 25</v>
      </c>
      <c r="AK668" s="4" t="str">
        <f>IF(EmployeeData[[#This Row],[MonthlyIncome]]&lt;3000,"Below 3K",IF(EmployeeData[[#This Row],[MonthlyIncome]]&lt;6000,"3K-6K",IF(EmployeeData[[#This Row],[MonthlyIncome]]&lt;9000,"6K-9K",IF(EmployeeData[[#This Row],[MonthlyIncome]]&lt;12000,"9K-12K","12K+"))))</f>
        <v>3K-6K</v>
      </c>
    </row>
    <row r="669" spans="1:37" x14ac:dyDescent="0.3">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c r="AJ669" s="4" t="str">
        <f>IF(EmployeeData[[#This Row],[Age]]&lt;25,"Under 25",IF(EmployeeData[[#This Row],[Age]]&lt;35,"25-34",IF(EmployeeData[[#This Row],[Age]]&lt;45,"35-44",IF(EmployeeData[[#This Row],[Age]]&lt;55,"45-54","55+"))))</f>
        <v>35-44</v>
      </c>
      <c r="AK669" s="4" t="str">
        <f>IF(EmployeeData[[#This Row],[MonthlyIncome]]&lt;3000,"Below 3K",IF(EmployeeData[[#This Row],[MonthlyIncome]]&lt;6000,"3K-6K",IF(EmployeeData[[#This Row],[MonthlyIncome]]&lt;9000,"6K-9K",IF(EmployeeData[[#This Row],[MonthlyIncome]]&lt;12000,"9K-12K","12K+"))))</f>
        <v>Below 3K</v>
      </c>
    </row>
    <row r="670" spans="1:37" x14ac:dyDescent="0.3">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c r="AJ670" s="4" t="str">
        <f>IF(EmployeeData[[#This Row],[Age]]&lt;25,"Under 25",IF(EmployeeData[[#This Row],[Age]]&lt;35,"25-34",IF(EmployeeData[[#This Row],[Age]]&lt;45,"35-44",IF(EmployeeData[[#This Row],[Age]]&lt;55,"45-54","55+"))))</f>
        <v>25-34</v>
      </c>
      <c r="AK670" s="4" t="str">
        <f>IF(EmployeeData[[#This Row],[MonthlyIncome]]&lt;3000,"Below 3K",IF(EmployeeData[[#This Row],[MonthlyIncome]]&lt;6000,"3K-6K",IF(EmployeeData[[#This Row],[MonthlyIncome]]&lt;9000,"6K-9K",IF(EmployeeData[[#This Row],[MonthlyIncome]]&lt;12000,"9K-12K","12K+"))))</f>
        <v>Below 3K</v>
      </c>
    </row>
    <row r="671" spans="1:37" x14ac:dyDescent="0.3">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c r="AJ671" s="4" t="str">
        <f>IF(EmployeeData[[#This Row],[Age]]&lt;25,"Under 25",IF(EmployeeData[[#This Row],[Age]]&lt;35,"25-34",IF(EmployeeData[[#This Row],[Age]]&lt;45,"35-44",IF(EmployeeData[[#This Row],[Age]]&lt;55,"45-54","55+"))))</f>
        <v>35-44</v>
      </c>
      <c r="AK671" s="4" t="str">
        <f>IF(EmployeeData[[#This Row],[MonthlyIncome]]&lt;3000,"Below 3K",IF(EmployeeData[[#This Row],[MonthlyIncome]]&lt;6000,"3K-6K",IF(EmployeeData[[#This Row],[MonthlyIncome]]&lt;9000,"6K-9K",IF(EmployeeData[[#This Row],[MonthlyIncome]]&lt;12000,"9K-12K","12K+"))))</f>
        <v>Below 3K</v>
      </c>
    </row>
    <row r="672" spans="1:37" x14ac:dyDescent="0.3">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c r="AJ672" s="4" t="str">
        <f>IF(EmployeeData[[#This Row],[Age]]&lt;25,"Under 25",IF(EmployeeData[[#This Row],[Age]]&lt;35,"25-34",IF(EmployeeData[[#This Row],[Age]]&lt;45,"35-44",IF(EmployeeData[[#This Row],[Age]]&lt;55,"45-54","55+"))))</f>
        <v>25-34</v>
      </c>
      <c r="AK672" s="4" t="str">
        <f>IF(EmployeeData[[#This Row],[MonthlyIncome]]&lt;3000,"Below 3K",IF(EmployeeData[[#This Row],[MonthlyIncome]]&lt;6000,"3K-6K",IF(EmployeeData[[#This Row],[MonthlyIncome]]&lt;9000,"6K-9K",IF(EmployeeData[[#This Row],[MonthlyIncome]]&lt;12000,"9K-12K","12K+"))))</f>
        <v>Below 3K</v>
      </c>
    </row>
    <row r="673" spans="1:37" x14ac:dyDescent="0.3">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c r="AJ673" s="4" t="str">
        <f>IF(EmployeeData[[#This Row],[Age]]&lt;25,"Under 25",IF(EmployeeData[[#This Row],[Age]]&lt;35,"25-34",IF(EmployeeData[[#This Row],[Age]]&lt;45,"35-44",IF(EmployeeData[[#This Row],[Age]]&lt;55,"45-54","55+"))))</f>
        <v>25-34</v>
      </c>
      <c r="AK673" s="4" t="str">
        <f>IF(EmployeeData[[#This Row],[MonthlyIncome]]&lt;3000,"Below 3K",IF(EmployeeData[[#This Row],[MonthlyIncome]]&lt;6000,"3K-6K",IF(EmployeeData[[#This Row],[MonthlyIncome]]&lt;9000,"6K-9K",IF(EmployeeData[[#This Row],[MonthlyIncome]]&lt;12000,"9K-12K","12K+"))))</f>
        <v>Below 3K</v>
      </c>
    </row>
    <row r="674" spans="1:37" x14ac:dyDescent="0.3">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c r="AJ674" s="4" t="str">
        <f>IF(EmployeeData[[#This Row],[Age]]&lt;25,"Under 25",IF(EmployeeData[[#This Row],[Age]]&lt;35,"25-34",IF(EmployeeData[[#This Row],[Age]]&lt;45,"35-44",IF(EmployeeData[[#This Row],[Age]]&lt;55,"45-54","55+"))))</f>
        <v>35-44</v>
      </c>
      <c r="AK674" s="4" t="str">
        <f>IF(EmployeeData[[#This Row],[MonthlyIncome]]&lt;3000,"Below 3K",IF(EmployeeData[[#This Row],[MonthlyIncome]]&lt;6000,"3K-6K",IF(EmployeeData[[#This Row],[MonthlyIncome]]&lt;9000,"6K-9K",IF(EmployeeData[[#This Row],[MonthlyIncome]]&lt;12000,"9K-12K","12K+"))))</f>
        <v>6K-9K</v>
      </c>
    </row>
    <row r="675" spans="1:37" x14ac:dyDescent="0.3">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c r="AJ675" s="4" t="str">
        <f>IF(EmployeeData[[#This Row],[Age]]&lt;25,"Under 25",IF(EmployeeData[[#This Row],[Age]]&lt;35,"25-34",IF(EmployeeData[[#This Row],[Age]]&lt;45,"35-44",IF(EmployeeData[[#This Row],[Age]]&lt;55,"45-54","55+"))))</f>
        <v>25-34</v>
      </c>
      <c r="AK675" s="4" t="str">
        <f>IF(EmployeeData[[#This Row],[MonthlyIncome]]&lt;3000,"Below 3K",IF(EmployeeData[[#This Row],[MonthlyIncome]]&lt;6000,"3K-6K",IF(EmployeeData[[#This Row],[MonthlyIncome]]&lt;9000,"6K-9K",IF(EmployeeData[[#This Row],[MonthlyIncome]]&lt;12000,"9K-12K","12K+"))))</f>
        <v>Below 3K</v>
      </c>
    </row>
    <row r="676" spans="1:37" x14ac:dyDescent="0.3">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c r="AJ676" s="4" t="str">
        <f>IF(EmployeeData[[#This Row],[Age]]&lt;25,"Under 25",IF(EmployeeData[[#This Row],[Age]]&lt;35,"25-34",IF(EmployeeData[[#This Row],[Age]]&lt;45,"35-44",IF(EmployeeData[[#This Row],[Age]]&lt;55,"45-54","55+"))))</f>
        <v>55+</v>
      </c>
      <c r="AK676" s="4" t="str">
        <f>IF(EmployeeData[[#This Row],[MonthlyIncome]]&lt;3000,"Below 3K",IF(EmployeeData[[#This Row],[MonthlyIncome]]&lt;6000,"3K-6K",IF(EmployeeData[[#This Row],[MonthlyIncome]]&lt;9000,"6K-9K",IF(EmployeeData[[#This Row],[MonthlyIncome]]&lt;12000,"9K-12K","12K+"))))</f>
        <v>9K-12K</v>
      </c>
    </row>
    <row r="677" spans="1:37" x14ac:dyDescent="0.3">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c r="AJ677" s="4" t="str">
        <f>IF(EmployeeData[[#This Row],[Age]]&lt;25,"Under 25",IF(EmployeeData[[#This Row],[Age]]&lt;35,"25-34",IF(EmployeeData[[#This Row],[Age]]&lt;45,"35-44",IF(EmployeeData[[#This Row],[Age]]&lt;55,"45-54","55+"))))</f>
        <v>25-34</v>
      </c>
      <c r="AK677" s="4" t="str">
        <f>IF(EmployeeData[[#This Row],[MonthlyIncome]]&lt;3000,"Below 3K",IF(EmployeeData[[#This Row],[MonthlyIncome]]&lt;6000,"3K-6K",IF(EmployeeData[[#This Row],[MonthlyIncome]]&lt;9000,"6K-9K",IF(EmployeeData[[#This Row],[MonthlyIncome]]&lt;12000,"9K-12K","12K+"))))</f>
        <v>Below 3K</v>
      </c>
    </row>
    <row r="678" spans="1:37" x14ac:dyDescent="0.3">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c r="AJ678" s="4" t="str">
        <f>IF(EmployeeData[[#This Row],[Age]]&lt;25,"Under 25",IF(EmployeeData[[#This Row],[Age]]&lt;35,"25-34",IF(EmployeeData[[#This Row],[Age]]&lt;45,"35-44",IF(EmployeeData[[#This Row],[Age]]&lt;55,"45-54","55+"))))</f>
        <v>35-44</v>
      </c>
      <c r="AK678" s="4" t="str">
        <f>IF(EmployeeData[[#This Row],[MonthlyIncome]]&lt;3000,"Below 3K",IF(EmployeeData[[#This Row],[MonthlyIncome]]&lt;6000,"3K-6K",IF(EmployeeData[[#This Row],[MonthlyIncome]]&lt;9000,"6K-9K",IF(EmployeeData[[#This Row],[MonthlyIncome]]&lt;12000,"9K-12K","12K+"))))</f>
        <v>3K-6K</v>
      </c>
    </row>
    <row r="679" spans="1:37" x14ac:dyDescent="0.3">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c r="AJ679" s="4" t="str">
        <f>IF(EmployeeData[[#This Row],[Age]]&lt;25,"Under 25",IF(EmployeeData[[#This Row],[Age]]&lt;35,"25-34",IF(EmployeeData[[#This Row],[Age]]&lt;45,"35-44",IF(EmployeeData[[#This Row],[Age]]&lt;55,"45-54","55+"))))</f>
        <v>45-54</v>
      </c>
      <c r="AK679" s="4" t="str">
        <f>IF(EmployeeData[[#This Row],[MonthlyIncome]]&lt;3000,"Below 3K",IF(EmployeeData[[#This Row],[MonthlyIncome]]&lt;6000,"3K-6K",IF(EmployeeData[[#This Row],[MonthlyIncome]]&lt;9000,"6K-9K",IF(EmployeeData[[#This Row],[MonthlyIncome]]&lt;12000,"9K-12K","12K+"))))</f>
        <v>6K-9K</v>
      </c>
    </row>
    <row r="680" spans="1:37" x14ac:dyDescent="0.3">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c r="AJ680" s="4" t="str">
        <f>IF(EmployeeData[[#This Row],[Age]]&lt;25,"Under 25",IF(EmployeeData[[#This Row],[Age]]&lt;35,"25-34",IF(EmployeeData[[#This Row],[Age]]&lt;45,"35-44",IF(EmployeeData[[#This Row],[Age]]&lt;55,"45-54","55+"))))</f>
        <v>45-54</v>
      </c>
      <c r="AK680" s="4" t="str">
        <f>IF(EmployeeData[[#This Row],[MonthlyIncome]]&lt;3000,"Below 3K",IF(EmployeeData[[#This Row],[MonthlyIncome]]&lt;6000,"3K-6K",IF(EmployeeData[[#This Row],[MonthlyIncome]]&lt;9000,"6K-9K",IF(EmployeeData[[#This Row],[MonthlyIncome]]&lt;12000,"9K-12K","12K+"))))</f>
        <v>Below 3K</v>
      </c>
    </row>
    <row r="681" spans="1:37" x14ac:dyDescent="0.3">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c r="AJ681" s="4" t="str">
        <f>IF(EmployeeData[[#This Row],[Age]]&lt;25,"Under 25",IF(EmployeeData[[#This Row],[Age]]&lt;35,"25-34",IF(EmployeeData[[#This Row],[Age]]&lt;45,"35-44",IF(EmployeeData[[#This Row],[Age]]&lt;55,"45-54","55+"))))</f>
        <v>25-34</v>
      </c>
      <c r="AK681" s="4" t="str">
        <f>IF(EmployeeData[[#This Row],[MonthlyIncome]]&lt;3000,"Below 3K",IF(EmployeeData[[#This Row],[MonthlyIncome]]&lt;6000,"3K-6K",IF(EmployeeData[[#This Row],[MonthlyIncome]]&lt;9000,"6K-9K",IF(EmployeeData[[#This Row],[MonthlyIncome]]&lt;12000,"9K-12K","12K+"))))</f>
        <v>6K-9K</v>
      </c>
    </row>
    <row r="682" spans="1:37" x14ac:dyDescent="0.3">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c r="AJ682" s="4" t="str">
        <f>IF(EmployeeData[[#This Row],[Age]]&lt;25,"Under 25",IF(EmployeeData[[#This Row],[Age]]&lt;35,"25-34",IF(EmployeeData[[#This Row],[Age]]&lt;45,"35-44",IF(EmployeeData[[#This Row],[Age]]&lt;55,"45-54","55+"))))</f>
        <v>35-44</v>
      </c>
      <c r="AK682" s="4" t="str">
        <f>IF(EmployeeData[[#This Row],[MonthlyIncome]]&lt;3000,"Below 3K",IF(EmployeeData[[#This Row],[MonthlyIncome]]&lt;6000,"3K-6K",IF(EmployeeData[[#This Row],[MonthlyIncome]]&lt;9000,"6K-9K",IF(EmployeeData[[#This Row],[MonthlyIncome]]&lt;12000,"9K-12K","12K+"))))</f>
        <v>3K-6K</v>
      </c>
    </row>
    <row r="683" spans="1:37" x14ac:dyDescent="0.3">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c r="AJ683" s="4" t="str">
        <f>IF(EmployeeData[[#This Row],[Age]]&lt;25,"Under 25",IF(EmployeeData[[#This Row],[Age]]&lt;35,"25-34",IF(EmployeeData[[#This Row],[Age]]&lt;45,"35-44",IF(EmployeeData[[#This Row],[Age]]&lt;55,"45-54","55+"))))</f>
        <v>35-44</v>
      </c>
      <c r="AK683" s="4" t="str">
        <f>IF(EmployeeData[[#This Row],[MonthlyIncome]]&lt;3000,"Below 3K",IF(EmployeeData[[#This Row],[MonthlyIncome]]&lt;6000,"3K-6K",IF(EmployeeData[[#This Row],[MonthlyIncome]]&lt;9000,"6K-9K",IF(EmployeeData[[#This Row],[MonthlyIncome]]&lt;12000,"9K-12K","12K+"))))</f>
        <v>12K+</v>
      </c>
    </row>
    <row r="684" spans="1:37" x14ac:dyDescent="0.3">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c r="AJ684" s="4" t="str">
        <f>IF(EmployeeData[[#This Row],[Age]]&lt;25,"Under 25",IF(EmployeeData[[#This Row],[Age]]&lt;35,"25-34",IF(EmployeeData[[#This Row],[Age]]&lt;45,"35-44",IF(EmployeeData[[#This Row],[Age]]&lt;55,"45-54","55+"))))</f>
        <v>25-34</v>
      </c>
      <c r="AK684" s="4" t="str">
        <f>IF(EmployeeData[[#This Row],[MonthlyIncome]]&lt;3000,"Below 3K",IF(EmployeeData[[#This Row],[MonthlyIncome]]&lt;6000,"3K-6K",IF(EmployeeData[[#This Row],[MonthlyIncome]]&lt;9000,"6K-9K",IF(EmployeeData[[#This Row],[MonthlyIncome]]&lt;12000,"9K-12K","12K+"))))</f>
        <v>Below 3K</v>
      </c>
    </row>
    <row r="685" spans="1:37" x14ac:dyDescent="0.3">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c r="AJ685" s="4" t="str">
        <f>IF(EmployeeData[[#This Row],[Age]]&lt;25,"Under 25",IF(EmployeeData[[#This Row],[Age]]&lt;35,"25-34",IF(EmployeeData[[#This Row],[Age]]&lt;45,"35-44",IF(EmployeeData[[#This Row],[Age]]&lt;55,"45-54","55+"))))</f>
        <v>25-34</v>
      </c>
      <c r="AK685" s="4" t="str">
        <f>IF(EmployeeData[[#This Row],[MonthlyIncome]]&lt;3000,"Below 3K",IF(EmployeeData[[#This Row],[MonthlyIncome]]&lt;6000,"3K-6K",IF(EmployeeData[[#This Row],[MonthlyIncome]]&lt;9000,"6K-9K",IF(EmployeeData[[#This Row],[MonthlyIncome]]&lt;12000,"9K-12K","12K+"))))</f>
        <v>Below 3K</v>
      </c>
    </row>
    <row r="686" spans="1:37" x14ac:dyDescent="0.3">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c r="AJ686" s="4" t="str">
        <f>IF(EmployeeData[[#This Row],[Age]]&lt;25,"Under 25",IF(EmployeeData[[#This Row],[Age]]&lt;35,"25-34",IF(EmployeeData[[#This Row],[Age]]&lt;45,"35-44",IF(EmployeeData[[#This Row],[Age]]&lt;55,"45-54","55+"))))</f>
        <v>35-44</v>
      </c>
      <c r="AK686" s="4" t="str">
        <f>IF(EmployeeData[[#This Row],[MonthlyIncome]]&lt;3000,"Below 3K",IF(EmployeeData[[#This Row],[MonthlyIncome]]&lt;6000,"3K-6K",IF(EmployeeData[[#This Row],[MonthlyIncome]]&lt;9000,"6K-9K",IF(EmployeeData[[#This Row],[MonthlyIncome]]&lt;12000,"9K-12K","12K+"))))</f>
        <v>9K-12K</v>
      </c>
    </row>
    <row r="687" spans="1:37" x14ac:dyDescent="0.3">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c r="AJ687" s="4" t="str">
        <f>IF(EmployeeData[[#This Row],[Age]]&lt;25,"Under 25",IF(EmployeeData[[#This Row],[Age]]&lt;35,"25-34",IF(EmployeeData[[#This Row],[Age]]&lt;45,"35-44",IF(EmployeeData[[#This Row],[Age]]&lt;55,"45-54","55+"))))</f>
        <v>25-34</v>
      </c>
      <c r="AK687" s="4" t="str">
        <f>IF(EmployeeData[[#This Row],[MonthlyIncome]]&lt;3000,"Below 3K",IF(EmployeeData[[#This Row],[MonthlyIncome]]&lt;6000,"3K-6K",IF(EmployeeData[[#This Row],[MonthlyIncome]]&lt;9000,"6K-9K",IF(EmployeeData[[#This Row],[MonthlyIncome]]&lt;12000,"9K-12K","12K+"))))</f>
        <v>3K-6K</v>
      </c>
    </row>
    <row r="688" spans="1:37" x14ac:dyDescent="0.3">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c r="AJ688" s="4" t="str">
        <f>IF(EmployeeData[[#This Row],[Age]]&lt;25,"Under 25",IF(EmployeeData[[#This Row],[Age]]&lt;35,"25-34",IF(EmployeeData[[#This Row],[Age]]&lt;45,"35-44",IF(EmployeeData[[#This Row],[Age]]&lt;55,"45-54","55+"))))</f>
        <v>35-44</v>
      </c>
      <c r="AK688" s="4" t="str">
        <f>IF(EmployeeData[[#This Row],[MonthlyIncome]]&lt;3000,"Below 3K",IF(EmployeeData[[#This Row],[MonthlyIncome]]&lt;6000,"3K-6K",IF(EmployeeData[[#This Row],[MonthlyIncome]]&lt;9000,"6K-9K",IF(EmployeeData[[#This Row],[MonthlyIncome]]&lt;12000,"9K-12K","12K+"))))</f>
        <v>3K-6K</v>
      </c>
    </row>
    <row r="689" spans="1:37" x14ac:dyDescent="0.3">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c r="AJ689" s="4" t="str">
        <f>IF(EmployeeData[[#This Row],[Age]]&lt;25,"Under 25",IF(EmployeeData[[#This Row],[Age]]&lt;35,"25-34",IF(EmployeeData[[#This Row],[Age]]&lt;45,"35-44",IF(EmployeeData[[#This Row],[Age]]&lt;55,"45-54","55+"))))</f>
        <v>35-44</v>
      </c>
      <c r="AK689" s="4" t="str">
        <f>IF(EmployeeData[[#This Row],[MonthlyIncome]]&lt;3000,"Below 3K",IF(EmployeeData[[#This Row],[MonthlyIncome]]&lt;6000,"3K-6K",IF(EmployeeData[[#This Row],[MonthlyIncome]]&lt;9000,"6K-9K",IF(EmployeeData[[#This Row],[MonthlyIncome]]&lt;12000,"9K-12K","12K+"))))</f>
        <v>Below 3K</v>
      </c>
    </row>
    <row r="690" spans="1:37" x14ac:dyDescent="0.3">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c r="AJ690" s="4" t="str">
        <f>IF(EmployeeData[[#This Row],[Age]]&lt;25,"Under 25",IF(EmployeeData[[#This Row],[Age]]&lt;35,"25-34",IF(EmployeeData[[#This Row],[Age]]&lt;45,"35-44",IF(EmployeeData[[#This Row],[Age]]&lt;55,"45-54","55+"))))</f>
        <v>Under 25</v>
      </c>
      <c r="AK690" s="4" t="str">
        <f>IF(EmployeeData[[#This Row],[MonthlyIncome]]&lt;3000,"Below 3K",IF(EmployeeData[[#This Row],[MonthlyIncome]]&lt;6000,"3K-6K",IF(EmployeeData[[#This Row],[MonthlyIncome]]&lt;9000,"6K-9K",IF(EmployeeData[[#This Row],[MonthlyIncome]]&lt;12000,"9K-12K","12K+"))))</f>
        <v>Below 3K</v>
      </c>
    </row>
    <row r="691" spans="1:37" x14ac:dyDescent="0.3">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c r="AJ691" s="4" t="str">
        <f>IF(EmployeeData[[#This Row],[Age]]&lt;25,"Under 25",IF(EmployeeData[[#This Row],[Age]]&lt;35,"25-34",IF(EmployeeData[[#This Row],[Age]]&lt;45,"35-44",IF(EmployeeData[[#This Row],[Age]]&lt;55,"45-54","55+"))))</f>
        <v>Under 25</v>
      </c>
      <c r="AK691" s="4" t="str">
        <f>IF(EmployeeData[[#This Row],[MonthlyIncome]]&lt;3000,"Below 3K",IF(EmployeeData[[#This Row],[MonthlyIncome]]&lt;6000,"3K-6K",IF(EmployeeData[[#This Row],[MonthlyIncome]]&lt;9000,"6K-9K",IF(EmployeeData[[#This Row],[MonthlyIncome]]&lt;12000,"9K-12K","12K+"))))</f>
        <v>Below 3K</v>
      </c>
    </row>
    <row r="692" spans="1:37" x14ac:dyDescent="0.3">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c r="AJ692" s="4" t="str">
        <f>IF(EmployeeData[[#This Row],[Age]]&lt;25,"Under 25",IF(EmployeeData[[#This Row],[Age]]&lt;35,"25-34",IF(EmployeeData[[#This Row],[Age]]&lt;45,"35-44",IF(EmployeeData[[#This Row],[Age]]&lt;55,"45-54","55+"))))</f>
        <v>25-34</v>
      </c>
      <c r="AK692" s="4" t="str">
        <f>IF(EmployeeData[[#This Row],[MonthlyIncome]]&lt;3000,"Below 3K",IF(EmployeeData[[#This Row],[MonthlyIncome]]&lt;6000,"3K-6K",IF(EmployeeData[[#This Row],[MonthlyIncome]]&lt;9000,"6K-9K",IF(EmployeeData[[#This Row],[MonthlyIncome]]&lt;12000,"9K-12K","12K+"))))</f>
        <v>3K-6K</v>
      </c>
    </row>
    <row r="693" spans="1:37" x14ac:dyDescent="0.3">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c r="AJ693" s="4" t="str">
        <f>IF(EmployeeData[[#This Row],[Age]]&lt;25,"Under 25",IF(EmployeeData[[#This Row],[Age]]&lt;35,"25-34",IF(EmployeeData[[#This Row],[Age]]&lt;45,"35-44",IF(EmployeeData[[#This Row],[Age]]&lt;55,"45-54","55+"))))</f>
        <v>35-44</v>
      </c>
      <c r="AK693" s="4" t="str">
        <f>IF(EmployeeData[[#This Row],[MonthlyIncome]]&lt;3000,"Below 3K",IF(EmployeeData[[#This Row],[MonthlyIncome]]&lt;6000,"3K-6K",IF(EmployeeData[[#This Row],[MonthlyIncome]]&lt;9000,"6K-9K",IF(EmployeeData[[#This Row],[MonthlyIncome]]&lt;12000,"9K-12K","12K+"))))</f>
        <v>3K-6K</v>
      </c>
    </row>
    <row r="694" spans="1:37" x14ac:dyDescent="0.3">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c r="AJ694" s="4" t="str">
        <f>IF(EmployeeData[[#This Row],[Age]]&lt;25,"Under 25",IF(EmployeeData[[#This Row],[Age]]&lt;35,"25-34",IF(EmployeeData[[#This Row],[Age]]&lt;45,"35-44",IF(EmployeeData[[#This Row],[Age]]&lt;55,"45-54","55+"))))</f>
        <v>25-34</v>
      </c>
      <c r="AK694" s="4" t="str">
        <f>IF(EmployeeData[[#This Row],[MonthlyIncome]]&lt;3000,"Below 3K",IF(EmployeeData[[#This Row],[MonthlyIncome]]&lt;6000,"3K-6K",IF(EmployeeData[[#This Row],[MonthlyIncome]]&lt;9000,"6K-9K",IF(EmployeeData[[#This Row],[MonthlyIncome]]&lt;12000,"9K-12K","12K+"))))</f>
        <v>6K-9K</v>
      </c>
    </row>
    <row r="695" spans="1:37" x14ac:dyDescent="0.3">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c r="AJ695" s="4" t="str">
        <f>IF(EmployeeData[[#This Row],[Age]]&lt;25,"Under 25",IF(EmployeeData[[#This Row],[Age]]&lt;35,"25-34",IF(EmployeeData[[#This Row],[Age]]&lt;45,"35-44",IF(EmployeeData[[#This Row],[Age]]&lt;55,"45-54","55+"))))</f>
        <v>35-44</v>
      </c>
      <c r="AK695" s="4" t="str">
        <f>IF(EmployeeData[[#This Row],[MonthlyIncome]]&lt;3000,"Below 3K",IF(EmployeeData[[#This Row],[MonthlyIncome]]&lt;6000,"3K-6K",IF(EmployeeData[[#This Row],[MonthlyIncome]]&lt;9000,"6K-9K",IF(EmployeeData[[#This Row],[MonthlyIncome]]&lt;12000,"9K-12K","12K+"))))</f>
        <v>9K-12K</v>
      </c>
    </row>
    <row r="696" spans="1:37" x14ac:dyDescent="0.3">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c r="AJ696" s="4" t="str">
        <f>IF(EmployeeData[[#This Row],[Age]]&lt;25,"Under 25",IF(EmployeeData[[#This Row],[Age]]&lt;35,"25-34",IF(EmployeeData[[#This Row],[Age]]&lt;45,"35-44",IF(EmployeeData[[#This Row],[Age]]&lt;55,"45-54","55+"))))</f>
        <v>25-34</v>
      </c>
      <c r="AK696" s="4" t="str">
        <f>IF(EmployeeData[[#This Row],[MonthlyIncome]]&lt;3000,"Below 3K",IF(EmployeeData[[#This Row],[MonthlyIncome]]&lt;6000,"3K-6K",IF(EmployeeData[[#This Row],[MonthlyIncome]]&lt;9000,"6K-9K",IF(EmployeeData[[#This Row],[MonthlyIncome]]&lt;12000,"9K-12K","12K+"))))</f>
        <v>6K-9K</v>
      </c>
    </row>
    <row r="697" spans="1:37" x14ac:dyDescent="0.3">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c r="AJ697" s="4" t="str">
        <f>IF(EmployeeData[[#This Row],[Age]]&lt;25,"Under 25",IF(EmployeeData[[#This Row],[Age]]&lt;35,"25-34",IF(EmployeeData[[#This Row],[Age]]&lt;45,"35-44",IF(EmployeeData[[#This Row],[Age]]&lt;55,"45-54","55+"))))</f>
        <v>35-44</v>
      </c>
      <c r="AK697" s="4" t="str">
        <f>IF(EmployeeData[[#This Row],[MonthlyIncome]]&lt;3000,"Below 3K",IF(EmployeeData[[#This Row],[MonthlyIncome]]&lt;6000,"3K-6K",IF(EmployeeData[[#This Row],[MonthlyIncome]]&lt;9000,"6K-9K",IF(EmployeeData[[#This Row],[MonthlyIncome]]&lt;12000,"9K-12K","12K+"))))</f>
        <v>9K-12K</v>
      </c>
    </row>
    <row r="698" spans="1:37" x14ac:dyDescent="0.3">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c r="AJ698" s="4" t="str">
        <f>IF(EmployeeData[[#This Row],[Age]]&lt;25,"Under 25",IF(EmployeeData[[#This Row],[Age]]&lt;35,"25-34",IF(EmployeeData[[#This Row],[Age]]&lt;45,"35-44",IF(EmployeeData[[#This Row],[Age]]&lt;55,"45-54","55+"))))</f>
        <v>45-54</v>
      </c>
      <c r="AK698" s="4" t="str">
        <f>IF(EmployeeData[[#This Row],[MonthlyIncome]]&lt;3000,"Below 3K",IF(EmployeeData[[#This Row],[MonthlyIncome]]&lt;6000,"3K-6K",IF(EmployeeData[[#This Row],[MonthlyIncome]]&lt;9000,"6K-9K",IF(EmployeeData[[#This Row],[MonthlyIncome]]&lt;12000,"9K-12K","12K+"))))</f>
        <v>3K-6K</v>
      </c>
    </row>
    <row r="699" spans="1:37" x14ac:dyDescent="0.3">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c r="AJ699" s="4" t="str">
        <f>IF(EmployeeData[[#This Row],[Age]]&lt;25,"Under 25",IF(EmployeeData[[#This Row],[Age]]&lt;35,"25-34",IF(EmployeeData[[#This Row],[Age]]&lt;45,"35-44",IF(EmployeeData[[#This Row],[Age]]&lt;55,"45-54","55+"))))</f>
        <v>25-34</v>
      </c>
      <c r="AK699" s="4" t="str">
        <f>IF(EmployeeData[[#This Row],[MonthlyIncome]]&lt;3000,"Below 3K",IF(EmployeeData[[#This Row],[MonthlyIncome]]&lt;6000,"3K-6K",IF(EmployeeData[[#This Row],[MonthlyIncome]]&lt;9000,"6K-9K",IF(EmployeeData[[#This Row],[MonthlyIncome]]&lt;12000,"9K-12K","12K+"))))</f>
        <v>Below 3K</v>
      </c>
    </row>
    <row r="700" spans="1:37" x14ac:dyDescent="0.3">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c r="AJ700" s="4" t="str">
        <f>IF(EmployeeData[[#This Row],[Age]]&lt;25,"Under 25",IF(EmployeeData[[#This Row],[Age]]&lt;35,"25-34",IF(EmployeeData[[#This Row],[Age]]&lt;45,"35-44",IF(EmployeeData[[#This Row],[Age]]&lt;55,"45-54","55+"))))</f>
        <v>35-44</v>
      </c>
      <c r="AK700" s="4" t="str">
        <f>IF(EmployeeData[[#This Row],[MonthlyIncome]]&lt;3000,"Below 3K",IF(EmployeeData[[#This Row],[MonthlyIncome]]&lt;6000,"3K-6K",IF(EmployeeData[[#This Row],[MonthlyIncome]]&lt;9000,"6K-9K",IF(EmployeeData[[#This Row],[MonthlyIncome]]&lt;12000,"9K-12K","12K+"))))</f>
        <v>3K-6K</v>
      </c>
    </row>
    <row r="701" spans="1:37" x14ac:dyDescent="0.3">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c r="AJ701" s="4" t="str">
        <f>IF(EmployeeData[[#This Row],[Age]]&lt;25,"Under 25",IF(EmployeeData[[#This Row],[Age]]&lt;35,"25-34",IF(EmployeeData[[#This Row],[Age]]&lt;45,"35-44",IF(EmployeeData[[#This Row],[Age]]&lt;55,"45-54","55+"))))</f>
        <v>45-54</v>
      </c>
      <c r="AK701" s="4" t="str">
        <f>IF(EmployeeData[[#This Row],[MonthlyIncome]]&lt;3000,"Below 3K",IF(EmployeeData[[#This Row],[MonthlyIncome]]&lt;6000,"3K-6K",IF(EmployeeData[[#This Row],[MonthlyIncome]]&lt;9000,"6K-9K",IF(EmployeeData[[#This Row],[MonthlyIncome]]&lt;12000,"9K-12K","12K+"))))</f>
        <v>12K+</v>
      </c>
    </row>
    <row r="702" spans="1:37" x14ac:dyDescent="0.3">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c r="AJ702" s="4" t="str">
        <f>IF(EmployeeData[[#This Row],[Age]]&lt;25,"Under 25",IF(EmployeeData[[#This Row],[Age]]&lt;35,"25-34",IF(EmployeeData[[#This Row],[Age]]&lt;45,"35-44",IF(EmployeeData[[#This Row],[Age]]&lt;55,"45-54","55+"))))</f>
        <v>55+</v>
      </c>
      <c r="AK702" s="4" t="str">
        <f>IF(EmployeeData[[#This Row],[MonthlyIncome]]&lt;3000,"Below 3K",IF(EmployeeData[[#This Row],[MonthlyIncome]]&lt;6000,"3K-6K",IF(EmployeeData[[#This Row],[MonthlyIncome]]&lt;9000,"6K-9K",IF(EmployeeData[[#This Row],[MonthlyIncome]]&lt;12000,"9K-12K","12K+"))))</f>
        <v>Below 3K</v>
      </c>
    </row>
    <row r="703" spans="1:37" x14ac:dyDescent="0.3">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c r="AJ703" s="4" t="str">
        <f>IF(EmployeeData[[#This Row],[Age]]&lt;25,"Under 25",IF(EmployeeData[[#This Row],[Age]]&lt;35,"25-34",IF(EmployeeData[[#This Row],[Age]]&lt;45,"35-44",IF(EmployeeData[[#This Row],[Age]]&lt;55,"45-54","55+"))))</f>
        <v>45-54</v>
      </c>
      <c r="AK703" s="4" t="str">
        <f>IF(EmployeeData[[#This Row],[MonthlyIncome]]&lt;3000,"Below 3K",IF(EmployeeData[[#This Row],[MonthlyIncome]]&lt;6000,"3K-6K",IF(EmployeeData[[#This Row],[MonthlyIncome]]&lt;9000,"6K-9K",IF(EmployeeData[[#This Row],[MonthlyIncome]]&lt;12000,"9K-12K","12K+"))))</f>
        <v>12K+</v>
      </c>
    </row>
    <row r="704" spans="1:37" x14ac:dyDescent="0.3">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c r="AJ704" s="4" t="str">
        <f>IF(EmployeeData[[#This Row],[Age]]&lt;25,"Under 25",IF(EmployeeData[[#This Row],[Age]]&lt;35,"25-34",IF(EmployeeData[[#This Row],[Age]]&lt;45,"35-44",IF(EmployeeData[[#This Row],[Age]]&lt;55,"45-54","55+"))))</f>
        <v>25-34</v>
      </c>
      <c r="AK704" s="4" t="str">
        <f>IF(EmployeeData[[#This Row],[MonthlyIncome]]&lt;3000,"Below 3K",IF(EmployeeData[[#This Row],[MonthlyIncome]]&lt;6000,"3K-6K",IF(EmployeeData[[#This Row],[MonthlyIncome]]&lt;9000,"6K-9K",IF(EmployeeData[[#This Row],[MonthlyIncome]]&lt;12000,"9K-12K","12K+"))))</f>
        <v>6K-9K</v>
      </c>
    </row>
    <row r="705" spans="1:37" x14ac:dyDescent="0.3">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c r="AJ705" s="4" t="str">
        <f>IF(EmployeeData[[#This Row],[Age]]&lt;25,"Under 25",IF(EmployeeData[[#This Row],[Age]]&lt;35,"25-34",IF(EmployeeData[[#This Row],[Age]]&lt;45,"35-44",IF(EmployeeData[[#This Row],[Age]]&lt;55,"45-54","55+"))))</f>
        <v>35-44</v>
      </c>
      <c r="AK705" s="4" t="str">
        <f>IF(EmployeeData[[#This Row],[MonthlyIncome]]&lt;3000,"Below 3K",IF(EmployeeData[[#This Row],[MonthlyIncome]]&lt;6000,"3K-6K",IF(EmployeeData[[#This Row],[MonthlyIncome]]&lt;9000,"6K-9K",IF(EmployeeData[[#This Row],[MonthlyIncome]]&lt;12000,"9K-12K","12K+"))))</f>
        <v>3K-6K</v>
      </c>
    </row>
    <row r="706" spans="1:37" x14ac:dyDescent="0.3">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c r="AJ706" s="4" t="str">
        <f>IF(EmployeeData[[#This Row],[Age]]&lt;25,"Under 25",IF(EmployeeData[[#This Row],[Age]]&lt;35,"25-34",IF(EmployeeData[[#This Row],[Age]]&lt;45,"35-44",IF(EmployeeData[[#This Row],[Age]]&lt;55,"45-54","55+"))))</f>
        <v>35-44</v>
      </c>
      <c r="AK706" s="4" t="str">
        <f>IF(EmployeeData[[#This Row],[MonthlyIncome]]&lt;3000,"Below 3K",IF(EmployeeData[[#This Row],[MonthlyIncome]]&lt;6000,"3K-6K",IF(EmployeeData[[#This Row],[MonthlyIncome]]&lt;9000,"6K-9K",IF(EmployeeData[[#This Row],[MonthlyIncome]]&lt;12000,"9K-12K","12K+"))))</f>
        <v>6K-9K</v>
      </c>
    </row>
    <row r="707" spans="1:37" x14ac:dyDescent="0.3">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c r="AJ707" s="4" t="str">
        <f>IF(EmployeeData[[#This Row],[Age]]&lt;25,"Under 25",IF(EmployeeData[[#This Row],[Age]]&lt;35,"25-34",IF(EmployeeData[[#This Row],[Age]]&lt;45,"35-44",IF(EmployeeData[[#This Row],[Age]]&lt;55,"45-54","55+"))))</f>
        <v>35-44</v>
      </c>
      <c r="AK707" s="4" t="str">
        <f>IF(EmployeeData[[#This Row],[MonthlyIncome]]&lt;3000,"Below 3K",IF(EmployeeData[[#This Row],[MonthlyIncome]]&lt;6000,"3K-6K",IF(EmployeeData[[#This Row],[MonthlyIncome]]&lt;9000,"6K-9K",IF(EmployeeData[[#This Row],[MonthlyIncome]]&lt;12000,"9K-12K","12K+"))))</f>
        <v>6K-9K</v>
      </c>
    </row>
    <row r="708" spans="1:37" x14ac:dyDescent="0.3">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c r="AJ708" s="4" t="str">
        <f>IF(EmployeeData[[#This Row],[Age]]&lt;25,"Under 25",IF(EmployeeData[[#This Row],[Age]]&lt;35,"25-34",IF(EmployeeData[[#This Row],[Age]]&lt;45,"35-44",IF(EmployeeData[[#This Row],[Age]]&lt;55,"45-54","55+"))))</f>
        <v>35-44</v>
      </c>
      <c r="AK708" s="4" t="str">
        <f>IF(EmployeeData[[#This Row],[MonthlyIncome]]&lt;3000,"Below 3K",IF(EmployeeData[[#This Row],[MonthlyIncome]]&lt;6000,"3K-6K",IF(EmployeeData[[#This Row],[MonthlyIncome]]&lt;9000,"6K-9K",IF(EmployeeData[[#This Row],[MonthlyIncome]]&lt;12000,"9K-12K","12K+"))))</f>
        <v>12K+</v>
      </c>
    </row>
    <row r="709" spans="1:37" x14ac:dyDescent="0.3">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c r="AJ709" s="4" t="str">
        <f>IF(EmployeeData[[#This Row],[Age]]&lt;25,"Under 25",IF(EmployeeData[[#This Row],[Age]]&lt;35,"25-34",IF(EmployeeData[[#This Row],[Age]]&lt;45,"35-44",IF(EmployeeData[[#This Row],[Age]]&lt;55,"45-54","55+"))))</f>
        <v>45-54</v>
      </c>
      <c r="AK709" s="4" t="str">
        <f>IF(EmployeeData[[#This Row],[MonthlyIncome]]&lt;3000,"Below 3K",IF(EmployeeData[[#This Row],[MonthlyIncome]]&lt;6000,"3K-6K",IF(EmployeeData[[#This Row],[MonthlyIncome]]&lt;9000,"6K-9K",IF(EmployeeData[[#This Row],[MonthlyIncome]]&lt;12000,"9K-12K","12K+"))))</f>
        <v>3K-6K</v>
      </c>
    </row>
    <row r="710" spans="1:37" x14ac:dyDescent="0.3">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c r="AJ710" s="4" t="str">
        <f>IF(EmployeeData[[#This Row],[Age]]&lt;25,"Under 25",IF(EmployeeData[[#This Row],[Age]]&lt;35,"25-34",IF(EmployeeData[[#This Row],[Age]]&lt;45,"35-44",IF(EmployeeData[[#This Row],[Age]]&lt;55,"45-54","55+"))))</f>
        <v>35-44</v>
      </c>
      <c r="AK710" s="4" t="str">
        <f>IF(EmployeeData[[#This Row],[MonthlyIncome]]&lt;3000,"Below 3K",IF(EmployeeData[[#This Row],[MonthlyIncome]]&lt;6000,"3K-6K",IF(EmployeeData[[#This Row],[MonthlyIncome]]&lt;9000,"6K-9K",IF(EmployeeData[[#This Row],[MonthlyIncome]]&lt;12000,"9K-12K","12K+"))))</f>
        <v>3K-6K</v>
      </c>
    </row>
    <row r="711" spans="1:37" x14ac:dyDescent="0.3">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c r="AJ711" s="4" t="str">
        <f>IF(EmployeeData[[#This Row],[Age]]&lt;25,"Under 25",IF(EmployeeData[[#This Row],[Age]]&lt;35,"25-34",IF(EmployeeData[[#This Row],[Age]]&lt;45,"35-44",IF(EmployeeData[[#This Row],[Age]]&lt;55,"45-54","55+"))))</f>
        <v>25-34</v>
      </c>
      <c r="AK711" s="4" t="str">
        <f>IF(EmployeeData[[#This Row],[MonthlyIncome]]&lt;3000,"Below 3K",IF(EmployeeData[[#This Row],[MonthlyIncome]]&lt;6000,"3K-6K",IF(EmployeeData[[#This Row],[MonthlyIncome]]&lt;9000,"6K-9K",IF(EmployeeData[[#This Row],[MonthlyIncome]]&lt;12000,"9K-12K","12K+"))))</f>
        <v>Below 3K</v>
      </c>
    </row>
    <row r="712" spans="1:37" x14ac:dyDescent="0.3">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c r="AJ712" s="4" t="str">
        <f>IF(EmployeeData[[#This Row],[Age]]&lt;25,"Under 25",IF(EmployeeData[[#This Row],[Age]]&lt;35,"25-34",IF(EmployeeData[[#This Row],[Age]]&lt;45,"35-44",IF(EmployeeData[[#This Row],[Age]]&lt;55,"45-54","55+"))))</f>
        <v>25-34</v>
      </c>
      <c r="AK712" s="4" t="str">
        <f>IF(EmployeeData[[#This Row],[MonthlyIncome]]&lt;3000,"Below 3K",IF(EmployeeData[[#This Row],[MonthlyIncome]]&lt;6000,"3K-6K",IF(EmployeeData[[#This Row],[MonthlyIncome]]&lt;9000,"6K-9K",IF(EmployeeData[[#This Row],[MonthlyIncome]]&lt;12000,"9K-12K","12K+"))))</f>
        <v>12K+</v>
      </c>
    </row>
    <row r="713" spans="1:37" x14ac:dyDescent="0.3">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c r="AJ713" s="4" t="str">
        <f>IF(EmployeeData[[#This Row],[Age]]&lt;25,"Under 25",IF(EmployeeData[[#This Row],[Age]]&lt;35,"25-34",IF(EmployeeData[[#This Row],[Age]]&lt;45,"35-44",IF(EmployeeData[[#This Row],[Age]]&lt;55,"45-54","55+"))))</f>
        <v>25-34</v>
      </c>
      <c r="AK713" s="4" t="str">
        <f>IF(EmployeeData[[#This Row],[MonthlyIncome]]&lt;3000,"Below 3K",IF(EmployeeData[[#This Row],[MonthlyIncome]]&lt;6000,"3K-6K",IF(EmployeeData[[#This Row],[MonthlyIncome]]&lt;9000,"6K-9K",IF(EmployeeData[[#This Row],[MonthlyIncome]]&lt;12000,"9K-12K","12K+"))))</f>
        <v>Below 3K</v>
      </c>
    </row>
    <row r="714" spans="1:37" x14ac:dyDescent="0.3">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c r="AJ714" s="4" t="str">
        <f>IF(EmployeeData[[#This Row],[Age]]&lt;25,"Under 25",IF(EmployeeData[[#This Row],[Age]]&lt;35,"25-34",IF(EmployeeData[[#This Row],[Age]]&lt;45,"35-44",IF(EmployeeData[[#This Row],[Age]]&lt;55,"45-54","55+"))))</f>
        <v>25-34</v>
      </c>
      <c r="AK714" s="4" t="str">
        <f>IF(EmployeeData[[#This Row],[MonthlyIncome]]&lt;3000,"Below 3K",IF(EmployeeData[[#This Row],[MonthlyIncome]]&lt;6000,"3K-6K",IF(EmployeeData[[#This Row],[MonthlyIncome]]&lt;9000,"6K-9K",IF(EmployeeData[[#This Row],[MonthlyIncome]]&lt;12000,"9K-12K","12K+"))))</f>
        <v>3K-6K</v>
      </c>
    </row>
    <row r="715" spans="1:37" x14ac:dyDescent="0.3">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c r="AJ715" s="4" t="str">
        <f>IF(EmployeeData[[#This Row],[Age]]&lt;25,"Under 25",IF(EmployeeData[[#This Row],[Age]]&lt;35,"25-34",IF(EmployeeData[[#This Row],[Age]]&lt;45,"35-44",IF(EmployeeData[[#This Row],[Age]]&lt;55,"45-54","55+"))))</f>
        <v>45-54</v>
      </c>
      <c r="AK715" s="4" t="str">
        <f>IF(EmployeeData[[#This Row],[MonthlyIncome]]&lt;3000,"Below 3K",IF(EmployeeData[[#This Row],[MonthlyIncome]]&lt;6000,"3K-6K",IF(EmployeeData[[#This Row],[MonthlyIncome]]&lt;9000,"6K-9K",IF(EmployeeData[[#This Row],[MonthlyIncome]]&lt;12000,"9K-12K","12K+"))))</f>
        <v>Below 3K</v>
      </c>
    </row>
    <row r="716" spans="1:37" x14ac:dyDescent="0.3">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c r="AJ716" s="4" t="str">
        <f>IF(EmployeeData[[#This Row],[Age]]&lt;25,"Under 25",IF(EmployeeData[[#This Row],[Age]]&lt;35,"25-34",IF(EmployeeData[[#This Row],[Age]]&lt;45,"35-44",IF(EmployeeData[[#This Row],[Age]]&lt;55,"45-54","55+"))))</f>
        <v>45-54</v>
      </c>
      <c r="AK716" s="4" t="str">
        <f>IF(EmployeeData[[#This Row],[MonthlyIncome]]&lt;3000,"Below 3K",IF(EmployeeData[[#This Row],[MonthlyIncome]]&lt;6000,"3K-6K",IF(EmployeeData[[#This Row],[MonthlyIncome]]&lt;9000,"6K-9K",IF(EmployeeData[[#This Row],[MonthlyIncome]]&lt;12000,"9K-12K","12K+"))))</f>
        <v>12K+</v>
      </c>
    </row>
    <row r="717" spans="1:37" x14ac:dyDescent="0.3">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c r="AJ717" s="4" t="str">
        <f>IF(EmployeeData[[#This Row],[Age]]&lt;25,"Under 25",IF(EmployeeData[[#This Row],[Age]]&lt;35,"25-34",IF(EmployeeData[[#This Row],[Age]]&lt;45,"35-44",IF(EmployeeData[[#This Row],[Age]]&lt;55,"45-54","55+"))))</f>
        <v>25-34</v>
      </c>
      <c r="AK717" s="4" t="str">
        <f>IF(EmployeeData[[#This Row],[MonthlyIncome]]&lt;3000,"Below 3K",IF(EmployeeData[[#This Row],[MonthlyIncome]]&lt;6000,"3K-6K",IF(EmployeeData[[#This Row],[MonthlyIncome]]&lt;9000,"6K-9K",IF(EmployeeData[[#This Row],[MonthlyIncome]]&lt;12000,"9K-12K","12K+"))))</f>
        <v>3K-6K</v>
      </c>
    </row>
    <row r="718" spans="1:37" x14ac:dyDescent="0.3">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c r="AJ718" s="4" t="str">
        <f>IF(EmployeeData[[#This Row],[Age]]&lt;25,"Under 25",IF(EmployeeData[[#This Row],[Age]]&lt;35,"25-34",IF(EmployeeData[[#This Row],[Age]]&lt;45,"35-44",IF(EmployeeData[[#This Row],[Age]]&lt;55,"45-54","55+"))))</f>
        <v>35-44</v>
      </c>
      <c r="AK718" s="4" t="str">
        <f>IF(EmployeeData[[#This Row],[MonthlyIncome]]&lt;3000,"Below 3K",IF(EmployeeData[[#This Row],[MonthlyIncome]]&lt;6000,"3K-6K",IF(EmployeeData[[#This Row],[MonthlyIncome]]&lt;9000,"6K-9K",IF(EmployeeData[[#This Row],[MonthlyIncome]]&lt;12000,"9K-12K","12K+"))))</f>
        <v>12K+</v>
      </c>
    </row>
    <row r="719" spans="1:37" x14ac:dyDescent="0.3">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c r="AJ719" s="4" t="str">
        <f>IF(EmployeeData[[#This Row],[Age]]&lt;25,"Under 25",IF(EmployeeData[[#This Row],[Age]]&lt;35,"25-34",IF(EmployeeData[[#This Row],[Age]]&lt;45,"35-44",IF(EmployeeData[[#This Row],[Age]]&lt;55,"45-54","55+"))))</f>
        <v>25-34</v>
      </c>
      <c r="AK719" s="4" t="str">
        <f>IF(EmployeeData[[#This Row],[MonthlyIncome]]&lt;3000,"Below 3K",IF(EmployeeData[[#This Row],[MonthlyIncome]]&lt;6000,"3K-6K",IF(EmployeeData[[#This Row],[MonthlyIncome]]&lt;9000,"6K-9K",IF(EmployeeData[[#This Row],[MonthlyIncome]]&lt;12000,"9K-12K","12K+"))))</f>
        <v>Below 3K</v>
      </c>
    </row>
    <row r="720" spans="1:37" x14ac:dyDescent="0.3">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c r="AJ720" s="4" t="str">
        <f>IF(EmployeeData[[#This Row],[Age]]&lt;25,"Under 25",IF(EmployeeData[[#This Row],[Age]]&lt;35,"25-34",IF(EmployeeData[[#This Row],[Age]]&lt;45,"35-44",IF(EmployeeData[[#This Row],[Age]]&lt;55,"45-54","55+"))))</f>
        <v>45-54</v>
      </c>
      <c r="AK720" s="4" t="str">
        <f>IF(EmployeeData[[#This Row],[MonthlyIncome]]&lt;3000,"Below 3K",IF(EmployeeData[[#This Row],[MonthlyIncome]]&lt;6000,"3K-6K",IF(EmployeeData[[#This Row],[MonthlyIncome]]&lt;9000,"6K-9K",IF(EmployeeData[[#This Row],[MonthlyIncome]]&lt;12000,"9K-12K","12K+"))))</f>
        <v>3K-6K</v>
      </c>
    </row>
    <row r="721" spans="1:37" x14ac:dyDescent="0.3">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c r="AJ721" s="4" t="str">
        <f>IF(EmployeeData[[#This Row],[Age]]&lt;25,"Under 25",IF(EmployeeData[[#This Row],[Age]]&lt;35,"25-34",IF(EmployeeData[[#This Row],[Age]]&lt;45,"35-44",IF(EmployeeData[[#This Row],[Age]]&lt;55,"45-54","55+"))))</f>
        <v>45-54</v>
      </c>
      <c r="AK721" s="4" t="str">
        <f>IF(EmployeeData[[#This Row],[MonthlyIncome]]&lt;3000,"Below 3K",IF(EmployeeData[[#This Row],[MonthlyIncome]]&lt;6000,"3K-6K",IF(EmployeeData[[#This Row],[MonthlyIncome]]&lt;9000,"6K-9K",IF(EmployeeData[[#This Row],[MonthlyIncome]]&lt;12000,"9K-12K","12K+"))))</f>
        <v>3K-6K</v>
      </c>
    </row>
    <row r="722" spans="1:37" x14ac:dyDescent="0.3">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c r="AJ722" s="4" t="str">
        <f>IF(EmployeeData[[#This Row],[Age]]&lt;25,"Under 25",IF(EmployeeData[[#This Row],[Age]]&lt;35,"25-34",IF(EmployeeData[[#This Row],[Age]]&lt;45,"35-44",IF(EmployeeData[[#This Row],[Age]]&lt;55,"45-54","55+"))))</f>
        <v>25-34</v>
      </c>
      <c r="AK722" s="4" t="str">
        <f>IF(EmployeeData[[#This Row],[MonthlyIncome]]&lt;3000,"Below 3K",IF(EmployeeData[[#This Row],[MonthlyIncome]]&lt;6000,"3K-6K",IF(EmployeeData[[#This Row],[MonthlyIncome]]&lt;9000,"6K-9K",IF(EmployeeData[[#This Row],[MonthlyIncome]]&lt;12000,"9K-12K","12K+"))))</f>
        <v>Below 3K</v>
      </c>
    </row>
    <row r="723" spans="1:37" x14ac:dyDescent="0.3">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c r="AJ723" s="4" t="str">
        <f>IF(EmployeeData[[#This Row],[Age]]&lt;25,"Under 25",IF(EmployeeData[[#This Row],[Age]]&lt;35,"25-34",IF(EmployeeData[[#This Row],[Age]]&lt;45,"35-44",IF(EmployeeData[[#This Row],[Age]]&lt;55,"45-54","55+"))))</f>
        <v>45-54</v>
      </c>
      <c r="AK723" s="4" t="str">
        <f>IF(EmployeeData[[#This Row],[MonthlyIncome]]&lt;3000,"Below 3K",IF(EmployeeData[[#This Row],[MonthlyIncome]]&lt;6000,"3K-6K",IF(EmployeeData[[#This Row],[MonthlyIncome]]&lt;9000,"6K-9K",IF(EmployeeData[[#This Row],[MonthlyIncome]]&lt;12000,"9K-12K","12K+"))))</f>
        <v>12K+</v>
      </c>
    </row>
    <row r="724" spans="1:37" x14ac:dyDescent="0.3">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c r="AJ724" s="4" t="str">
        <f>IF(EmployeeData[[#This Row],[Age]]&lt;25,"Under 25",IF(EmployeeData[[#This Row],[Age]]&lt;35,"25-34",IF(EmployeeData[[#This Row],[Age]]&lt;45,"35-44",IF(EmployeeData[[#This Row],[Age]]&lt;55,"45-54","55+"))))</f>
        <v>35-44</v>
      </c>
      <c r="AK724" s="4" t="str">
        <f>IF(EmployeeData[[#This Row],[MonthlyIncome]]&lt;3000,"Below 3K",IF(EmployeeData[[#This Row],[MonthlyIncome]]&lt;6000,"3K-6K",IF(EmployeeData[[#This Row],[MonthlyIncome]]&lt;9000,"6K-9K",IF(EmployeeData[[#This Row],[MonthlyIncome]]&lt;12000,"9K-12K","12K+"))))</f>
        <v>Below 3K</v>
      </c>
    </row>
    <row r="725" spans="1:37" x14ac:dyDescent="0.3">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c r="AJ725" s="4" t="str">
        <f>IF(EmployeeData[[#This Row],[Age]]&lt;25,"Under 25",IF(EmployeeData[[#This Row],[Age]]&lt;35,"25-34",IF(EmployeeData[[#This Row],[Age]]&lt;45,"35-44",IF(EmployeeData[[#This Row],[Age]]&lt;55,"45-54","55+"))))</f>
        <v>45-54</v>
      </c>
      <c r="AK725" s="4" t="str">
        <f>IF(EmployeeData[[#This Row],[MonthlyIncome]]&lt;3000,"Below 3K",IF(EmployeeData[[#This Row],[MonthlyIncome]]&lt;6000,"3K-6K",IF(EmployeeData[[#This Row],[MonthlyIncome]]&lt;9000,"6K-9K",IF(EmployeeData[[#This Row],[MonthlyIncome]]&lt;12000,"9K-12K","12K+"))))</f>
        <v>9K-12K</v>
      </c>
    </row>
    <row r="726" spans="1:37" x14ac:dyDescent="0.3">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c r="AJ726" s="4" t="str">
        <f>IF(EmployeeData[[#This Row],[Age]]&lt;25,"Under 25",IF(EmployeeData[[#This Row],[Age]]&lt;35,"25-34",IF(EmployeeData[[#This Row],[Age]]&lt;45,"35-44",IF(EmployeeData[[#This Row],[Age]]&lt;55,"45-54","55+"))))</f>
        <v>Under 25</v>
      </c>
      <c r="AK726" s="4" t="str">
        <f>IF(EmployeeData[[#This Row],[MonthlyIncome]]&lt;3000,"Below 3K",IF(EmployeeData[[#This Row],[MonthlyIncome]]&lt;6000,"3K-6K",IF(EmployeeData[[#This Row],[MonthlyIncome]]&lt;9000,"6K-9K",IF(EmployeeData[[#This Row],[MonthlyIncome]]&lt;12000,"9K-12K","12K+"))))</f>
        <v>3K-6K</v>
      </c>
    </row>
    <row r="727" spans="1:37" x14ac:dyDescent="0.3">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c r="AJ727" s="4" t="str">
        <f>IF(EmployeeData[[#This Row],[Age]]&lt;25,"Under 25",IF(EmployeeData[[#This Row],[Age]]&lt;35,"25-34",IF(EmployeeData[[#This Row],[Age]]&lt;45,"35-44",IF(EmployeeData[[#This Row],[Age]]&lt;55,"45-54","55+"))))</f>
        <v>35-44</v>
      </c>
      <c r="AK727" s="4" t="str">
        <f>IF(EmployeeData[[#This Row],[MonthlyIncome]]&lt;3000,"Below 3K",IF(EmployeeData[[#This Row],[MonthlyIncome]]&lt;6000,"3K-6K",IF(EmployeeData[[#This Row],[MonthlyIncome]]&lt;9000,"6K-9K",IF(EmployeeData[[#This Row],[MonthlyIncome]]&lt;12000,"9K-12K","12K+"))))</f>
        <v>3K-6K</v>
      </c>
    </row>
    <row r="728" spans="1:37" x14ac:dyDescent="0.3">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c r="AJ728" s="4" t="str">
        <f>IF(EmployeeData[[#This Row],[Age]]&lt;25,"Under 25",IF(EmployeeData[[#This Row],[Age]]&lt;35,"25-34",IF(EmployeeData[[#This Row],[Age]]&lt;45,"35-44",IF(EmployeeData[[#This Row],[Age]]&lt;55,"45-54","55+"))))</f>
        <v>25-34</v>
      </c>
      <c r="AK728" s="4" t="str">
        <f>IF(EmployeeData[[#This Row],[MonthlyIncome]]&lt;3000,"Below 3K",IF(EmployeeData[[#This Row],[MonthlyIncome]]&lt;6000,"3K-6K",IF(EmployeeData[[#This Row],[MonthlyIncome]]&lt;9000,"6K-9K",IF(EmployeeData[[#This Row],[MonthlyIncome]]&lt;12000,"9K-12K","12K+"))))</f>
        <v>3K-6K</v>
      </c>
    </row>
    <row r="729" spans="1:37" x14ac:dyDescent="0.3">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c r="AJ729" s="4" t="str">
        <f>IF(EmployeeData[[#This Row],[Age]]&lt;25,"Under 25",IF(EmployeeData[[#This Row],[Age]]&lt;35,"25-34",IF(EmployeeData[[#This Row],[Age]]&lt;45,"35-44",IF(EmployeeData[[#This Row],[Age]]&lt;55,"45-54","55+"))))</f>
        <v>Under 25</v>
      </c>
      <c r="AK729" s="4" t="str">
        <f>IF(EmployeeData[[#This Row],[MonthlyIncome]]&lt;3000,"Below 3K",IF(EmployeeData[[#This Row],[MonthlyIncome]]&lt;6000,"3K-6K",IF(EmployeeData[[#This Row],[MonthlyIncome]]&lt;9000,"6K-9K",IF(EmployeeData[[#This Row],[MonthlyIncome]]&lt;12000,"9K-12K","12K+"))))</f>
        <v>Below 3K</v>
      </c>
    </row>
    <row r="730" spans="1:37" x14ac:dyDescent="0.3">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c r="AJ730" s="4" t="str">
        <f>IF(EmployeeData[[#This Row],[Age]]&lt;25,"Under 25",IF(EmployeeData[[#This Row],[Age]]&lt;35,"25-34",IF(EmployeeData[[#This Row],[Age]]&lt;45,"35-44",IF(EmployeeData[[#This Row],[Age]]&lt;55,"45-54","55+"))))</f>
        <v>45-54</v>
      </c>
      <c r="AK730" s="4" t="str">
        <f>IF(EmployeeData[[#This Row],[MonthlyIncome]]&lt;3000,"Below 3K",IF(EmployeeData[[#This Row],[MonthlyIncome]]&lt;6000,"3K-6K",IF(EmployeeData[[#This Row],[MonthlyIncome]]&lt;9000,"6K-9K",IF(EmployeeData[[#This Row],[MonthlyIncome]]&lt;12000,"9K-12K","12K+"))))</f>
        <v>9K-12K</v>
      </c>
    </row>
    <row r="731" spans="1:37" x14ac:dyDescent="0.3">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c r="AJ731" s="4" t="str">
        <f>IF(EmployeeData[[#This Row],[Age]]&lt;25,"Under 25",IF(EmployeeData[[#This Row],[Age]]&lt;35,"25-34",IF(EmployeeData[[#This Row],[Age]]&lt;45,"35-44",IF(EmployeeData[[#This Row],[Age]]&lt;55,"45-54","55+"))))</f>
        <v>35-44</v>
      </c>
      <c r="AK731" s="4" t="str">
        <f>IF(EmployeeData[[#This Row],[MonthlyIncome]]&lt;3000,"Below 3K",IF(EmployeeData[[#This Row],[MonthlyIncome]]&lt;6000,"3K-6K",IF(EmployeeData[[#This Row],[MonthlyIncome]]&lt;9000,"6K-9K",IF(EmployeeData[[#This Row],[MonthlyIncome]]&lt;12000,"9K-12K","12K+"))))</f>
        <v>9K-12K</v>
      </c>
    </row>
    <row r="732" spans="1:37" x14ac:dyDescent="0.3">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c r="AJ732" s="4" t="str">
        <f>IF(EmployeeData[[#This Row],[Age]]&lt;25,"Under 25",IF(EmployeeData[[#This Row],[Age]]&lt;35,"25-34",IF(EmployeeData[[#This Row],[Age]]&lt;45,"35-44",IF(EmployeeData[[#This Row],[Age]]&lt;55,"45-54","55+"))))</f>
        <v>25-34</v>
      </c>
      <c r="AK732" s="4" t="str">
        <f>IF(EmployeeData[[#This Row],[MonthlyIncome]]&lt;3000,"Below 3K",IF(EmployeeData[[#This Row],[MonthlyIncome]]&lt;6000,"3K-6K",IF(EmployeeData[[#This Row],[MonthlyIncome]]&lt;9000,"6K-9K",IF(EmployeeData[[#This Row],[MonthlyIncome]]&lt;12000,"9K-12K","12K+"))))</f>
        <v>9K-12K</v>
      </c>
    </row>
    <row r="733" spans="1:37" x14ac:dyDescent="0.3">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c r="AJ733" s="4" t="str">
        <f>IF(EmployeeData[[#This Row],[Age]]&lt;25,"Under 25",IF(EmployeeData[[#This Row],[Age]]&lt;35,"25-34",IF(EmployeeData[[#This Row],[Age]]&lt;45,"35-44",IF(EmployeeData[[#This Row],[Age]]&lt;55,"45-54","55+"))))</f>
        <v>Under 25</v>
      </c>
      <c r="AK733" s="4" t="str">
        <f>IF(EmployeeData[[#This Row],[MonthlyIncome]]&lt;3000,"Below 3K",IF(EmployeeData[[#This Row],[MonthlyIncome]]&lt;6000,"3K-6K",IF(EmployeeData[[#This Row],[MonthlyIncome]]&lt;9000,"6K-9K",IF(EmployeeData[[#This Row],[MonthlyIncome]]&lt;12000,"9K-12K","12K+"))))</f>
        <v>Below 3K</v>
      </c>
    </row>
    <row r="734" spans="1:37" x14ac:dyDescent="0.3">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c r="AJ734" s="4" t="str">
        <f>IF(EmployeeData[[#This Row],[Age]]&lt;25,"Under 25",IF(EmployeeData[[#This Row],[Age]]&lt;35,"25-34",IF(EmployeeData[[#This Row],[Age]]&lt;45,"35-44",IF(EmployeeData[[#This Row],[Age]]&lt;55,"45-54","55+"))))</f>
        <v>25-34</v>
      </c>
      <c r="AK734" s="4" t="str">
        <f>IF(EmployeeData[[#This Row],[MonthlyIncome]]&lt;3000,"Below 3K",IF(EmployeeData[[#This Row],[MonthlyIncome]]&lt;6000,"3K-6K",IF(EmployeeData[[#This Row],[MonthlyIncome]]&lt;9000,"6K-9K",IF(EmployeeData[[#This Row],[MonthlyIncome]]&lt;12000,"9K-12K","12K+"))))</f>
        <v>Below 3K</v>
      </c>
    </row>
    <row r="735" spans="1:37" x14ac:dyDescent="0.3">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c r="AJ735" s="4" t="str">
        <f>IF(EmployeeData[[#This Row],[Age]]&lt;25,"Under 25",IF(EmployeeData[[#This Row],[Age]]&lt;35,"25-34",IF(EmployeeData[[#This Row],[Age]]&lt;45,"35-44",IF(EmployeeData[[#This Row],[Age]]&lt;55,"45-54","55+"))))</f>
        <v>25-34</v>
      </c>
      <c r="AK735" s="4" t="str">
        <f>IF(EmployeeData[[#This Row],[MonthlyIncome]]&lt;3000,"Below 3K",IF(EmployeeData[[#This Row],[MonthlyIncome]]&lt;6000,"3K-6K",IF(EmployeeData[[#This Row],[MonthlyIncome]]&lt;9000,"6K-9K",IF(EmployeeData[[#This Row],[MonthlyIncome]]&lt;12000,"9K-12K","12K+"))))</f>
        <v>3K-6K</v>
      </c>
    </row>
    <row r="736" spans="1:37" x14ac:dyDescent="0.3">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c r="AJ736" s="4" t="str">
        <f>IF(EmployeeData[[#This Row],[Age]]&lt;25,"Under 25",IF(EmployeeData[[#This Row],[Age]]&lt;35,"25-34",IF(EmployeeData[[#This Row],[Age]]&lt;45,"35-44",IF(EmployeeData[[#This Row],[Age]]&lt;55,"45-54","55+"))))</f>
        <v>Under 25</v>
      </c>
      <c r="AK736" s="4" t="str">
        <f>IF(EmployeeData[[#This Row],[MonthlyIncome]]&lt;3000,"Below 3K",IF(EmployeeData[[#This Row],[MonthlyIncome]]&lt;6000,"3K-6K",IF(EmployeeData[[#This Row],[MonthlyIncome]]&lt;9000,"6K-9K",IF(EmployeeData[[#This Row],[MonthlyIncome]]&lt;12000,"9K-12K","12K+"))))</f>
        <v>Below 3K</v>
      </c>
    </row>
    <row r="737" spans="1:37" x14ac:dyDescent="0.3">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c r="AJ737" s="4" t="str">
        <f>IF(EmployeeData[[#This Row],[Age]]&lt;25,"Under 25",IF(EmployeeData[[#This Row],[Age]]&lt;35,"25-34",IF(EmployeeData[[#This Row],[Age]]&lt;45,"35-44",IF(EmployeeData[[#This Row],[Age]]&lt;55,"45-54","55+"))))</f>
        <v>45-54</v>
      </c>
      <c r="AK737" s="4" t="str">
        <f>IF(EmployeeData[[#This Row],[MonthlyIncome]]&lt;3000,"Below 3K",IF(EmployeeData[[#This Row],[MonthlyIncome]]&lt;6000,"3K-6K",IF(EmployeeData[[#This Row],[MonthlyIncome]]&lt;9000,"6K-9K",IF(EmployeeData[[#This Row],[MonthlyIncome]]&lt;12000,"9K-12K","12K+"))))</f>
        <v>3K-6K</v>
      </c>
    </row>
    <row r="738" spans="1:37" x14ac:dyDescent="0.3">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c r="AJ738" s="4" t="str">
        <f>IF(EmployeeData[[#This Row],[Age]]&lt;25,"Under 25",IF(EmployeeData[[#This Row],[Age]]&lt;35,"25-34",IF(EmployeeData[[#This Row],[Age]]&lt;45,"35-44",IF(EmployeeData[[#This Row],[Age]]&lt;55,"45-54","55+"))))</f>
        <v>45-54</v>
      </c>
      <c r="AK738" s="4" t="str">
        <f>IF(EmployeeData[[#This Row],[MonthlyIncome]]&lt;3000,"Below 3K",IF(EmployeeData[[#This Row],[MonthlyIncome]]&lt;6000,"3K-6K",IF(EmployeeData[[#This Row],[MonthlyIncome]]&lt;9000,"6K-9K",IF(EmployeeData[[#This Row],[MonthlyIncome]]&lt;12000,"9K-12K","12K+"))))</f>
        <v>9K-12K</v>
      </c>
    </row>
    <row r="739" spans="1:37" x14ac:dyDescent="0.3">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c r="AJ739" s="4" t="str">
        <f>IF(EmployeeData[[#This Row],[Age]]&lt;25,"Under 25",IF(EmployeeData[[#This Row],[Age]]&lt;35,"25-34",IF(EmployeeData[[#This Row],[Age]]&lt;45,"35-44",IF(EmployeeData[[#This Row],[Age]]&lt;55,"45-54","55+"))))</f>
        <v>35-44</v>
      </c>
      <c r="AK739" s="4" t="str">
        <f>IF(EmployeeData[[#This Row],[MonthlyIncome]]&lt;3000,"Below 3K",IF(EmployeeData[[#This Row],[MonthlyIncome]]&lt;6000,"3K-6K",IF(EmployeeData[[#This Row],[MonthlyIncome]]&lt;9000,"6K-9K",IF(EmployeeData[[#This Row],[MonthlyIncome]]&lt;12000,"9K-12K","12K+"))))</f>
        <v>3K-6K</v>
      </c>
    </row>
    <row r="740" spans="1:37" x14ac:dyDescent="0.3">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c r="AJ740" s="4" t="str">
        <f>IF(EmployeeData[[#This Row],[Age]]&lt;25,"Under 25",IF(EmployeeData[[#This Row],[Age]]&lt;35,"25-34",IF(EmployeeData[[#This Row],[Age]]&lt;45,"35-44",IF(EmployeeData[[#This Row],[Age]]&lt;55,"45-54","55+"))))</f>
        <v>35-44</v>
      </c>
      <c r="AK740" s="4" t="str">
        <f>IF(EmployeeData[[#This Row],[MonthlyIncome]]&lt;3000,"Below 3K",IF(EmployeeData[[#This Row],[MonthlyIncome]]&lt;6000,"3K-6K",IF(EmployeeData[[#This Row],[MonthlyIncome]]&lt;9000,"6K-9K",IF(EmployeeData[[#This Row],[MonthlyIncome]]&lt;12000,"9K-12K","12K+"))))</f>
        <v>12K+</v>
      </c>
    </row>
    <row r="741" spans="1:37" x14ac:dyDescent="0.3">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c r="AJ741" s="4" t="str">
        <f>IF(EmployeeData[[#This Row],[Age]]&lt;25,"Under 25",IF(EmployeeData[[#This Row],[Age]]&lt;35,"25-34",IF(EmployeeData[[#This Row],[Age]]&lt;45,"35-44",IF(EmployeeData[[#This Row],[Age]]&lt;55,"45-54","55+"))))</f>
        <v>25-34</v>
      </c>
      <c r="AK741" s="4" t="str">
        <f>IF(EmployeeData[[#This Row],[MonthlyIncome]]&lt;3000,"Below 3K",IF(EmployeeData[[#This Row],[MonthlyIncome]]&lt;6000,"3K-6K",IF(EmployeeData[[#This Row],[MonthlyIncome]]&lt;9000,"6K-9K",IF(EmployeeData[[#This Row],[MonthlyIncome]]&lt;12000,"9K-12K","12K+"))))</f>
        <v>3K-6K</v>
      </c>
    </row>
    <row r="742" spans="1:37" x14ac:dyDescent="0.3">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c r="AJ742" s="4" t="str">
        <f>IF(EmployeeData[[#This Row],[Age]]&lt;25,"Under 25",IF(EmployeeData[[#This Row],[Age]]&lt;35,"25-34",IF(EmployeeData[[#This Row],[Age]]&lt;45,"35-44",IF(EmployeeData[[#This Row],[Age]]&lt;55,"45-54","55+"))))</f>
        <v>35-44</v>
      </c>
      <c r="AK742" s="4" t="str">
        <f>IF(EmployeeData[[#This Row],[MonthlyIncome]]&lt;3000,"Below 3K",IF(EmployeeData[[#This Row],[MonthlyIncome]]&lt;6000,"3K-6K",IF(EmployeeData[[#This Row],[MonthlyIncome]]&lt;9000,"6K-9K",IF(EmployeeData[[#This Row],[MonthlyIncome]]&lt;12000,"9K-12K","12K+"))))</f>
        <v>3K-6K</v>
      </c>
    </row>
    <row r="743" spans="1:37" x14ac:dyDescent="0.3">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c r="AJ743" s="4" t="str">
        <f>IF(EmployeeData[[#This Row],[Age]]&lt;25,"Under 25",IF(EmployeeData[[#This Row],[Age]]&lt;35,"25-34",IF(EmployeeData[[#This Row],[Age]]&lt;45,"35-44",IF(EmployeeData[[#This Row],[Age]]&lt;55,"45-54","55+"))))</f>
        <v>35-44</v>
      </c>
      <c r="AK743" s="4" t="str">
        <f>IF(EmployeeData[[#This Row],[MonthlyIncome]]&lt;3000,"Below 3K",IF(EmployeeData[[#This Row],[MonthlyIncome]]&lt;6000,"3K-6K",IF(EmployeeData[[#This Row],[MonthlyIncome]]&lt;9000,"6K-9K",IF(EmployeeData[[#This Row],[MonthlyIncome]]&lt;12000,"9K-12K","12K+"))))</f>
        <v>12K+</v>
      </c>
    </row>
    <row r="744" spans="1:37" x14ac:dyDescent="0.3">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c r="AJ744" s="4" t="str">
        <f>IF(EmployeeData[[#This Row],[Age]]&lt;25,"Under 25",IF(EmployeeData[[#This Row],[Age]]&lt;35,"25-34",IF(EmployeeData[[#This Row],[Age]]&lt;45,"35-44",IF(EmployeeData[[#This Row],[Age]]&lt;55,"45-54","55+"))))</f>
        <v>45-54</v>
      </c>
      <c r="AK744" s="4" t="str">
        <f>IF(EmployeeData[[#This Row],[MonthlyIncome]]&lt;3000,"Below 3K",IF(EmployeeData[[#This Row],[MonthlyIncome]]&lt;6000,"3K-6K",IF(EmployeeData[[#This Row],[MonthlyIncome]]&lt;9000,"6K-9K",IF(EmployeeData[[#This Row],[MonthlyIncome]]&lt;12000,"9K-12K","12K+"))))</f>
        <v>Below 3K</v>
      </c>
    </row>
    <row r="745" spans="1:37" x14ac:dyDescent="0.3">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c r="AJ745" s="4" t="str">
        <f>IF(EmployeeData[[#This Row],[Age]]&lt;25,"Under 25",IF(EmployeeData[[#This Row],[Age]]&lt;35,"25-34",IF(EmployeeData[[#This Row],[Age]]&lt;45,"35-44",IF(EmployeeData[[#This Row],[Age]]&lt;55,"45-54","55+"))))</f>
        <v>55+</v>
      </c>
      <c r="AK745" s="4" t="str">
        <f>IF(EmployeeData[[#This Row],[MonthlyIncome]]&lt;3000,"Below 3K",IF(EmployeeData[[#This Row],[MonthlyIncome]]&lt;6000,"3K-6K",IF(EmployeeData[[#This Row],[MonthlyIncome]]&lt;9000,"6K-9K",IF(EmployeeData[[#This Row],[MonthlyIncome]]&lt;12000,"9K-12K","12K+"))))</f>
        <v>12K+</v>
      </c>
    </row>
    <row r="746" spans="1:37" x14ac:dyDescent="0.3">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c r="AJ746" s="4" t="str">
        <f>IF(EmployeeData[[#This Row],[Age]]&lt;25,"Under 25",IF(EmployeeData[[#This Row],[Age]]&lt;35,"25-34",IF(EmployeeData[[#This Row],[Age]]&lt;45,"35-44",IF(EmployeeData[[#This Row],[Age]]&lt;55,"45-54","55+"))))</f>
        <v>35-44</v>
      </c>
      <c r="AK746" s="4" t="str">
        <f>IF(EmployeeData[[#This Row],[MonthlyIncome]]&lt;3000,"Below 3K",IF(EmployeeData[[#This Row],[MonthlyIncome]]&lt;6000,"3K-6K",IF(EmployeeData[[#This Row],[MonthlyIncome]]&lt;9000,"6K-9K",IF(EmployeeData[[#This Row],[MonthlyIncome]]&lt;12000,"9K-12K","12K+"))))</f>
        <v>3K-6K</v>
      </c>
    </row>
    <row r="747" spans="1:37" x14ac:dyDescent="0.3">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c r="AJ747" s="4" t="str">
        <f>IF(EmployeeData[[#This Row],[Age]]&lt;25,"Under 25",IF(EmployeeData[[#This Row],[Age]]&lt;35,"25-34",IF(EmployeeData[[#This Row],[Age]]&lt;45,"35-44",IF(EmployeeData[[#This Row],[Age]]&lt;55,"45-54","55+"))))</f>
        <v>55+</v>
      </c>
      <c r="AK747" s="4" t="str">
        <f>IF(EmployeeData[[#This Row],[MonthlyIncome]]&lt;3000,"Below 3K",IF(EmployeeData[[#This Row],[MonthlyIncome]]&lt;6000,"3K-6K",IF(EmployeeData[[#This Row],[MonthlyIncome]]&lt;9000,"6K-9K",IF(EmployeeData[[#This Row],[MonthlyIncome]]&lt;12000,"9K-12K","12K+"))))</f>
        <v>6K-9K</v>
      </c>
    </row>
    <row r="748" spans="1:37" x14ac:dyDescent="0.3">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c r="AJ748" s="4" t="str">
        <f>IF(EmployeeData[[#This Row],[Age]]&lt;25,"Under 25",IF(EmployeeData[[#This Row],[Age]]&lt;35,"25-34",IF(EmployeeData[[#This Row],[Age]]&lt;45,"35-44",IF(EmployeeData[[#This Row],[Age]]&lt;55,"45-54","55+"))))</f>
        <v>35-44</v>
      </c>
      <c r="AK748" s="4" t="str">
        <f>IF(EmployeeData[[#This Row],[MonthlyIncome]]&lt;3000,"Below 3K",IF(EmployeeData[[#This Row],[MonthlyIncome]]&lt;6000,"3K-6K",IF(EmployeeData[[#This Row],[MonthlyIncome]]&lt;9000,"6K-9K",IF(EmployeeData[[#This Row],[MonthlyIncome]]&lt;12000,"9K-12K","12K+"))))</f>
        <v>12K+</v>
      </c>
    </row>
    <row r="749" spans="1:37" x14ac:dyDescent="0.3">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c r="AJ749" s="4" t="str">
        <f>IF(EmployeeData[[#This Row],[Age]]&lt;25,"Under 25",IF(EmployeeData[[#This Row],[Age]]&lt;35,"25-34",IF(EmployeeData[[#This Row],[Age]]&lt;45,"35-44",IF(EmployeeData[[#This Row],[Age]]&lt;55,"45-54","55+"))))</f>
        <v>35-44</v>
      </c>
      <c r="AK749" s="4" t="str">
        <f>IF(EmployeeData[[#This Row],[MonthlyIncome]]&lt;3000,"Below 3K",IF(EmployeeData[[#This Row],[MonthlyIncome]]&lt;6000,"3K-6K",IF(EmployeeData[[#This Row],[MonthlyIncome]]&lt;9000,"6K-9K",IF(EmployeeData[[#This Row],[MonthlyIncome]]&lt;12000,"9K-12K","12K+"))))</f>
        <v>6K-9K</v>
      </c>
    </row>
    <row r="750" spans="1:37" x14ac:dyDescent="0.3">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c r="AJ750" s="4" t="str">
        <f>IF(EmployeeData[[#This Row],[Age]]&lt;25,"Under 25",IF(EmployeeData[[#This Row],[Age]]&lt;35,"25-34",IF(EmployeeData[[#This Row],[Age]]&lt;45,"35-44",IF(EmployeeData[[#This Row],[Age]]&lt;55,"45-54","55+"))))</f>
        <v>25-34</v>
      </c>
      <c r="AK750" s="4" t="str">
        <f>IF(EmployeeData[[#This Row],[MonthlyIncome]]&lt;3000,"Below 3K",IF(EmployeeData[[#This Row],[MonthlyIncome]]&lt;6000,"3K-6K",IF(EmployeeData[[#This Row],[MonthlyIncome]]&lt;9000,"6K-9K",IF(EmployeeData[[#This Row],[MonthlyIncome]]&lt;12000,"9K-12K","12K+"))))</f>
        <v>3K-6K</v>
      </c>
    </row>
    <row r="751" spans="1:37" x14ac:dyDescent="0.3">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c r="AJ751" s="4" t="str">
        <f>IF(EmployeeData[[#This Row],[Age]]&lt;25,"Under 25",IF(EmployeeData[[#This Row],[Age]]&lt;35,"25-34",IF(EmployeeData[[#This Row],[Age]]&lt;45,"35-44",IF(EmployeeData[[#This Row],[Age]]&lt;55,"45-54","55+"))))</f>
        <v>45-54</v>
      </c>
      <c r="AK751" s="4" t="str">
        <f>IF(EmployeeData[[#This Row],[MonthlyIncome]]&lt;3000,"Below 3K",IF(EmployeeData[[#This Row],[MonthlyIncome]]&lt;6000,"3K-6K",IF(EmployeeData[[#This Row],[MonthlyIncome]]&lt;9000,"6K-9K",IF(EmployeeData[[#This Row],[MonthlyIncome]]&lt;12000,"9K-12K","12K+"))))</f>
        <v>12K+</v>
      </c>
    </row>
    <row r="752" spans="1:37" x14ac:dyDescent="0.3">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c r="AJ752" s="4" t="str">
        <f>IF(EmployeeData[[#This Row],[Age]]&lt;25,"Under 25",IF(EmployeeData[[#This Row],[Age]]&lt;35,"25-34",IF(EmployeeData[[#This Row],[Age]]&lt;45,"35-44",IF(EmployeeData[[#This Row],[Age]]&lt;55,"45-54","55+"))))</f>
        <v>35-44</v>
      </c>
      <c r="AK752" s="4" t="str">
        <f>IF(EmployeeData[[#This Row],[MonthlyIncome]]&lt;3000,"Below 3K",IF(EmployeeData[[#This Row],[MonthlyIncome]]&lt;6000,"3K-6K",IF(EmployeeData[[#This Row],[MonthlyIncome]]&lt;9000,"6K-9K",IF(EmployeeData[[#This Row],[MonthlyIncome]]&lt;12000,"9K-12K","12K+"))))</f>
        <v>12K+</v>
      </c>
    </row>
    <row r="753" spans="1:37" x14ac:dyDescent="0.3">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c r="AJ753" s="4" t="str">
        <f>IF(EmployeeData[[#This Row],[Age]]&lt;25,"Under 25",IF(EmployeeData[[#This Row],[Age]]&lt;35,"25-34",IF(EmployeeData[[#This Row],[Age]]&lt;45,"35-44",IF(EmployeeData[[#This Row],[Age]]&lt;55,"45-54","55+"))))</f>
        <v>45-54</v>
      </c>
      <c r="AK753" s="4" t="str">
        <f>IF(EmployeeData[[#This Row],[MonthlyIncome]]&lt;3000,"Below 3K",IF(EmployeeData[[#This Row],[MonthlyIncome]]&lt;6000,"3K-6K",IF(EmployeeData[[#This Row],[MonthlyIncome]]&lt;9000,"6K-9K",IF(EmployeeData[[#This Row],[MonthlyIncome]]&lt;12000,"9K-12K","12K+"))))</f>
        <v>6K-9K</v>
      </c>
    </row>
    <row r="754" spans="1:37" x14ac:dyDescent="0.3">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c r="AJ754" s="4" t="str">
        <f>IF(EmployeeData[[#This Row],[Age]]&lt;25,"Under 25",IF(EmployeeData[[#This Row],[Age]]&lt;35,"25-34",IF(EmployeeData[[#This Row],[Age]]&lt;45,"35-44",IF(EmployeeData[[#This Row],[Age]]&lt;55,"45-54","55+"))))</f>
        <v>35-44</v>
      </c>
      <c r="AK754" s="4" t="str">
        <f>IF(EmployeeData[[#This Row],[MonthlyIncome]]&lt;3000,"Below 3K",IF(EmployeeData[[#This Row],[MonthlyIncome]]&lt;6000,"3K-6K",IF(EmployeeData[[#This Row],[MonthlyIncome]]&lt;9000,"6K-9K",IF(EmployeeData[[#This Row],[MonthlyIncome]]&lt;12000,"9K-12K","12K+"))))</f>
        <v>Below 3K</v>
      </c>
    </row>
    <row r="755" spans="1:37" x14ac:dyDescent="0.3">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c r="AJ755" s="4" t="str">
        <f>IF(EmployeeData[[#This Row],[Age]]&lt;25,"Under 25",IF(EmployeeData[[#This Row],[Age]]&lt;35,"25-34",IF(EmployeeData[[#This Row],[Age]]&lt;45,"35-44",IF(EmployeeData[[#This Row],[Age]]&lt;55,"45-54","55+"))))</f>
        <v>35-44</v>
      </c>
      <c r="AK755" s="4" t="str">
        <f>IF(EmployeeData[[#This Row],[MonthlyIncome]]&lt;3000,"Below 3K",IF(EmployeeData[[#This Row],[MonthlyIncome]]&lt;6000,"3K-6K",IF(EmployeeData[[#This Row],[MonthlyIncome]]&lt;9000,"6K-9K",IF(EmployeeData[[#This Row],[MonthlyIncome]]&lt;12000,"9K-12K","12K+"))))</f>
        <v>9K-12K</v>
      </c>
    </row>
    <row r="756" spans="1:37" x14ac:dyDescent="0.3">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c r="AJ756" s="4" t="str">
        <f>IF(EmployeeData[[#This Row],[Age]]&lt;25,"Under 25",IF(EmployeeData[[#This Row],[Age]]&lt;35,"25-34",IF(EmployeeData[[#This Row],[Age]]&lt;45,"35-44",IF(EmployeeData[[#This Row],[Age]]&lt;55,"45-54","55+"))))</f>
        <v>25-34</v>
      </c>
      <c r="AK756" s="4" t="str">
        <f>IF(EmployeeData[[#This Row],[MonthlyIncome]]&lt;3000,"Below 3K",IF(EmployeeData[[#This Row],[MonthlyIncome]]&lt;6000,"3K-6K",IF(EmployeeData[[#This Row],[MonthlyIncome]]&lt;9000,"6K-9K",IF(EmployeeData[[#This Row],[MonthlyIncome]]&lt;12000,"9K-12K","12K+"))))</f>
        <v>Below 3K</v>
      </c>
    </row>
    <row r="757" spans="1:37" x14ac:dyDescent="0.3">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c r="AJ757" s="4" t="str">
        <f>IF(EmployeeData[[#This Row],[Age]]&lt;25,"Under 25",IF(EmployeeData[[#This Row],[Age]]&lt;35,"25-34",IF(EmployeeData[[#This Row],[Age]]&lt;45,"35-44",IF(EmployeeData[[#This Row],[Age]]&lt;55,"45-54","55+"))))</f>
        <v>45-54</v>
      </c>
      <c r="AK757" s="4" t="str">
        <f>IF(EmployeeData[[#This Row],[MonthlyIncome]]&lt;3000,"Below 3K",IF(EmployeeData[[#This Row],[MonthlyIncome]]&lt;6000,"3K-6K",IF(EmployeeData[[#This Row],[MonthlyIncome]]&lt;9000,"6K-9K",IF(EmployeeData[[#This Row],[MonthlyIncome]]&lt;12000,"9K-12K","12K+"))))</f>
        <v>12K+</v>
      </c>
    </row>
    <row r="758" spans="1:37" x14ac:dyDescent="0.3">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c r="AJ758" s="4" t="str">
        <f>IF(EmployeeData[[#This Row],[Age]]&lt;25,"Under 25",IF(EmployeeData[[#This Row],[Age]]&lt;35,"25-34",IF(EmployeeData[[#This Row],[Age]]&lt;45,"35-44",IF(EmployeeData[[#This Row],[Age]]&lt;55,"45-54","55+"))))</f>
        <v>25-34</v>
      </c>
      <c r="AK758" s="4" t="str">
        <f>IF(EmployeeData[[#This Row],[MonthlyIncome]]&lt;3000,"Below 3K",IF(EmployeeData[[#This Row],[MonthlyIncome]]&lt;6000,"3K-6K",IF(EmployeeData[[#This Row],[MonthlyIncome]]&lt;9000,"6K-9K",IF(EmployeeData[[#This Row],[MonthlyIncome]]&lt;12000,"9K-12K","12K+"))))</f>
        <v>3K-6K</v>
      </c>
    </row>
    <row r="759" spans="1:37" x14ac:dyDescent="0.3">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c r="AJ759" s="4" t="str">
        <f>IF(EmployeeData[[#This Row],[Age]]&lt;25,"Under 25",IF(EmployeeData[[#This Row],[Age]]&lt;35,"25-34",IF(EmployeeData[[#This Row],[Age]]&lt;45,"35-44",IF(EmployeeData[[#This Row],[Age]]&lt;55,"45-54","55+"))))</f>
        <v>25-34</v>
      </c>
      <c r="AK759" s="4" t="str">
        <f>IF(EmployeeData[[#This Row],[MonthlyIncome]]&lt;3000,"Below 3K",IF(EmployeeData[[#This Row],[MonthlyIncome]]&lt;6000,"3K-6K",IF(EmployeeData[[#This Row],[MonthlyIncome]]&lt;9000,"6K-9K",IF(EmployeeData[[#This Row],[MonthlyIncome]]&lt;12000,"9K-12K","12K+"))))</f>
        <v>9K-12K</v>
      </c>
    </row>
    <row r="760" spans="1:37" x14ac:dyDescent="0.3">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c r="AJ760" s="4" t="str">
        <f>IF(EmployeeData[[#This Row],[Age]]&lt;25,"Under 25",IF(EmployeeData[[#This Row],[Age]]&lt;35,"25-34",IF(EmployeeData[[#This Row],[Age]]&lt;45,"35-44",IF(EmployeeData[[#This Row],[Age]]&lt;55,"45-54","55+"))))</f>
        <v>55+</v>
      </c>
      <c r="AK760" s="4" t="str">
        <f>IF(EmployeeData[[#This Row],[MonthlyIncome]]&lt;3000,"Below 3K",IF(EmployeeData[[#This Row],[MonthlyIncome]]&lt;6000,"3K-6K",IF(EmployeeData[[#This Row],[MonthlyIncome]]&lt;9000,"6K-9K",IF(EmployeeData[[#This Row],[MonthlyIncome]]&lt;12000,"9K-12K","12K+"))))</f>
        <v>9K-12K</v>
      </c>
    </row>
    <row r="761" spans="1:37" x14ac:dyDescent="0.3">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c r="AJ761" s="4" t="str">
        <f>IF(EmployeeData[[#This Row],[Age]]&lt;25,"Under 25",IF(EmployeeData[[#This Row],[Age]]&lt;35,"25-34",IF(EmployeeData[[#This Row],[Age]]&lt;45,"35-44",IF(EmployeeData[[#This Row],[Age]]&lt;55,"45-54","55+"))))</f>
        <v>45-54</v>
      </c>
      <c r="AK761" s="4" t="str">
        <f>IF(EmployeeData[[#This Row],[MonthlyIncome]]&lt;3000,"Below 3K",IF(EmployeeData[[#This Row],[MonthlyIncome]]&lt;6000,"3K-6K",IF(EmployeeData[[#This Row],[MonthlyIncome]]&lt;9000,"6K-9K",IF(EmployeeData[[#This Row],[MonthlyIncome]]&lt;12000,"9K-12K","12K+"))))</f>
        <v>Below 3K</v>
      </c>
    </row>
    <row r="762" spans="1:37" x14ac:dyDescent="0.3">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c r="AJ762" s="4" t="str">
        <f>IF(EmployeeData[[#This Row],[Age]]&lt;25,"Under 25",IF(EmployeeData[[#This Row],[Age]]&lt;35,"25-34",IF(EmployeeData[[#This Row],[Age]]&lt;45,"35-44",IF(EmployeeData[[#This Row],[Age]]&lt;55,"45-54","55+"))))</f>
        <v>45-54</v>
      </c>
      <c r="AK762" s="4" t="str">
        <f>IF(EmployeeData[[#This Row],[MonthlyIncome]]&lt;3000,"Below 3K",IF(EmployeeData[[#This Row],[MonthlyIncome]]&lt;6000,"3K-6K",IF(EmployeeData[[#This Row],[MonthlyIncome]]&lt;9000,"6K-9K",IF(EmployeeData[[#This Row],[MonthlyIncome]]&lt;12000,"9K-12K","12K+"))))</f>
        <v>6K-9K</v>
      </c>
    </row>
    <row r="763" spans="1:37" x14ac:dyDescent="0.3">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c r="AJ763" s="4" t="str">
        <f>IF(EmployeeData[[#This Row],[Age]]&lt;25,"Under 25",IF(EmployeeData[[#This Row],[Age]]&lt;35,"25-34",IF(EmployeeData[[#This Row],[Age]]&lt;45,"35-44",IF(EmployeeData[[#This Row],[Age]]&lt;55,"45-54","55+"))))</f>
        <v>35-44</v>
      </c>
      <c r="AK763" s="4" t="str">
        <f>IF(EmployeeData[[#This Row],[MonthlyIncome]]&lt;3000,"Below 3K",IF(EmployeeData[[#This Row],[MonthlyIncome]]&lt;6000,"3K-6K",IF(EmployeeData[[#This Row],[MonthlyIncome]]&lt;9000,"6K-9K",IF(EmployeeData[[#This Row],[MonthlyIncome]]&lt;12000,"9K-12K","12K+"))))</f>
        <v>3K-6K</v>
      </c>
    </row>
    <row r="764" spans="1:37" x14ac:dyDescent="0.3">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c r="AJ764" s="4" t="str">
        <f>IF(EmployeeData[[#This Row],[Age]]&lt;25,"Under 25",IF(EmployeeData[[#This Row],[Age]]&lt;35,"25-34",IF(EmployeeData[[#This Row],[Age]]&lt;45,"35-44",IF(EmployeeData[[#This Row],[Age]]&lt;55,"45-54","55+"))))</f>
        <v>25-34</v>
      </c>
      <c r="AK764" s="4" t="str">
        <f>IF(EmployeeData[[#This Row],[MonthlyIncome]]&lt;3000,"Below 3K",IF(EmployeeData[[#This Row],[MonthlyIncome]]&lt;6000,"3K-6K",IF(EmployeeData[[#This Row],[MonthlyIncome]]&lt;9000,"6K-9K",IF(EmployeeData[[#This Row],[MonthlyIncome]]&lt;12000,"9K-12K","12K+"))))</f>
        <v>Below 3K</v>
      </c>
    </row>
    <row r="765" spans="1:37" x14ac:dyDescent="0.3">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c r="AJ765" s="4" t="str">
        <f>IF(EmployeeData[[#This Row],[Age]]&lt;25,"Under 25",IF(EmployeeData[[#This Row],[Age]]&lt;35,"25-34",IF(EmployeeData[[#This Row],[Age]]&lt;45,"35-44",IF(EmployeeData[[#This Row],[Age]]&lt;55,"45-54","55+"))))</f>
        <v>25-34</v>
      </c>
      <c r="AK765" s="4" t="str">
        <f>IF(EmployeeData[[#This Row],[MonthlyIncome]]&lt;3000,"Below 3K",IF(EmployeeData[[#This Row],[MonthlyIncome]]&lt;6000,"3K-6K",IF(EmployeeData[[#This Row],[MonthlyIncome]]&lt;9000,"6K-9K",IF(EmployeeData[[#This Row],[MonthlyIncome]]&lt;12000,"9K-12K","12K+"))))</f>
        <v>Below 3K</v>
      </c>
    </row>
    <row r="766" spans="1:37" x14ac:dyDescent="0.3">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c r="AJ766" s="4" t="str">
        <f>IF(EmployeeData[[#This Row],[Age]]&lt;25,"Under 25",IF(EmployeeData[[#This Row],[Age]]&lt;35,"25-34",IF(EmployeeData[[#This Row],[Age]]&lt;45,"35-44",IF(EmployeeData[[#This Row],[Age]]&lt;55,"45-54","55+"))))</f>
        <v>25-34</v>
      </c>
      <c r="AK766" s="4" t="str">
        <f>IF(EmployeeData[[#This Row],[MonthlyIncome]]&lt;3000,"Below 3K",IF(EmployeeData[[#This Row],[MonthlyIncome]]&lt;6000,"3K-6K",IF(EmployeeData[[#This Row],[MonthlyIncome]]&lt;9000,"6K-9K",IF(EmployeeData[[#This Row],[MonthlyIncome]]&lt;12000,"9K-12K","12K+"))))</f>
        <v>Below 3K</v>
      </c>
    </row>
    <row r="767" spans="1:37" x14ac:dyDescent="0.3">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c r="AJ767" s="4" t="str">
        <f>IF(EmployeeData[[#This Row],[Age]]&lt;25,"Under 25",IF(EmployeeData[[#This Row],[Age]]&lt;35,"25-34",IF(EmployeeData[[#This Row],[Age]]&lt;45,"35-44",IF(EmployeeData[[#This Row],[Age]]&lt;55,"45-54","55+"))))</f>
        <v>35-44</v>
      </c>
      <c r="AK767" s="4" t="str">
        <f>IF(EmployeeData[[#This Row],[MonthlyIncome]]&lt;3000,"Below 3K",IF(EmployeeData[[#This Row],[MonthlyIncome]]&lt;6000,"3K-6K",IF(EmployeeData[[#This Row],[MonthlyIncome]]&lt;9000,"6K-9K",IF(EmployeeData[[#This Row],[MonthlyIncome]]&lt;12000,"9K-12K","12K+"))))</f>
        <v>Below 3K</v>
      </c>
    </row>
    <row r="768" spans="1:37" x14ac:dyDescent="0.3">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c r="AJ768" s="4" t="str">
        <f>IF(EmployeeData[[#This Row],[Age]]&lt;25,"Under 25",IF(EmployeeData[[#This Row],[Age]]&lt;35,"25-34",IF(EmployeeData[[#This Row],[Age]]&lt;45,"35-44",IF(EmployeeData[[#This Row],[Age]]&lt;55,"45-54","55+"))))</f>
        <v>45-54</v>
      </c>
      <c r="AK768" s="4" t="str">
        <f>IF(EmployeeData[[#This Row],[MonthlyIncome]]&lt;3000,"Below 3K",IF(EmployeeData[[#This Row],[MonthlyIncome]]&lt;6000,"3K-6K",IF(EmployeeData[[#This Row],[MonthlyIncome]]&lt;9000,"6K-9K",IF(EmployeeData[[#This Row],[MonthlyIncome]]&lt;12000,"9K-12K","12K+"))))</f>
        <v>12K+</v>
      </c>
    </row>
    <row r="769" spans="1:37" x14ac:dyDescent="0.3">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c r="AJ769" s="4" t="str">
        <f>IF(EmployeeData[[#This Row],[Age]]&lt;25,"Under 25",IF(EmployeeData[[#This Row],[Age]]&lt;35,"25-34",IF(EmployeeData[[#This Row],[Age]]&lt;45,"35-44",IF(EmployeeData[[#This Row],[Age]]&lt;55,"45-54","55+"))))</f>
        <v>35-44</v>
      </c>
      <c r="AK769" s="4" t="str">
        <f>IF(EmployeeData[[#This Row],[MonthlyIncome]]&lt;3000,"Below 3K",IF(EmployeeData[[#This Row],[MonthlyIncome]]&lt;6000,"3K-6K",IF(EmployeeData[[#This Row],[MonthlyIncome]]&lt;9000,"6K-9K",IF(EmployeeData[[#This Row],[MonthlyIncome]]&lt;12000,"9K-12K","12K+"))))</f>
        <v>3K-6K</v>
      </c>
    </row>
    <row r="770" spans="1:37" x14ac:dyDescent="0.3">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c r="AJ770" s="4" t="str">
        <f>IF(EmployeeData[[#This Row],[Age]]&lt;25,"Under 25",IF(EmployeeData[[#This Row],[Age]]&lt;35,"25-34",IF(EmployeeData[[#This Row],[Age]]&lt;45,"35-44",IF(EmployeeData[[#This Row],[Age]]&lt;55,"45-54","55+"))))</f>
        <v>35-44</v>
      </c>
      <c r="AK770" s="4" t="str">
        <f>IF(EmployeeData[[#This Row],[MonthlyIncome]]&lt;3000,"Below 3K",IF(EmployeeData[[#This Row],[MonthlyIncome]]&lt;6000,"3K-6K",IF(EmployeeData[[#This Row],[MonthlyIncome]]&lt;9000,"6K-9K",IF(EmployeeData[[#This Row],[MonthlyIncome]]&lt;12000,"9K-12K","12K+"))))</f>
        <v>6K-9K</v>
      </c>
    </row>
    <row r="771" spans="1:37" x14ac:dyDescent="0.3">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c r="AJ771" s="4" t="str">
        <f>IF(EmployeeData[[#This Row],[Age]]&lt;25,"Under 25",IF(EmployeeData[[#This Row],[Age]]&lt;35,"25-34",IF(EmployeeData[[#This Row],[Age]]&lt;45,"35-44",IF(EmployeeData[[#This Row],[Age]]&lt;55,"45-54","55+"))))</f>
        <v>25-34</v>
      </c>
      <c r="AK771" s="4" t="str">
        <f>IF(EmployeeData[[#This Row],[MonthlyIncome]]&lt;3000,"Below 3K",IF(EmployeeData[[#This Row],[MonthlyIncome]]&lt;6000,"3K-6K",IF(EmployeeData[[#This Row],[MonthlyIncome]]&lt;9000,"6K-9K",IF(EmployeeData[[#This Row],[MonthlyIncome]]&lt;12000,"9K-12K","12K+"))))</f>
        <v>Below 3K</v>
      </c>
    </row>
    <row r="772" spans="1:37" x14ac:dyDescent="0.3">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c r="AJ772" s="4" t="str">
        <f>IF(EmployeeData[[#This Row],[Age]]&lt;25,"Under 25",IF(EmployeeData[[#This Row],[Age]]&lt;35,"25-34",IF(EmployeeData[[#This Row],[Age]]&lt;45,"35-44",IF(EmployeeData[[#This Row],[Age]]&lt;55,"45-54","55+"))))</f>
        <v>45-54</v>
      </c>
      <c r="AK772" s="4" t="str">
        <f>IF(EmployeeData[[#This Row],[MonthlyIncome]]&lt;3000,"Below 3K",IF(EmployeeData[[#This Row],[MonthlyIncome]]&lt;6000,"3K-6K",IF(EmployeeData[[#This Row],[MonthlyIncome]]&lt;9000,"6K-9K",IF(EmployeeData[[#This Row],[MonthlyIncome]]&lt;12000,"9K-12K","12K+"))))</f>
        <v>12K+</v>
      </c>
    </row>
    <row r="773" spans="1:37" x14ac:dyDescent="0.3">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c r="AJ773" s="4" t="str">
        <f>IF(EmployeeData[[#This Row],[Age]]&lt;25,"Under 25",IF(EmployeeData[[#This Row],[Age]]&lt;35,"25-34",IF(EmployeeData[[#This Row],[Age]]&lt;45,"35-44",IF(EmployeeData[[#This Row],[Age]]&lt;55,"45-54","55+"))))</f>
        <v>45-54</v>
      </c>
      <c r="AK773" s="4" t="str">
        <f>IF(EmployeeData[[#This Row],[MonthlyIncome]]&lt;3000,"Below 3K",IF(EmployeeData[[#This Row],[MonthlyIncome]]&lt;6000,"3K-6K",IF(EmployeeData[[#This Row],[MonthlyIncome]]&lt;9000,"6K-9K",IF(EmployeeData[[#This Row],[MonthlyIncome]]&lt;12000,"9K-12K","12K+"))))</f>
        <v>9K-12K</v>
      </c>
    </row>
    <row r="774" spans="1:37" x14ac:dyDescent="0.3">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c r="AJ774" s="4" t="str">
        <f>IF(EmployeeData[[#This Row],[Age]]&lt;25,"Under 25",IF(EmployeeData[[#This Row],[Age]]&lt;35,"25-34",IF(EmployeeData[[#This Row],[Age]]&lt;45,"35-44",IF(EmployeeData[[#This Row],[Age]]&lt;55,"45-54","55+"))))</f>
        <v>55+</v>
      </c>
      <c r="AK774" s="4" t="str">
        <f>IF(EmployeeData[[#This Row],[MonthlyIncome]]&lt;3000,"Below 3K",IF(EmployeeData[[#This Row],[MonthlyIncome]]&lt;6000,"3K-6K",IF(EmployeeData[[#This Row],[MonthlyIncome]]&lt;9000,"6K-9K",IF(EmployeeData[[#This Row],[MonthlyIncome]]&lt;12000,"9K-12K","12K+"))))</f>
        <v>Below 3K</v>
      </c>
    </row>
    <row r="775" spans="1:37" x14ac:dyDescent="0.3">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c r="AJ775" s="4" t="str">
        <f>IF(EmployeeData[[#This Row],[Age]]&lt;25,"Under 25",IF(EmployeeData[[#This Row],[Age]]&lt;35,"25-34",IF(EmployeeData[[#This Row],[Age]]&lt;45,"35-44",IF(EmployeeData[[#This Row],[Age]]&lt;55,"45-54","55+"))))</f>
        <v>35-44</v>
      </c>
      <c r="AK775" s="4" t="str">
        <f>IF(EmployeeData[[#This Row],[MonthlyIncome]]&lt;3000,"Below 3K",IF(EmployeeData[[#This Row],[MonthlyIncome]]&lt;6000,"3K-6K",IF(EmployeeData[[#This Row],[MonthlyIncome]]&lt;9000,"6K-9K",IF(EmployeeData[[#This Row],[MonthlyIncome]]&lt;12000,"9K-12K","12K+"))))</f>
        <v>6K-9K</v>
      </c>
    </row>
    <row r="776" spans="1:37" x14ac:dyDescent="0.3">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c r="AJ776" s="4" t="str">
        <f>IF(EmployeeData[[#This Row],[Age]]&lt;25,"Under 25",IF(EmployeeData[[#This Row],[Age]]&lt;35,"25-34",IF(EmployeeData[[#This Row],[Age]]&lt;45,"35-44",IF(EmployeeData[[#This Row],[Age]]&lt;55,"45-54","55+"))))</f>
        <v>55+</v>
      </c>
      <c r="AK776" s="4" t="str">
        <f>IF(EmployeeData[[#This Row],[MonthlyIncome]]&lt;3000,"Below 3K",IF(EmployeeData[[#This Row],[MonthlyIncome]]&lt;6000,"3K-6K",IF(EmployeeData[[#This Row],[MonthlyIncome]]&lt;9000,"6K-9K",IF(EmployeeData[[#This Row],[MonthlyIncome]]&lt;12000,"9K-12K","12K+"))))</f>
        <v>12K+</v>
      </c>
    </row>
    <row r="777" spans="1:37" x14ac:dyDescent="0.3">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c r="AJ777" s="4" t="str">
        <f>IF(EmployeeData[[#This Row],[Age]]&lt;25,"Under 25",IF(EmployeeData[[#This Row],[Age]]&lt;35,"25-34",IF(EmployeeData[[#This Row],[Age]]&lt;45,"35-44",IF(EmployeeData[[#This Row],[Age]]&lt;55,"45-54","55+"))))</f>
        <v>35-44</v>
      </c>
      <c r="AK777" s="4" t="str">
        <f>IF(EmployeeData[[#This Row],[MonthlyIncome]]&lt;3000,"Below 3K",IF(EmployeeData[[#This Row],[MonthlyIncome]]&lt;6000,"3K-6K",IF(EmployeeData[[#This Row],[MonthlyIncome]]&lt;9000,"6K-9K",IF(EmployeeData[[#This Row],[MonthlyIncome]]&lt;12000,"9K-12K","12K+"))))</f>
        <v>9K-12K</v>
      </c>
    </row>
    <row r="778" spans="1:37" x14ac:dyDescent="0.3">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c r="AJ778" s="4" t="str">
        <f>IF(EmployeeData[[#This Row],[Age]]&lt;25,"Under 25",IF(EmployeeData[[#This Row],[Age]]&lt;35,"25-34",IF(EmployeeData[[#This Row],[Age]]&lt;45,"35-44",IF(EmployeeData[[#This Row],[Age]]&lt;55,"45-54","55+"))))</f>
        <v>Under 25</v>
      </c>
      <c r="AK778" s="4" t="str">
        <f>IF(EmployeeData[[#This Row],[MonthlyIncome]]&lt;3000,"Below 3K",IF(EmployeeData[[#This Row],[MonthlyIncome]]&lt;6000,"3K-6K",IF(EmployeeData[[#This Row],[MonthlyIncome]]&lt;9000,"6K-9K",IF(EmployeeData[[#This Row],[MonthlyIncome]]&lt;12000,"9K-12K","12K+"))))</f>
        <v>Below 3K</v>
      </c>
    </row>
    <row r="779" spans="1:37" x14ac:dyDescent="0.3">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c r="AJ779" s="4" t="str">
        <f>IF(EmployeeData[[#This Row],[Age]]&lt;25,"Under 25",IF(EmployeeData[[#This Row],[Age]]&lt;35,"25-34",IF(EmployeeData[[#This Row],[Age]]&lt;45,"35-44",IF(EmployeeData[[#This Row],[Age]]&lt;55,"45-54","55+"))))</f>
        <v>Under 25</v>
      </c>
      <c r="AK779" s="4" t="str">
        <f>IF(EmployeeData[[#This Row],[MonthlyIncome]]&lt;3000,"Below 3K",IF(EmployeeData[[#This Row],[MonthlyIncome]]&lt;6000,"3K-6K",IF(EmployeeData[[#This Row],[MonthlyIncome]]&lt;9000,"6K-9K",IF(EmployeeData[[#This Row],[MonthlyIncome]]&lt;12000,"9K-12K","12K+"))))</f>
        <v>Below 3K</v>
      </c>
    </row>
    <row r="780" spans="1:37" x14ac:dyDescent="0.3">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c r="AJ780" s="4" t="str">
        <f>IF(EmployeeData[[#This Row],[Age]]&lt;25,"Under 25",IF(EmployeeData[[#This Row],[Age]]&lt;35,"25-34",IF(EmployeeData[[#This Row],[Age]]&lt;45,"35-44",IF(EmployeeData[[#This Row],[Age]]&lt;55,"45-54","55+"))))</f>
        <v>45-54</v>
      </c>
      <c r="AK780" s="4" t="str">
        <f>IF(EmployeeData[[#This Row],[MonthlyIncome]]&lt;3000,"Below 3K",IF(EmployeeData[[#This Row],[MonthlyIncome]]&lt;6000,"3K-6K",IF(EmployeeData[[#This Row],[MonthlyIncome]]&lt;9000,"6K-9K",IF(EmployeeData[[#This Row],[MonthlyIncome]]&lt;12000,"9K-12K","12K+"))))</f>
        <v>3K-6K</v>
      </c>
    </row>
    <row r="781" spans="1:37" x14ac:dyDescent="0.3">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c r="AJ781" s="4" t="str">
        <f>IF(EmployeeData[[#This Row],[Age]]&lt;25,"Under 25",IF(EmployeeData[[#This Row],[Age]]&lt;35,"25-34",IF(EmployeeData[[#This Row],[Age]]&lt;45,"35-44",IF(EmployeeData[[#This Row],[Age]]&lt;55,"45-54","55+"))))</f>
        <v>45-54</v>
      </c>
      <c r="AK781" s="4" t="str">
        <f>IF(EmployeeData[[#This Row],[MonthlyIncome]]&lt;3000,"Below 3K",IF(EmployeeData[[#This Row],[MonthlyIncome]]&lt;6000,"3K-6K",IF(EmployeeData[[#This Row],[MonthlyIncome]]&lt;9000,"6K-9K",IF(EmployeeData[[#This Row],[MonthlyIncome]]&lt;12000,"9K-12K","12K+"))))</f>
        <v>Below 3K</v>
      </c>
    </row>
    <row r="782" spans="1:37" x14ac:dyDescent="0.3">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c r="AJ782" s="4" t="str">
        <f>IF(EmployeeData[[#This Row],[Age]]&lt;25,"Under 25",IF(EmployeeData[[#This Row],[Age]]&lt;35,"25-34",IF(EmployeeData[[#This Row],[Age]]&lt;45,"35-44",IF(EmployeeData[[#This Row],[Age]]&lt;55,"45-54","55+"))))</f>
        <v>25-34</v>
      </c>
      <c r="AK782" s="4" t="str">
        <f>IF(EmployeeData[[#This Row],[MonthlyIncome]]&lt;3000,"Below 3K",IF(EmployeeData[[#This Row],[MonthlyIncome]]&lt;6000,"3K-6K",IF(EmployeeData[[#This Row],[MonthlyIncome]]&lt;9000,"6K-9K",IF(EmployeeData[[#This Row],[MonthlyIncome]]&lt;12000,"9K-12K","12K+"))))</f>
        <v>6K-9K</v>
      </c>
    </row>
    <row r="783" spans="1:37" x14ac:dyDescent="0.3">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c r="AJ783" s="4" t="str">
        <f>IF(EmployeeData[[#This Row],[Age]]&lt;25,"Under 25",IF(EmployeeData[[#This Row],[Age]]&lt;35,"25-34",IF(EmployeeData[[#This Row],[Age]]&lt;45,"35-44",IF(EmployeeData[[#This Row],[Age]]&lt;55,"45-54","55+"))))</f>
        <v>25-34</v>
      </c>
      <c r="AK783" s="4" t="str">
        <f>IF(EmployeeData[[#This Row],[MonthlyIncome]]&lt;3000,"Below 3K",IF(EmployeeData[[#This Row],[MonthlyIncome]]&lt;6000,"3K-6K",IF(EmployeeData[[#This Row],[MonthlyIncome]]&lt;9000,"6K-9K",IF(EmployeeData[[#This Row],[MonthlyIncome]]&lt;12000,"9K-12K","12K+"))))</f>
        <v>3K-6K</v>
      </c>
    </row>
    <row r="784" spans="1:37" x14ac:dyDescent="0.3">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c r="AJ784" s="4" t="str">
        <f>IF(EmployeeData[[#This Row],[Age]]&lt;25,"Under 25",IF(EmployeeData[[#This Row],[Age]]&lt;35,"25-34",IF(EmployeeData[[#This Row],[Age]]&lt;45,"35-44",IF(EmployeeData[[#This Row],[Age]]&lt;55,"45-54","55+"))))</f>
        <v>25-34</v>
      </c>
      <c r="AK784" s="4" t="str">
        <f>IF(EmployeeData[[#This Row],[MonthlyIncome]]&lt;3000,"Below 3K",IF(EmployeeData[[#This Row],[MonthlyIncome]]&lt;6000,"3K-6K",IF(EmployeeData[[#This Row],[MonthlyIncome]]&lt;9000,"6K-9K",IF(EmployeeData[[#This Row],[MonthlyIncome]]&lt;12000,"9K-12K","12K+"))))</f>
        <v>9K-12K</v>
      </c>
    </row>
    <row r="785" spans="1:37" x14ac:dyDescent="0.3">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c r="AJ785" s="4" t="str">
        <f>IF(EmployeeData[[#This Row],[Age]]&lt;25,"Under 25",IF(EmployeeData[[#This Row],[Age]]&lt;35,"25-34",IF(EmployeeData[[#This Row],[Age]]&lt;45,"35-44",IF(EmployeeData[[#This Row],[Age]]&lt;55,"45-54","55+"))))</f>
        <v>35-44</v>
      </c>
      <c r="AK785" s="4" t="str">
        <f>IF(EmployeeData[[#This Row],[MonthlyIncome]]&lt;3000,"Below 3K",IF(EmployeeData[[#This Row],[MonthlyIncome]]&lt;6000,"3K-6K",IF(EmployeeData[[#This Row],[MonthlyIncome]]&lt;9000,"6K-9K",IF(EmployeeData[[#This Row],[MonthlyIncome]]&lt;12000,"9K-12K","12K+"))))</f>
        <v>3K-6K</v>
      </c>
    </row>
    <row r="786" spans="1:37" x14ac:dyDescent="0.3">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c r="AJ786" s="4" t="str">
        <f>IF(EmployeeData[[#This Row],[Age]]&lt;25,"Under 25",IF(EmployeeData[[#This Row],[Age]]&lt;35,"25-34",IF(EmployeeData[[#This Row],[Age]]&lt;45,"35-44",IF(EmployeeData[[#This Row],[Age]]&lt;55,"45-54","55+"))))</f>
        <v>35-44</v>
      </c>
      <c r="AK786" s="4" t="str">
        <f>IF(EmployeeData[[#This Row],[MonthlyIncome]]&lt;3000,"Below 3K",IF(EmployeeData[[#This Row],[MonthlyIncome]]&lt;6000,"3K-6K",IF(EmployeeData[[#This Row],[MonthlyIncome]]&lt;9000,"6K-9K",IF(EmployeeData[[#This Row],[MonthlyIncome]]&lt;12000,"9K-12K","12K+"))))</f>
        <v>6K-9K</v>
      </c>
    </row>
    <row r="787" spans="1:37" x14ac:dyDescent="0.3">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c r="AJ787" s="4" t="str">
        <f>IF(EmployeeData[[#This Row],[Age]]&lt;25,"Under 25",IF(EmployeeData[[#This Row],[Age]]&lt;35,"25-34",IF(EmployeeData[[#This Row],[Age]]&lt;45,"35-44",IF(EmployeeData[[#This Row],[Age]]&lt;55,"45-54","55+"))))</f>
        <v>35-44</v>
      </c>
      <c r="AK787" s="4" t="str">
        <f>IF(EmployeeData[[#This Row],[MonthlyIncome]]&lt;3000,"Below 3K",IF(EmployeeData[[#This Row],[MonthlyIncome]]&lt;6000,"3K-6K",IF(EmployeeData[[#This Row],[MonthlyIncome]]&lt;9000,"6K-9K",IF(EmployeeData[[#This Row],[MonthlyIncome]]&lt;12000,"9K-12K","12K+"))))</f>
        <v>9K-12K</v>
      </c>
    </row>
    <row r="788" spans="1:37" x14ac:dyDescent="0.3">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c r="AJ788" s="4" t="str">
        <f>IF(EmployeeData[[#This Row],[Age]]&lt;25,"Under 25",IF(EmployeeData[[#This Row],[Age]]&lt;35,"25-34",IF(EmployeeData[[#This Row],[Age]]&lt;45,"35-44",IF(EmployeeData[[#This Row],[Age]]&lt;55,"45-54","55+"))))</f>
        <v>25-34</v>
      </c>
      <c r="AK788" s="4" t="str">
        <f>IF(EmployeeData[[#This Row],[MonthlyIncome]]&lt;3000,"Below 3K",IF(EmployeeData[[#This Row],[MonthlyIncome]]&lt;6000,"3K-6K",IF(EmployeeData[[#This Row],[MonthlyIncome]]&lt;9000,"6K-9K",IF(EmployeeData[[#This Row],[MonthlyIncome]]&lt;12000,"9K-12K","12K+"))))</f>
        <v>3K-6K</v>
      </c>
    </row>
    <row r="789" spans="1:37" x14ac:dyDescent="0.3">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c r="AJ789" s="4" t="str">
        <f>IF(EmployeeData[[#This Row],[Age]]&lt;25,"Under 25",IF(EmployeeData[[#This Row],[Age]]&lt;35,"25-34",IF(EmployeeData[[#This Row],[Age]]&lt;45,"35-44",IF(EmployeeData[[#This Row],[Age]]&lt;55,"45-54","55+"))))</f>
        <v>55+</v>
      </c>
      <c r="AK789" s="4" t="str">
        <f>IF(EmployeeData[[#This Row],[MonthlyIncome]]&lt;3000,"Below 3K",IF(EmployeeData[[#This Row],[MonthlyIncome]]&lt;6000,"3K-6K",IF(EmployeeData[[#This Row],[MonthlyIncome]]&lt;9000,"6K-9K",IF(EmployeeData[[#This Row],[MonthlyIncome]]&lt;12000,"9K-12K","12K+"))))</f>
        <v>9K-12K</v>
      </c>
    </row>
    <row r="790" spans="1:37" x14ac:dyDescent="0.3">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c r="AJ790" s="4" t="str">
        <f>IF(EmployeeData[[#This Row],[Age]]&lt;25,"Under 25",IF(EmployeeData[[#This Row],[Age]]&lt;35,"25-34",IF(EmployeeData[[#This Row],[Age]]&lt;45,"35-44",IF(EmployeeData[[#This Row],[Age]]&lt;55,"45-54","55+"))))</f>
        <v>25-34</v>
      </c>
      <c r="AK790" s="4" t="str">
        <f>IF(EmployeeData[[#This Row],[MonthlyIncome]]&lt;3000,"Below 3K",IF(EmployeeData[[#This Row],[MonthlyIncome]]&lt;6000,"3K-6K",IF(EmployeeData[[#This Row],[MonthlyIncome]]&lt;9000,"6K-9K",IF(EmployeeData[[#This Row],[MonthlyIncome]]&lt;12000,"9K-12K","12K+"))))</f>
        <v>3K-6K</v>
      </c>
    </row>
    <row r="791" spans="1:37" x14ac:dyDescent="0.3">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c r="AJ791" s="4" t="str">
        <f>IF(EmployeeData[[#This Row],[Age]]&lt;25,"Under 25",IF(EmployeeData[[#This Row],[Age]]&lt;35,"25-34",IF(EmployeeData[[#This Row],[Age]]&lt;45,"35-44",IF(EmployeeData[[#This Row],[Age]]&lt;55,"45-54","55+"))))</f>
        <v>35-44</v>
      </c>
      <c r="AK791" s="4" t="str">
        <f>IF(EmployeeData[[#This Row],[MonthlyIncome]]&lt;3000,"Below 3K",IF(EmployeeData[[#This Row],[MonthlyIncome]]&lt;6000,"3K-6K",IF(EmployeeData[[#This Row],[MonthlyIncome]]&lt;9000,"6K-9K",IF(EmployeeData[[#This Row],[MonthlyIncome]]&lt;12000,"9K-12K","12K+"))))</f>
        <v>9K-12K</v>
      </c>
    </row>
    <row r="792" spans="1:37" x14ac:dyDescent="0.3">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c r="AJ792" s="4" t="str">
        <f>IF(EmployeeData[[#This Row],[Age]]&lt;25,"Under 25",IF(EmployeeData[[#This Row],[Age]]&lt;35,"25-34",IF(EmployeeData[[#This Row],[Age]]&lt;45,"35-44",IF(EmployeeData[[#This Row],[Age]]&lt;55,"45-54","55+"))))</f>
        <v>25-34</v>
      </c>
      <c r="AK792" s="4" t="str">
        <f>IF(EmployeeData[[#This Row],[MonthlyIncome]]&lt;3000,"Below 3K",IF(EmployeeData[[#This Row],[MonthlyIncome]]&lt;6000,"3K-6K",IF(EmployeeData[[#This Row],[MonthlyIncome]]&lt;9000,"6K-9K",IF(EmployeeData[[#This Row],[MonthlyIncome]]&lt;12000,"9K-12K","12K+"))))</f>
        <v>6K-9K</v>
      </c>
    </row>
    <row r="793" spans="1:37" x14ac:dyDescent="0.3">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c r="AJ793" s="4" t="str">
        <f>IF(EmployeeData[[#This Row],[Age]]&lt;25,"Under 25",IF(EmployeeData[[#This Row],[Age]]&lt;35,"25-34",IF(EmployeeData[[#This Row],[Age]]&lt;45,"35-44",IF(EmployeeData[[#This Row],[Age]]&lt;55,"45-54","55+"))))</f>
        <v>35-44</v>
      </c>
      <c r="AK793" s="4" t="str">
        <f>IF(EmployeeData[[#This Row],[MonthlyIncome]]&lt;3000,"Below 3K",IF(EmployeeData[[#This Row],[MonthlyIncome]]&lt;6000,"3K-6K",IF(EmployeeData[[#This Row],[MonthlyIncome]]&lt;9000,"6K-9K",IF(EmployeeData[[#This Row],[MonthlyIncome]]&lt;12000,"9K-12K","12K+"))))</f>
        <v>9K-12K</v>
      </c>
    </row>
    <row r="794" spans="1:37" x14ac:dyDescent="0.3">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c r="AJ794" s="4" t="str">
        <f>IF(EmployeeData[[#This Row],[Age]]&lt;25,"Under 25",IF(EmployeeData[[#This Row],[Age]]&lt;35,"25-34",IF(EmployeeData[[#This Row],[Age]]&lt;45,"35-44",IF(EmployeeData[[#This Row],[Age]]&lt;55,"45-54","55+"))))</f>
        <v>25-34</v>
      </c>
      <c r="AK794" s="4" t="str">
        <f>IF(EmployeeData[[#This Row],[MonthlyIncome]]&lt;3000,"Below 3K",IF(EmployeeData[[#This Row],[MonthlyIncome]]&lt;6000,"3K-6K",IF(EmployeeData[[#This Row],[MonthlyIncome]]&lt;9000,"6K-9K",IF(EmployeeData[[#This Row],[MonthlyIncome]]&lt;12000,"9K-12K","12K+"))))</f>
        <v>3K-6K</v>
      </c>
    </row>
    <row r="795" spans="1:37" x14ac:dyDescent="0.3">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c r="AJ795" s="4" t="str">
        <f>IF(EmployeeData[[#This Row],[Age]]&lt;25,"Under 25",IF(EmployeeData[[#This Row],[Age]]&lt;35,"25-34",IF(EmployeeData[[#This Row],[Age]]&lt;45,"35-44",IF(EmployeeData[[#This Row],[Age]]&lt;55,"45-54","55+"))))</f>
        <v>25-34</v>
      </c>
      <c r="AK795" s="4" t="str">
        <f>IF(EmployeeData[[#This Row],[MonthlyIncome]]&lt;3000,"Below 3K",IF(EmployeeData[[#This Row],[MonthlyIncome]]&lt;6000,"3K-6K",IF(EmployeeData[[#This Row],[MonthlyIncome]]&lt;9000,"6K-9K",IF(EmployeeData[[#This Row],[MonthlyIncome]]&lt;12000,"9K-12K","12K+"))))</f>
        <v>Below 3K</v>
      </c>
    </row>
    <row r="796" spans="1:37" x14ac:dyDescent="0.3">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c r="AJ796" s="4" t="str">
        <f>IF(EmployeeData[[#This Row],[Age]]&lt;25,"Under 25",IF(EmployeeData[[#This Row],[Age]]&lt;35,"25-34",IF(EmployeeData[[#This Row],[Age]]&lt;45,"35-44",IF(EmployeeData[[#This Row],[Age]]&lt;55,"45-54","55+"))))</f>
        <v>25-34</v>
      </c>
      <c r="AK796" s="4" t="str">
        <f>IF(EmployeeData[[#This Row],[MonthlyIncome]]&lt;3000,"Below 3K",IF(EmployeeData[[#This Row],[MonthlyIncome]]&lt;6000,"3K-6K",IF(EmployeeData[[#This Row],[MonthlyIncome]]&lt;9000,"6K-9K",IF(EmployeeData[[#This Row],[MonthlyIncome]]&lt;12000,"9K-12K","12K+"))))</f>
        <v>6K-9K</v>
      </c>
    </row>
    <row r="797" spans="1:37" x14ac:dyDescent="0.3">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c r="AJ797" s="4" t="str">
        <f>IF(EmployeeData[[#This Row],[Age]]&lt;25,"Under 25",IF(EmployeeData[[#This Row],[Age]]&lt;35,"25-34",IF(EmployeeData[[#This Row],[Age]]&lt;45,"35-44",IF(EmployeeData[[#This Row],[Age]]&lt;55,"45-54","55+"))))</f>
        <v>35-44</v>
      </c>
      <c r="AK797" s="4" t="str">
        <f>IF(EmployeeData[[#This Row],[MonthlyIncome]]&lt;3000,"Below 3K",IF(EmployeeData[[#This Row],[MonthlyIncome]]&lt;6000,"3K-6K",IF(EmployeeData[[#This Row],[MonthlyIncome]]&lt;9000,"6K-9K",IF(EmployeeData[[#This Row],[MonthlyIncome]]&lt;12000,"9K-12K","12K+"))))</f>
        <v>6K-9K</v>
      </c>
    </row>
    <row r="798" spans="1:37" x14ac:dyDescent="0.3">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c r="AJ798" s="4" t="str">
        <f>IF(EmployeeData[[#This Row],[Age]]&lt;25,"Under 25",IF(EmployeeData[[#This Row],[Age]]&lt;35,"25-34",IF(EmployeeData[[#This Row],[Age]]&lt;45,"35-44",IF(EmployeeData[[#This Row],[Age]]&lt;55,"45-54","55+"))))</f>
        <v>25-34</v>
      </c>
      <c r="AK798" s="4" t="str">
        <f>IF(EmployeeData[[#This Row],[MonthlyIncome]]&lt;3000,"Below 3K",IF(EmployeeData[[#This Row],[MonthlyIncome]]&lt;6000,"3K-6K",IF(EmployeeData[[#This Row],[MonthlyIncome]]&lt;9000,"6K-9K",IF(EmployeeData[[#This Row],[MonthlyIncome]]&lt;12000,"9K-12K","12K+"))))</f>
        <v>3K-6K</v>
      </c>
    </row>
    <row r="799" spans="1:37" x14ac:dyDescent="0.3">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c r="AJ799" s="4" t="str">
        <f>IF(EmployeeData[[#This Row],[Age]]&lt;25,"Under 25",IF(EmployeeData[[#This Row],[Age]]&lt;35,"25-34",IF(EmployeeData[[#This Row],[Age]]&lt;45,"35-44",IF(EmployeeData[[#This Row],[Age]]&lt;55,"45-54","55+"))))</f>
        <v>25-34</v>
      </c>
      <c r="AK799" s="4" t="str">
        <f>IF(EmployeeData[[#This Row],[MonthlyIncome]]&lt;3000,"Below 3K",IF(EmployeeData[[#This Row],[MonthlyIncome]]&lt;6000,"3K-6K",IF(EmployeeData[[#This Row],[MonthlyIncome]]&lt;9000,"6K-9K",IF(EmployeeData[[#This Row],[MonthlyIncome]]&lt;12000,"9K-12K","12K+"))))</f>
        <v>Below 3K</v>
      </c>
    </row>
    <row r="800" spans="1:37" x14ac:dyDescent="0.3">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c r="AJ800" s="4" t="str">
        <f>IF(EmployeeData[[#This Row],[Age]]&lt;25,"Under 25",IF(EmployeeData[[#This Row],[Age]]&lt;35,"25-34",IF(EmployeeData[[#This Row],[Age]]&lt;45,"35-44",IF(EmployeeData[[#This Row],[Age]]&lt;55,"45-54","55+"))))</f>
        <v>25-34</v>
      </c>
      <c r="AK800" s="4" t="str">
        <f>IF(EmployeeData[[#This Row],[MonthlyIncome]]&lt;3000,"Below 3K",IF(EmployeeData[[#This Row],[MonthlyIncome]]&lt;6000,"3K-6K",IF(EmployeeData[[#This Row],[MonthlyIncome]]&lt;9000,"6K-9K",IF(EmployeeData[[#This Row],[MonthlyIncome]]&lt;12000,"9K-12K","12K+"))))</f>
        <v>Below 3K</v>
      </c>
    </row>
    <row r="801" spans="1:37" x14ac:dyDescent="0.3">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c r="AJ801" s="4" t="str">
        <f>IF(EmployeeData[[#This Row],[Age]]&lt;25,"Under 25",IF(EmployeeData[[#This Row],[Age]]&lt;35,"25-34",IF(EmployeeData[[#This Row],[Age]]&lt;45,"35-44",IF(EmployeeData[[#This Row],[Age]]&lt;55,"45-54","55+"))))</f>
        <v>35-44</v>
      </c>
      <c r="AK801" s="4" t="str">
        <f>IF(EmployeeData[[#This Row],[MonthlyIncome]]&lt;3000,"Below 3K",IF(EmployeeData[[#This Row],[MonthlyIncome]]&lt;6000,"3K-6K",IF(EmployeeData[[#This Row],[MonthlyIncome]]&lt;9000,"6K-9K",IF(EmployeeData[[#This Row],[MonthlyIncome]]&lt;12000,"9K-12K","12K+"))))</f>
        <v>12K+</v>
      </c>
    </row>
    <row r="802" spans="1:37" x14ac:dyDescent="0.3">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c r="AJ802" s="4" t="str">
        <f>IF(EmployeeData[[#This Row],[Age]]&lt;25,"Under 25",IF(EmployeeData[[#This Row],[Age]]&lt;35,"25-34",IF(EmployeeData[[#This Row],[Age]]&lt;45,"35-44",IF(EmployeeData[[#This Row],[Age]]&lt;55,"45-54","55+"))))</f>
        <v>25-34</v>
      </c>
      <c r="AK802" s="4" t="str">
        <f>IF(EmployeeData[[#This Row],[MonthlyIncome]]&lt;3000,"Below 3K",IF(EmployeeData[[#This Row],[MonthlyIncome]]&lt;6000,"3K-6K",IF(EmployeeData[[#This Row],[MonthlyIncome]]&lt;9000,"6K-9K",IF(EmployeeData[[#This Row],[MonthlyIncome]]&lt;12000,"9K-12K","12K+"))))</f>
        <v>Below 3K</v>
      </c>
    </row>
    <row r="803" spans="1:37" x14ac:dyDescent="0.3">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c r="AJ803" s="4" t="str">
        <f>IF(EmployeeData[[#This Row],[Age]]&lt;25,"Under 25",IF(EmployeeData[[#This Row],[Age]]&lt;35,"25-34",IF(EmployeeData[[#This Row],[Age]]&lt;45,"35-44",IF(EmployeeData[[#This Row],[Age]]&lt;55,"45-54","55+"))))</f>
        <v>45-54</v>
      </c>
      <c r="AK803" s="4" t="str">
        <f>IF(EmployeeData[[#This Row],[MonthlyIncome]]&lt;3000,"Below 3K",IF(EmployeeData[[#This Row],[MonthlyIncome]]&lt;6000,"3K-6K",IF(EmployeeData[[#This Row],[MonthlyIncome]]&lt;9000,"6K-9K",IF(EmployeeData[[#This Row],[MonthlyIncome]]&lt;12000,"9K-12K","12K+"))))</f>
        <v>3K-6K</v>
      </c>
    </row>
    <row r="804" spans="1:37" x14ac:dyDescent="0.3">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c r="AJ804" s="4" t="str">
        <f>IF(EmployeeData[[#This Row],[Age]]&lt;25,"Under 25",IF(EmployeeData[[#This Row],[Age]]&lt;35,"25-34",IF(EmployeeData[[#This Row],[Age]]&lt;45,"35-44",IF(EmployeeData[[#This Row],[Age]]&lt;55,"45-54","55+"))))</f>
        <v>25-34</v>
      </c>
      <c r="AK804" s="4" t="str">
        <f>IF(EmployeeData[[#This Row],[MonthlyIncome]]&lt;3000,"Below 3K",IF(EmployeeData[[#This Row],[MonthlyIncome]]&lt;6000,"3K-6K",IF(EmployeeData[[#This Row],[MonthlyIncome]]&lt;9000,"6K-9K",IF(EmployeeData[[#This Row],[MonthlyIncome]]&lt;12000,"9K-12K","12K+"))))</f>
        <v>3K-6K</v>
      </c>
    </row>
    <row r="805" spans="1:37" x14ac:dyDescent="0.3">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c r="AJ805" s="4" t="str">
        <f>IF(EmployeeData[[#This Row],[Age]]&lt;25,"Under 25",IF(EmployeeData[[#This Row],[Age]]&lt;35,"25-34",IF(EmployeeData[[#This Row],[Age]]&lt;45,"35-44",IF(EmployeeData[[#This Row],[Age]]&lt;55,"45-54","55+"))))</f>
        <v>25-34</v>
      </c>
      <c r="AK805" s="4" t="str">
        <f>IF(EmployeeData[[#This Row],[MonthlyIncome]]&lt;3000,"Below 3K",IF(EmployeeData[[#This Row],[MonthlyIncome]]&lt;6000,"3K-6K",IF(EmployeeData[[#This Row],[MonthlyIncome]]&lt;9000,"6K-9K",IF(EmployeeData[[#This Row],[MonthlyIncome]]&lt;12000,"9K-12K","12K+"))))</f>
        <v>Below 3K</v>
      </c>
    </row>
    <row r="806" spans="1:37" x14ac:dyDescent="0.3">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c r="AJ806" s="4" t="str">
        <f>IF(EmployeeData[[#This Row],[Age]]&lt;25,"Under 25",IF(EmployeeData[[#This Row],[Age]]&lt;35,"25-34",IF(EmployeeData[[#This Row],[Age]]&lt;45,"35-44",IF(EmployeeData[[#This Row],[Age]]&lt;55,"45-54","55+"))))</f>
        <v>45-54</v>
      </c>
      <c r="AK806" s="4" t="str">
        <f>IF(EmployeeData[[#This Row],[MonthlyIncome]]&lt;3000,"Below 3K",IF(EmployeeData[[#This Row],[MonthlyIncome]]&lt;6000,"3K-6K",IF(EmployeeData[[#This Row],[MonthlyIncome]]&lt;9000,"6K-9K",IF(EmployeeData[[#This Row],[MonthlyIncome]]&lt;12000,"9K-12K","12K+"))))</f>
        <v>12K+</v>
      </c>
    </row>
    <row r="807" spans="1:37" x14ac:dyDescent="0.3">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c r="AJ807" s="4" t="str">
        <f>IF(EmployeeData[[#This Row],[Age]]&lt;25,"Under 25",IF(EmployeeData[[#This Row],[Age]]&lt;35,"25-34",IF(EmployeeData[[#This Row],[Age]]&lt;45,"35-44",IF(EmployeeData[[#This Row],[Age]]&lt;55,"45-54","55+"))))</f>
        <v>45-54</v>
      </c>
      <c r="AK807" s="4" t="str">
        <f>IF(EmployeeData[[#This Row],[MonthlyIncome]]&lt;3000,"Below 3K",IF(EmployeeData[[#This Row],[MonthlyIncome]]&lt;6000,"3K-6K",IF(EmployeeData[[#This Row],[MonthlyIncome]]&lt;9000,"6K-9K",IF(EmployeeData[[#This Row],[MonthlyIncome]]&lt;12000,"9K-12K","12K+"))))</f>
        <v>3K-6K</v>
      </c>
    </row>
    <row r="808" spans="1:37" x14ac:dyDescent="0.3">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c r="AJ808" s="4" t="str">
        <f>IF(EmployeeData[[#This Row],[Age]]&lt;25,"Under 25",IF(EmployeeData[[#This Row],[Age]]&lt;35,"25-34",IF(EmployeeData[[#This Row],[Age]]&lt;45,"35-44",IF(EmployeeData[[#This Row],[Age]]&lt;55,"45-54","55+"))))</f>
        <v>45-54</v>
      </c>
      <c r="AK808" s="4" t="str">
        <f>IF(EmployeeData[[#This Row],[MonthlyIncome]]&lt;3000,"Below 3K",IF(EmployeeData[[#This Row],[MonthlyIncome]]&lt;6000,"3K-6K",IF(EmployeeData[[#This Row],[MonthlyIncome]]&lt;9000,"6K-9K",IF(EmployeeData[[#This Row],[MonthlyIncome]]&lt;12000,"9K-12K","12K+"))))</f>
        <v>9K-12K</v>
      </c>
    </row>
    <row r="809" spans="1:37" x14ac:dyDescent="0.3">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c r="AJ809" s="4" t="str">
        <f>IF(EmployeeData[[#This Row],[Age]]&lt;25,"Under 25",IF(EmployeeData[[#This Row],[Age]]&lt;35,"25-34",IF(EmployeeData[[#This Row],[Age]]&lt;45,"35-44",IF(EmployeeData[[#This Row],[Age]]&lt;55,"45-54","55+"))))</f>
        <v>35-44</v>
      </c>
      <c r="AK809" s="4" t="str">
        <f>IF(EmployeeData[[#This Row],[MonthlyIncome]]&lt;3000,"Below 3K",IF(EmployeeData[[#This Row],[MonthlyIncome]]&lt;6000,"3K-6K",IF(EmployeeData[[#This Row],[MonthlyIncome]]&lt;9000,"6K-9K",IF(EmployeeData[[#This Row],[MonthlyIncome]]&lt;12000,"9K-12K","12K+"))))</f>
        <v>6K-9K</v>
      </c>
    </row>
    <row r="810" spans="1:37" x14ac:dyDescent="0.3">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c r="AJ810" s="4" t="str">
        <f>IF(EmployeeData[[#This Row],[Age]]&lt;25,"Under 25",IF(EmployeeData[[#This Row],[Age]]&lt;35,"25-34",IF(EmployeeData[[#This Row],[Age]]&lt;45,"35-44",IF(EmployeeData[[#This Row],[Age]]&lt;55,"45-54","55+"))))</f>
        <v>25-34</v>
      </c>
      <c r="AK810" s="4" t="str">
        <f>IF(EmployeeData[[#This Row],[MonthlyIncome]]&lt;3000,"Below 3K",IF(EmployeeData[[#This Row],[MonthlyIncome]]&lt;6000,"3K-6K",IF(EmployeeData[[#This Row],[MonthlyIncome]]&lt;9000,"6K-9K",IF(EmployeeData[[#This Row],[MonthlyIncome]]&lt;12000,"9K-12K","12K+"))))</f>
        <v>Below 3K</v>
      </c>
    </row>
    <row r="811" spans="1:37" x14ac:dyDescent="0.3">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c r="AJ811" s="4" t="str">
        <f>IF(EmployeeData[[#This Row],[Age]]&lt;25,"Under 25",IF(EmployeeData[[#This Row],[Age]]&lt;35,"25-34",IF(EmployeeData[[#This Row],[Age]]&lt;45,"35-44",IF(EmployeeData[[#This Row],[Age]]&lt;55,"45-54","55+"))))</f>
        <v>25-34</v>
      </c>
      <c r="AK811" s="4" t="str">
        <f>IF(EmployeeData[[#This Row],[MonthlyIncome]]&lt;3000,"Below 3K",IF(EmployeeData[[#This Row],[MonthlyIncome]]&lt;6000,"3K-6K",IF(EmployeeData[[#This Row],[MonthlyIncome]]&lt;9000,"6K-9K",IF(EmployeeData[[#This Row],[MonthlyIncome]]&lt;12000,"9K-12K","12K+"))))</f>
        <v>6K-9K</v>
      </c>
    </row>
    <row r="812" spans="1:37" x14ac:dyDescent="0.3">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c r="AJ812" s="4" t="str">
        <f>IF(EmployeeData[[#This Row],[Age]]&lt;25,"Under 25",IF(EmployeeData[[#This Row],[Age]]&lt;35,"25-34",IF(EmployeeData[[#This Row],[Age]]&lt;45,"35-44",IF(EmployeeData[[#This Row],[Age]]&lt;55,"45-54","55+"))))</f>
        <v>45-54</v>
      </c>
      <c r="AK812" s="4" t="str">
        <f>IF(EmployeeData[[#This Row],[MonthlyIncome]]&lt;3000,"Below 3K",IF(EmployeeData[[#This Row],[MonthlyIncome]]&lt;6000,"3K-6K",IF(EmployeeData[[#This Row],[MonthlyIncome]]&lt;9000,"6K-9K",IF(EmployeeData[[#This Row],[MonthlyIncome]]&lt;12000,"9K-12K","12K+"))))</f>
        <v>12K+</v>
      </c>
    </row>
    <row r="813" spans="1:37" x14ac:dyDescent="0.3">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c r="AJ813" s="4" t="str">
        <f>IF(EmployeeData[[#This Row],[Age]]&lt;25,"Under 25",IF(EmployeeData[[#This Row],[Age]]&lt;35,"25-34",IF(EmployeeData[[#This Row],[Age]]&lt;45,"35-44",IF(EmployeeData[[#This Row],[Age]]&lt;55,"45-54","55+"))))</f>
        <v>35-44</v>
      </c>
      <c r="AK813" s="4" t="str">
        <f>IF(EmployeeData[[#This Row],[MonthlyIncome]]&lt;3000,"Below 3K",IF(EmployeeData[[#This Row],[MonthlyIncome]]&lt;6000,"3K-6K",IF(EmployeeData[[#This Row],[MonthlyIncome]]&lt;9000,"6K-9K",IF(EmployeeData[[#This Row],[MonthlyIncome]]&lt;12000,"9K-12K","12K+"))))</f>
        <v>6K-9K</v>
      </c>
    </row>
    <row r="814" spans="1:37" x14ac:dyDescent="0.3">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c r="AJ814" s="4" t="str">
        <f>IF(EmployeeData[[#This Row],[Age]]&lt;25,"Under 25",IF(EmployeeData[[#This Row],[Age]]&lt;35,"25-34",IF(EmployeeData[[#This Row],[Age]]&lt;45,"35-44",IF(EmployeeData[[#This Row],[Age]]&lt;55,"45-54","55+"))))</f>
        <v>35-44</v>
      </c>
      <c r="AK814" s="4" t="str">
        <f>IF(EmployeeData[[#This Row],[MonthlyIncome]]&lt;3000,"Below 3K",IF(EmployeeData[[#This Row],[MonthlyIncome]]&lt;6000,"3K-6K",IF(EmployeeData[[#This Row],[MonthlyIncome]]&lt;9000,"6K-9K",IF(EmployeeData[[#This Row],[MonthlyIncome]]&lt;12000,"9K-12K","12K+"))))</f>
        <v>9K-12K</v>
      </c>
    </row>
    <row r="815" spans="1:37" x14ac:dyDescent="0.3">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c r="AJ815" s="4" t="str">
        <f>IF(EmployeeData[[#This Row],[Age]]&lt;25,"Under 25",IF(EmployeeData[[#This Row],[Age]]&lt;35,"25-34",IF(EmployeeData[[#This Row],[Age]]&lt;45,"35-44",IF(EmployeeData[[#This Row],[Age]]&lt;55,"45-54","55+"))))</f>
        <v>35-44</v>
      </c>
      <c r="AK815" s="4" t="str">
        <f>IF(EmployeeData[[#This Row],[MonthlyIncome]]&lt;3000,"Below 3K",IF(EmployeeData[[#This Row],[MonthlyIncome]]&lt;6000,"3K-6K",IF(EmployeeData[[#This Row],[MonthlyIncome]]&lt;9000,"6K-9K",IF(EmployeeData[[#This Row],[MonthlyIncome]]&lt;12000,"9K-12K","12K+"))))</f>
        <v>12K+</v>
      </c>
    </row>
    <row r="816" spans="1:37" x14ac:dyDescent="0.3">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c r="AJ816" s="4" t="str">
        <f>IF(EmployeeData[[#This Row],[Age]]&lt;25,"Under 25",IF(EmployeeData[[#This Row],[Age]]&lt;35,"25-34",IF(EmployeeData[[#This Row],[Age]]&lt;45,"35-44",IF(EmployeeData[[#This Row],[Age]]&lt;55,"45-54","55+"))))</f>
        <v>35-44</v>
      </c>
      <c r="AK816" s="4" t="str">
        <f>IF(EmployeeData[[#This Row],[MonthlyIncome]]&lt;3000,"Below 3K",IF(EmployeeData[[#This Row],[MonthlyIncome]]&lt;6000,"3K-6K",IF(EmployeeData[[#This Row],[MonthlyIncome]]&lt;9000,"6K-9K",IF(EmployeeData[[#This Row],[MonthlyIncome]]&lt;12000,"9K-12K","12K+"))))</f>
        <v>12K+</v>
      </c>
    </row>
    <row r="817" spans="1:37" x14ac:dyDescent="0.3">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c r="AJ817" s="4" t="str">
        <f>IF(EmployeeData[[#This Row],[Age]]&lt;25,"Under 25",IF(EmployeeData[[#This Row],[Age]]&lt;35,"25-34",IF(EmployeeData[[#This Row],[Age]]&lt;45,"35-44",IF(EmployeeData[[#This Row],[Age]]&lt;55,"45-54","55+"))))</f>
        <v>Under 25</v>
      </c>
      <c r="AK817" s="4" t="str">
        <f>IF(EmployeeData[[#This Row],[MonthlyIncome]]&lt;3000,"Below 3K",IF(EmployeeData[[#This Row],[MonthlyIncome]]&lt;6000,"3K-6K",IF(EmployeeData[[#This Row],[MonthlyIncome]]&lt;9000,"6K-9K",IF(EmployeeData[[#This Row],[MonthlyIncome]]&lt;12000,"9K-12K","12K+"))))</f>
        <v>Below 3K</v>
      </c>
    </row>
    <row r="818" spans="1:37" x14ac:dyDescent="0.3">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c r="AJ818" s="4" t="str">
        <f>IF(EmployeeData[[#This Row],[Age]]&lt;25,"Under 25",IF(EmployeeData[[#This Row],[Age]]&lt;35,"25-34",IF(EmployeeData[[#This Row],[Age]]&lt;45,"35-44",IF(EmployeeData[[#This Row],[Age]]&lt;55,"45-54","55+"))))</f>
        <v>35-44</v>
      </c>
      <c r="AK818" s="4" t="str">
        <f>IF(EmployeeData[[#This Row],[MonthlyIncome]]&lt;3000,"Below 3K",IF(EmployeeData[[#This Row],[MonthlyIncome]]&lt;6000,"3K-6K",IF(EmployeeData[[#This Row],[MonthlyIncome]]&lt;9000,"6K-9K",IF(EmployeeData[[#This Row],[MonthlyIncome]]&lt;12000,"9K-12K","12K+"))))</f>
        <v>6K-9K</v>
      </c>
    </row>
    <row r="819" spans="1:37" x14ac:dyDescent="0.3">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c r="AJ819" s="4" t="str">
        <f>IF(EmployeeData[[#This Row],[Age]]&lt;25,"Under 25",IF(EmployeeData[[#This Row],[Age]]&lt;35,"25-34",IF(EmployeeData[[#This Row],[Age]]&lt;45,"35-44",IF(EmployeeData[[#This Row],[Age]]&lt;55,"45-54","55+"))))</f>
        <v>35-44</v>
      </c>
      <c r="AK819" s="4" t="str">
        <f>IF(EmployeeData[[#This Row],[MonthlyIncome]]&lt;3000,"Below 3K",IF(EmployeeData[[#This Row],[MonthlyIncome]]&lt;6000,"3K-6K",IF(EmployeeData[[#This Row],[MonthlyIncome]]&lt;9000,"6K-9K",IF(EmployeeData[[#This Row],[MonthlyIncome]]&lt;12000,"9K-12K","12K+"))))</f>
        <v>6K-9K</v>
      </c>
    </row>
    <row r="820" spans="1:37" x14ac:dyDescent="0.3">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c r="AJ820" s="4" t="str">
        <f>IF(EmployeeData[[#This Row],[Age]]&lt;25,"Under 25",IF(EmployeeData[[#This Row],[Age]]&lt;35,"25-34",IF(EmployeeData[[#This Row],[Age]]&lt;45,"35-44",IF(EmployeeData[[#This Row],[Age]]&lt;55,"45-54","55+"))))</f>
        <v>25-34</v>
      </c>
      <c r="AK820" s="4" t="str">
        <f>IF(EmployeeData[[#This Row],[MonthlyIncome]]&lt;3000,"Below 3K",IF(EmployeeData[[#This Row],[MonthlyIncome]]&lt;6000,"3K-6K",IF(EmployeeData[[#This Row],[MonthlyIncome]]&lt;9000,"6K-9K",IF(EmployeeData[[#This Row],[MonthlyIncome]]&lt;12000,"9K-12K","12K+"))))</f>
        <v>Below 3K</v>
      </c>
    </row>
    <row r="821" spans="1:37" x14ac:dyDescent="0.3">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c r="AJ821" s="4" t="str">
        <f>IF(EmployeeData[[#This Row],[Age]]&lt;25,"Under 25",IF(EmployeeData[[#This Row],[Age]]&lt;35,"25-34",IF(EmployeeData[[#This Row],[Age]]&lt;45,"35-44",IF(EmployeeData[[#This Row],[Age]]&lt;55,"45-54","55+"))))</f>
        <v>25-34</v>
      </c>
      <c r="AK821" s="4" t="str">
        <f>IF(EmployeeData[[#This Row],[MonthlyIncome]]&lt;3000,"Below 3K",IF(EmployeeData[[#This Row],[MonthlyIncome]]&lt;6000,"3K-6K",IF(EmployeeData[[#This Row],[MonthlyIncome]]&lt;9000,"6K-9K",IF(EmployeeData[[#This Row],[MonthlyIncome]]&lt;12000,"9K-12K","12K+"))))</f>
        <v>3K-6K</v>
      </c>
    </row>
    <row r="822" spans="1:37" x14ac:dyDescent="0.3">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c r="AJ822" s="4" t="str">
        <f>IF(EmployeeData[[#This Row],[Age]]&lt;25,"Under 25",IF(EmployeeData[[#This Row],[Age]]&lt;35,"25-34",IF(EmployeeData[[#This Row],[Age]]&lt;45,"35-44",IF(EmployeeData[[#This Row],[Age]]&lt;55,"45-54","55+"))))</f>
        <v>35-44</v>
      </c>
      <c r="AK822" s="4" t="str">
        <f>IF(EmployeeData[[#This Row],[MonthlyIncome]]&lt;3000,"Below 3K",IF(EmployeeData[[#This Row],[MonthlyIncome]]&lt;6000,"3K-6K",IF(EmployeeData[[#This Row],[MonthlyIncome]]&lt;9000,"6K-9K",IF(EmployeeData[[#This Row],[MonthlyIncome]]&lt;12000,"9K-12K","12K+"))))</f>
        <v>3K-6K</v>
      </c>
    </row>
    <row r="823" spans="1:37" x14ac:dyDescent="0.3">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c r="AJ823" s="4" t="str">
        <f>IF(EmployeeData[[#This Row],[Age]]&lt;25,"Under 25",IF(EmployeeData[[#This Row],[Age]]&lt;35,"25-34",IF(EmployeeData[[#This Row],[Age]]&lt;45,"35-44",IF(EmployeeData[[#This Row],[Age]]&lt;55,"45-54","55+"))))</f>
        <v>45-54</v>
      </c>
      <c r="AK823" s="4" t="str">
        <f>IF(EmployeeData[[#This Row],[MonthlyIncome]]&lt;3000,"Below 3K",IF(EmployeeData[[#This Row],[MonthlyIncome]]&lt;6000,"3K-6K",IF(EmployeeData[[#This Row],[MonthlyIncome]]&lt;9000,"6K-9K",IF(EmployeeData[[#This Row],[MonthlyIncome]]&lt;12000,"9K-12K","12K+"))))</f>
        <v>12K+</v>
      </c>
    </row>
    <row r="824" spans="1:37" x14ac:dyDescent="0.3">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c r="AJ824" s="4" t="str">
        <f>IF(EmployeeData[[#This Row],[Age]]&lt;25,"Under 25",IF(EmployeeData[[#This Row],[Age]]&lt;35,"25-34",IF(EmployeeData[[#This Row],[Age]]&lt;45,"35-44",IF(EmployeeData[[#This Row],[Age]]&lt;55,"45-54","55+"))))</f>
        <v>25-34</v>
      </c>
      <c r="AK824" s="4" t="str">
        <f>IF(EmployeeData[[#This Row],[MonthlyIncome]]&lt;3000,"Below 3K",IF(EmployeeData[[#This Row],[MonthlyIncome]]&lt;6000,"3K-6K",IF(EmployeeData[[#This Row],[MonthlyIncome]]&lt;9000,"6K-9K",IF(EmployeeData[[#This Row],[MonthlyIncome]]&lt;12000,"9K-12K","12K+"))))</f>
        <v>3K-6K</v>
      </c>
    </row>
    <row r="825" spans="1:37" x14ac:dyDescent="0.3">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c r="AJ825" s="4" t="str">
        <f>IF(EmployeeData[[#This Row],[Age]]&lt;25,"Under 25",IF(EmployeeData[[#This Row],[Age]]&lt;35,"25-34",IF(EmployeeData[[#This Row],[Age]]&lt;45,"35-44",IF(EmployeeData[[#This Row],[Age]]&lt;55,"45-54","55+"))))</f>
        <v>25-34</v>
      </c>
      <c r="AK825" s="4" t="str">
        <f>IF(EmployeeData[[#This Row],[MonthlyIncome]]&lt;3000,"Below 3K",IF(EmployeeData[[#This Row],[MonthlyIncome]]&lt;6000,"3K-6K",IF(EmployeeData[[#This Row],[MonthlyIncome]]&lt;9000,"6K-9K",IF(EmployeeData[[#This Row],[MonthlyIncome]]&lt;12000,"9K-12K","12K+"))))</f>
        <v>3K-6K</v>
      </c>
    </row>
    <row r="826" spans="1:37" x14ac:dyDescent="0.3">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c r="AJ826" s="4" t="str">
        <f>IF(EmployeeData[[#This Row],[Age]]&lt;25,"Under 25",IF(EmployeeData[[#This Row],[Age]]&lt;35,"25-34",IF(EmployeeData[[#This Row],[Age]]&lt;45,"35-44",IF(EmployeeData[[#This Row],[Age]]&lt;55,"45-54","55+"))))</f>
        <v>35-44</v>
      </c>
      <c r="AK826" s="4" t="str">
        <f>IF(EmployeeData[[#This Row],[MonthlyIncome]]&lt;3000,"Below 3K",IF(EmployeeData[[#This Row],[MonthlyIncome]]&lt;6000,"3K-6K",IF(EmployeeData[[#This Row],[MonthlyIncome]]&lt;9000,"6K-9K",IF(EmployeeData[[#This Row],[MonthlyIncome]]&lt;12000,"9K-12K","12K+"))))</f>
        <v>3K-6K</v>
      </c>
    </row>
    <row r="827" spans="1:37" x14ac:dyDescent="0.3">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c r="AJ827" s="4" t="str">
        <f>IF(EmployeeData[[#This Row],[Age]]&lt;25,"Under 25",IF(EmployeeData[[#This Row],[Age]]&lt;35,"25-34",IF(EmployeeData[[#This Row],[Age]]&lt;45,"35-44",IF(EmployeeData[[#This Row],[Age]]&lt;55,"45-54","55+"))))</f>
        <v>25-34</v>
      </c>
      <c r="AK827" s="4" t="str">
        <f>IF(EmployeeData[[#This Row],[MonthlyIncome]]&lt;3000,"Below 3K",IF(EmployeeData[[#This Row],[MonthlyIncome]]&lt;6000,"3K-6K",IF(EmployeeData[[#This Row],[MonthlyIncome]]&lt;9000,"6K-9K",IF(EmployeeData[[#This Row],[MonthlyIncome]]&lt;12000,"9K-12K","12K+"))))</f>
        <v>3K-6K</v>
      </c>
    </row>
    <row r="828" spans="1:37" x14ac:dyDescent="0.3">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c r="AJ828" s="4" t="str">
        <f>IF(EmployeeData[[#This Row],[Age]]&lt;25,"Under 25",IF(EmployeeData[[#This Row],[Age]]&lt;35,"25-34",IF(EmployeeData[[#This Row],[Age]]&lt;45,"35-44",IF(EmployeeData[[#This Row],[Age]]&lt;55,"45-54","55+"))))</f>
        <v>35-44</v>
      </c>
      <c r="AK828" s="4" t="str">
        <f>IF(EmployeeData[[#This Row],[MonthlyIncome]]&lt;3000,"Below 3K",IF(EmployeeData[[#This Row],[MonthlyIncome]]&lt;6000,"3K-6K",IF(EmployeeData[[#This Row],[MonthlyIncome]]&lt;9000,"6K-9K",IF(EmployeeData[[#This Row],[MonthlyIncome]]&lt;12000,"9K-12K","12K+"))))</f>
        <v>Below 3K</v>
      </c>
    </row>
    <row r="829" spans="1:37" x14ac:dyDescent="0.3">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c r="AJ829" s="4" t="str">
        <f>IF(EmployeeData[[#This Row],[Age]]&lt;25,"Under 25",IF(EmployeeData[[#This Row],[Age]]&lt;35,"25-34",IF(EmployeeData[[#This Row],[Age]]&lt;45,"35-44",IF(EmployeeData[[#This Row],[Age]]&lt;55,"45-54","55+"))))</f>
        <v>25-34</v>
      </c>
      <c r="AK829" s="4" t="str">
        <f>IF(EmployeeData[[#This Row],[MonthlyIncome]]&lt;3000,"Below 3K",IF(EmployeeData[[#This Row],[MonthlyIncome]]&lt;6000,"3K-6K",IF(EmployeeData[[#This Row],[MonthlyIncome]]&lt;9000,"6K-9K",IF(EmployeeData[[#This Row],[MonthlyIncome]]&lt;12000,"9K-12K","12K+"))))</f>
        <v>Below 3K</v>
      </c>
    </row>
    <row r="830" spans="1:37" x14ac:dyDescent="0.3">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c r="AJ830" s="4" t="str">
        <f>IF(EmployeeData[[#This Row],[Age]]&lt;25,"Under 25",IF(EmployeeData[[#This Row],[Age]]&lt;35,"25-34",IF(EmployeeData[[#This Row],[Age]]&lt;45,"35-44",IF(EmployeeData[[#This Row],[Age]]&lt;55,"45-54","55+"))))</f>
        <v>Under 25</v>
      </c>
      <c r="AK830" s="4" t="str">
        <f>IF(EmployeeData[[#This Row],[MonthlyIncome]]&lt;3000,"Below 3K",IF(EmployeeData[[#This Row],[MonthlyIncome]]&lt;6000,"3K-6K",IF(EmployeeData[[#This Row],[MonthlyIncome]]&lt;9000,"6K-9K",IF(EmployeeData[[#This Row],[MonthlyIncome]]&lt;12000,"9K-12K","12K+"))))</f>
        <v>Below 3K</v>
      </c>
    </row>
    <row r="831" spans="1:37" x14ac:dyDescent="0.3">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c r="AJ831" s="4" t="str">
        <f>IF(EmployeeData[[#This Row],[Age]]&lt;25,"Under 25",IF(EmployeeData[[#This Row],[Age]]&lt;35,"25-34",IF(EmployeeData[[#This Row],[Age]]&lt;45,"35-44",IF(EmployeeData[[#This Row],[Age]]&lt;55,"45-54","55+"))))</f>
        <v>25-34</v>
      </c>
      <c r="AK831" s="4" t="str">
        <f>IF(EmployeeData[[#This Row],[MonthlyIncome]]&lt;3000,"Below 3K",IF(EmployeeData[[#This Row],[MonthlyIncome]]&lt;6000,"3K-6K",IF(EmployeeData[[#This Row],[MonthlyIncome]]&lt;9000,"6K-9K",IF(EmployeeData[[#This Row],[MonthlyIncome]]&lt;12000,"9K-12K","12K+"))))</f>
        <v>6K-9K</v>
      </c>
    </row>
    <row r="832" spans="1:37" x14ac:dyDescent="0.3">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c r="AJ832" s="4" t="str">
        <f>IF(EmployeeData[[#This Row],[Age]]&lt;25,"Under 25",IF(EmployeeData[[#This Row],[Age]]&lt;35,"25-34",IF(EmployeeData[[#This Row],[Age]]&lt;45,"35-44",IF(EmployeeData[[#This Row],[Age]]&lt;55,"45-54","55+"))))</f>
        <v>35-44</v>
      </c>
      <c r="AK832" s="4" t="str">
        <f>IF(EmployeeData[[#This Row],[MonthlyIncome]]&lt;3000,"Below 3K",IF(EmployeeData[[#This Row],[MonthlyIncome]]&lt;6000,"3K-6K",IF(EmployeeData[[#This Row],[MonthlyIncome]]&lt;9000,"6K-9K",IF(EmployeeData[[#This Row],[MonthlyIncome]]&lt;12000,"9K-12K","12K+"))))</f>
        <v>3K-6K</v>
      </c>
    </row>
    <row r="833" spans="1:37" x14ac:dyDescent="0.3">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c r="AJ833" s="4" t="str">
        <f>IF(EmployeeData[[#This Row],[Age]]&lt;25,"Under 25",IF(EmployeeData[[#This Row],[Age]]&lt;35,"25-34",IF(EmployeeData[[#This Row],[Age]]&lt;45,"35-44",IF(EmployeeData[[#This Row],[Age]]&lt;55,"45-54","55+"))))</f>
        <v>25-34</v>
      </c>
      <c r="AK833" s="4" t="str">
        <f>IF(EmployeeData[[#This Row],[MonthlyIncome]]&lt;3000,"Below 3K",IF(EmployeeData[[#This Row],[MonthlyIncome]]&lt;6000,"3K-6K",IF(EmployeeData[[#This Row],[MonthlyIncome]]&lt;9000,"6K-9K",IF(EmployeeData[[#This Row],[MonthlyIncome]]&lt;12000,"9K-12K","12K+"))))</f>
        <v>Below 3K</v>
      </c>
    </row>
    <row r="834" spans="1:37" x14ac:dyDescent="0.3">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c r="AJ834" s="4" t="str">
        <f>IF(EmployeeData[[#This Row],[Age]]&lt;25,"Under 25",IF(EmployeeData[[#This Row],[Age]]&lt;35,"25-34",IF(EmployeeData[[#This Row],[Age]]&lt;45,"35-44",IF(EmployeeData[[#This Row],[Age]]&lt;55,"45-54","55+"))))</f>
        <v>35-44</v>
      </c>
      <c r="AK834" s="4" t="str">
        <f>IF(EmployeeData[[#This Row],[MonthlyIncome]]&lt;3000,"Below 3K",IF(EmployeeData[[#This Row],[MonthlyIncome]]&lt;6000,"3K-6K",IF(EmployeeData[[#This Row],[MonthlyIncome]]&lt;9000,"6K-9K",IF(EmployeeData[[#This Row],[MonthlyIncome]]&lt;12000,"9K-12K","12K+"))))</f>
        <v>3K-6K</v>
      </c>
    </row>
    <row r="835" spans="1:37" x14ac:dyDescent="0.3">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c r="AJ835" s="4" t="str">
        <f>IF(EmployeeData[[#This Row],[Age]]&lt;25,"Under 25",IF(EmployeeData[[#This Row],[Age]]&lt;35,"25-34",IF(EmployeeData[[#This Row],[Age]]&lt;45,"35-44",IF(EmployeeData[[#This Row],[Age]]&lt;55,"45-54","55+"))))</f>
        <v>25-34</v>
      </c>
      <c r="AK835" s="4" t="str">
        <f>IF(EmployeeData[[#This Row],[MonthlyIncome]]&lt;3000,"Below 3K",IF(EmployeeData[[#This Row],[MonthlyIncome]]&lt;6000,"3K-6K",IF(EmployeeData[[#This Row],[MonthlyIncome]]&lt;9000,"6K-9K",IF(EmployeeData[[#This Row],[MonthlyIncome]]&lt;12000,"9K-12K","12K+"))))</f>
        <v>Below 3K</v>
      </c>
    </row>
    <row r="836" spans="1:37" x14ac:dyDescent="0.3">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c r="AJ836" s="4" t="str">
        <f>IF(EmployeeData[[#This Row],[Age]]&lt;25,"Under 25",IF(EmployeeData[[#This Row],[Age]]&lt;35,"25-34",IF(EmployeeData[[#This Row],[Age]]&lt;45,"35-44",IF(EmployeeData[[#This Row],[Age]]&lt;55,"45-54","55+"))))</f>
        <v>25-34</v>
      </c>
      <c r="AK836" s="4" t="str">
        <f>IF(EmployeeData[[#This Row],[MonthlyIncome]]&lt;3000,"Below 3K",IF(EmployeeData[[#This Row],[MonthlyIncome]]&lt;6000,"3K-6K",IF(EmployeeData[[#This Row],[MonthlyIncome]]&lt;9000,"6K-9K",IF(EmployeeData[[#This Row],[MonthlyIncome]]&lt;12000,"9K-12K","12K+"))))</f>
        <v>3K-6K</v>
      </c>
    </row>
    <row r="837" spans="1:37" x14ac:dyDescent="0.3">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c r="AJ837" s="4" t="str">
        <f>IF(EmployeeData[[#This Row],[Age]]&lt;25,"Under 25",IF(EmployeeData[[#This Row],[Age]]&lt;35,"25-34",IF(EmployeeData[[#This Row],[Age]]&lt;45,"35-44",IF(EmployeeData[[#This Row],[Age]]&lt;55,"45-54","55+"))))</f>
        <v>35-44</v>
      </c>
      <c r="AK837" s="4" t="str">
        <f>IF(EmployeeData[[#This Row],[MonthlyIncome]]&lt;3000,"Below 3K",IF(EmployeeData[[#This Row],[MonthlyIncome]]&lt;6000,"3K-6K",IF(EmployeeData[[#This Row],[MonthlyIncome]]&lt;9000,"6K-9K",IF(EmployeeData[[#This Row],[MonthlyIncome]]&lt;12000,"9K-12K","12K+"))))</f>
        <v>3K-6K</v>
      </c>
    </row>
    <row r="838" spans="1:37" x14ac:dyDescent="0.3">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c r="AJ838" s="4" t="str">
        <f>IF(EmployeeData[[#This Row],[Age]]&lt;25,"Under 25",IF(EmployeeData[[#This Row],[Age]]&lt;35,"25-34",IF(EmployeeData[[#This Row],[Age]]&lt;45,"35-44",IF(EmployeeData[[#This Row],[Age]]&lt;55,"45-54","55+"))))</f>
        <v>25-34</v>
      </c>
      <c r="AK838" s="4" t="str">
        <f>IF(EmployeeData[[#This Row],[MonthlyIncome]]&lt;3000,"Below 3K",IF(EmployeeData[[#This Row],[MonthlyIncome]]&lt;6000,"3K-6K",IF(EmployeeData[[#This Row],[MonthlyIncome]]&lt;9000,"6K-9K",IF(EmployeeData[[#This Row],[MonthlyIncome]]&lt;12000,"9K-12K","12K+"))))</f>
        <v>6K-9K</v>
      </c>
    </row>
    <row r="839" spans="1:37" x14ac:dyDescent="0.3">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c r="AJ839" s="4" t="str">
        <f>IF(EmployeeData[[#This Row],[Age]]&lt;25,"Under 25",IF(EmployeeData[[#This Row],[Age]]&lt;35,"25-34",IF(EmployeeData[[#This Row],[Age]]&lt;45,"35-44",IF(EmployeeData[[#This Row],[Age]]&lt;55,"45-54","55+"))))</f>
        <v>35-44</v>
      </c>
      <c r="AK839" s="4" t="str">
        <f>IF(EmployeeData[[#This Row],[MonthlyIncome]]&lt;3000,"Below 3K",IF(EmployeeData[[#This Row],[MonthlyIncome]]&lt;6000,"3K-6K",IF(EmployeeData[[#This Row],[MonthlyIncome]]&lt;9000,"6K-9K",IF(EmployeeData[[#This Row],[MonthlyIncome]]&lt;12000,"9K-12K","12K+"))))</f>
        <v>12K+</v>
      </c>
    </row>
    <row r="840" spans="1:37" x14ac:dyDescent="0.3">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c r="AJ840" s="4" t="str">
        <f>IF(EmployeeData[[#This Row],[Age]]&lt;25,"Under 25",IF(EmployeeData[[#This Row],[Age]]&lt;35,"25-34",IF(EmployeeData[[#This Row],[Age]]&lt;45,"35-44",IF(EmployeeData[[#This Row],[Age]]&lt;55,"45-54","55+"))))</f>
        <v>35-44</v>
      </c>
      <c r="AK840" s="4" t="str">
        <f>IF(EmployeeData[[#This Row],[MonthlyIncome]]&lt;3000,"Below 3K",IF(EmployeeData[[#This Row],[MonthlyIncome]]&lt;6000,"3K-6K",IF(EmployeeData[[#This Row],[MonthlyIncome]]&lt;9000,"6K-9K",IF(EmployeeData[[#This Row],[MonthlyIncome]]&lt;12000,"9K-12K","12K+"))))</f>
        <v>12K+</v>
      </c>
    </row>
    <row r="841" spans="1:37" x14ac:dyDescent="0.3">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c r="AJ841" s="4" t="str">
        <f>IF(EmployeeData[[#This Row],[Age]]&lt;25,"Under 25",IF(EmployeeData[[#This Row],[Age]]&lt;35,"25-34",IF(EmployeeData[[#This Row],[Age]]&lt;45,"35-44",IF(EmployeeData[[#This Row],[Age]]&lt;55,"45-54","55+"))))</f>
        <v>35-44</v>
      </c>
      <c r="AK841" s="4" t="str">
        <f>IF(EmployeeData[[#This Row],[MonthlyIncome]]&lt;3000,"Below 3K",IF(EmployeeData[[#This Row],[MonthlyIncome]]&lt;6000,"3K-6K",IF(EmployeeData[[#This Row],[MonthlyIncome]]&lt;9000,"6K-9K",IF(EmployeeData[[#This Row],[MonthlyIncome]]&lt;12000,"9K-12K","12K+"))))</f>
        <v>3K-6K</v>
      </c>
    </row>
    <row r="842" spans="1:37" x14ac:dyDescent="0.3">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c r="AJ842" s="4" t="str">
        <f>IF(EmployeeData[[#This Row],[Age]]&lt;25,"Under 25",IF(EmployeeData[[#This Row],[Age]]&lt;35,"25-34",IF(EmployeeData[[#This Row],[Age]]&lt;45,"35-44",IF(EmployeeData[[#This Row],[Age]]&lt;55,"45-54","55+"))))</f>
        <v>35-44</v>
      </c>
      <c r="AK842" s="4" t="str">
        <f>IF(EmployeeData[[#This Row],[MonthlyIncome]]&lt;3000,"Below 3K",IF(EmployeeData[[#This Row],[MonthlyIncome]]&lt;6000,"3K-6K",IF(EmployeeData[[#This Row],[MonthlyIncome]]&lt;9000,"6K-9K",IF(EmployeeData[[#This Row],[MonthlyIncome]]&lt;12000,"9K-12K","12K+"))))</f>
        <v>Below 3K</v>
      </c>
    </row>
    <row r="843" spans="1:37" x14ac:dyDescent="0.3">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c r="AJ843" s="4" t="str">
        <f>IF(EmployeeData[[#This Row],[Age]]&lt;25,"Under 25",IF(EmployeeData[[#This Row],[Age]]&lt;35,"25-34",IF(EmployeeData[[#This Row],[Age]]&lt;45,"35-44",IF(EmployeeData[[#This Row],[Age]]&lt;55,"45-54","55+"))))</f>
        <v>Under 25</v>
      </c>
      <c r="AK843" s="4" t="str">
        <f>IF(EmployeeData[[#This Row],[MonthlyIncome]]&lt;3000,"Below 3K",IF(EmployeeData[[#This Row],[MonthlyIncome]]&lt;6000,"3K-6K",IF(EmployeeData[[#This Row],[MonthlyIncome]]&lt;9000,"6K-9K",IF(EmployeeData[[#This Row],[MonthlyIncome]]&lt;12000,"9K-12K","12K+"))))</f>
        <v>3K-6K</v>
      </c>
    </row>
    <row r="844" spans="1:37" x14ac:dyDescent="0.3">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c r="AJ844" s="4" t="str">
        <f>IF(EmployeeData[[#This Row],[Age]]&lt;25,"Under 25",IF(EmployeeData[[#This Row],[Age]]&lt;35,"25-34",IF(EmployeeData[[#This Row],[Age]]&lt;45,"35-44",IF(EmployeeData[[#This Row],[Age]]&lt;55,"45-54","55+"))))</f>
        <v>25-34</v>
      </c>
      <c r="AK844" s="4" t="str">
        <f>IF(EmployeeData[[#This Row],[MonthlyIncome]]&lt;3000,"Below 3K",IF(EmployeeData[[#This Row],[MonthlyIncome]]&lt;6000,"3K-6K",IF(EmployeeData[[#This Row],[MonthlyIncome]]&lt;9000,"6K-9K",IF(EmployeeData[[#This Row],[MonthlyIncome]]&lt;12000,"9K-12K","12K+"))))</f>
        <v>Below 3K</v>
      </c>
    </row>
    <row r="845" spans="1:37" x14ac:dyDescent="0.3">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c r="AJ845" s="4" t="str">
        <f>IF(EmployeeData[[#This Row],[Age]]&lt;25,"Under 25",IF(EmployeeData[[#This Row],[Age]]&lt;35,"25-34",IF(EmployeeData[[#This Row],[Age]]&lt;45,"35-44",IF(EmployeeData[[#This Row],[Age]]&lt;55,"45-54","55+"))))</f>
        <v>25-34</v>
      </c>
      <c r="AK845" s="4" t="str">
        <f>IF(EmployeeData[[#This Row],[MonthlyIncome]]&lt;3000,"Below 3K",IF(EmployeeData[[#This Row],[MonthlyIncome]]&lt;6000,"3K-6K",IF(EmployeeData[[#This Row],[MonthlyIncome]]&lt;9000,"6K-9K",IF(EmployeeData[[#This Row],[MonthlyIncome]]&lt;12000,"9K-12K","12K+"))))</f>
        <v>3K-6K</v>
      </c>
    </row>
    <row r="846" spans="1:37" x14ac:dyDescent="0.3">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c r="AJ846" s="4" t="str">
        <f>IF(EmployeeData[[#This Row],[Age]]&lt;25,"Under 25",IF(EmployeeData[[#This Row],[Age]]&lt;35,"25-34",IF(EmployeeData[[#This Row],[Age]]&lt;45,"35-44",IF(EmployeeData[[#This Row],[Age]]&lt;55,"45-54","55+"))))</f>
        <v>25-34</v>
      </c>
      <c r="AK846" s="4" t="str">
        <f>IF(EmployeeData[[#This Row],[MonthlyIncome]]&lt;3000,"Below 3K",IF(EmployeeData[[#This Row],[MonthlyIncome]]&lt;6000,"3K-6K",IF(EmployeeData[[#This Row],[MonthlyIncome]]&lt;9000,"6K-9K",IF(EmployeeData[[#This Row],[MonthlyIncome]]&lt;12000,"9K-12K","12K+"))))</f>
        <v>6K-9K</v>
      </c>
    </row>
    <row r="847" spans="1:37" x14ac:dyDescent="0.3">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c r="AJ847" s="4" t="str">
        <f>IF(EmployeeData[[#This Row],[Age]]&lt;25,"Under 25",IF(EmployeeData[[#This Row],[Age]]&lt;35,"25-34",IF(EmployeeData[[#This Row],[Age]]&lt;45,"35-44",IF(EmployeeData[[#This Row],[Age]]&lt;55,"45-54","55+"))))</f>
        <v>35-44</v>
      </c>
      <c r="AK847" s="4" t="str">
        <f>IF(EmployeeData[[#This Row],[MonthlyIncome]]&lt;3000,"Below 3K",IF(EmployeeData[[#This Row],[MonthlyIncome]]&lt;6000,"3K-6K",IF(EmployeeData[[#This Row],[MonthlyIncome]]&lt;9000,"6K-9K",IF(EmployeeData[[#This Row],[MonthlyIncome]]&lt;12000,"9K-12K","12K+"))))</f>
        <v>3K-6K</v>
      </c>
    </row>
    <row r="848" spans="1:37" x14ac:dyDescent="0.3">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c r="AJ848" s="4" t="str">
        <f>IF(EmployeeData[[#This Row],[Age]]&lt;25,"Under 25",IF(EmployeeData[[#This Row],[Age]]&lt;35,"25-34",IF(EmployeeData[[#This Row],[Age]]&lt;45,"35-44",IF(EmployeeData[[#This Row],[Age]]&lt;55,"45-54","55+"))))</f>
        <v>35-44</v>
      </c>
      <c r="AK848" s="4" t="str">
        <f>IF(EmployeeData[[#This Row],[MonthlyIncome]]&lt;3000,"Below 3K",IF(EmployeeData[[#This Row],[MonthlyIncome]]&lt;6000,"3K-6K",IF(EmployeeData[[#This Row],[MonthlyIncome]]&lt;9000,"6K-9K",IF(EmployeeData[[#This Row],[MonthlyIncome]]&lt;12000,"9K-12K","12K+"))))</f>
        <v>9K-12K</v>
      </c>
    </row>
    <row r="849" spans="1:37" x14ac:dyDescent="0.3">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c r="AJ849" s="4" t="str">
        <f>IF(EmployeeData[[#This Row],[Age]]&lt;25,"Under 25",IF(EmployeeData[[#This Row],[Age]]&lt;35,"25-34",IF(EmployeeData[[#This Row],[Age]]&lt;45,"35-44",IF(EmployeeData[[#This Row],[Age]]&lt;55,"45-54","55+"))))</f>
        <v>25-34</v>
      </c>
      <c r="AK849" s="4" t="str">
        <f>IF(EmployeeData[[#This Row],[MonthlyIncome]]&lt;3000,"Below 3K",IF(EmployeeData[[#This Row],[MonthlyIncome]]&lt;6000,"3K-6K",IF(EmployeeData[[#This Row],[MonthlyIncome]]&lt;9000,"6K-9K",IF(EmployeeData[[#This Row],[MonthlyIncome]]&lt;12000,"9K-12K","12K+"))))</f>
        <v>3K-6K</v>
      </c>
    </row>
    <row r="850" spans="1:37" x14ac:dyDescent="0.3">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c r="AJ850" s="4" t="str">
        <f>IF(EmployeeData[[#This Row],[Age]]&lt;25,"Under 25",IF(EmployeeData[[#This Row],[Age]]&lt;35,"25-34",IF(EmployeeData[[#This Row],[Age]]&lt;45,"35-44",IF(EmployeeData[[#This Row],[Age]]&lt;55,"45-54","55+"))))</f>
        <v>35-44</v>
      </c>
      <c r="AK850" s="4" t="str">
        <f>IF(EmployeeData[[#This Row],[MonthlyIncome]]&lt;3000,"Below 3K",IF(EmployeeData[[#This Row],[MonthlyIncome]]&lt;6000,"3K-6K",IF(EmployeeData[[#This Row],[MonthlyIncome]]&lt;9000,"6K-9K",IF(EmployeeData[[#This Row],[MonthlyIncome]]&lt;12000,"9K-12K","12K+"))))</f>
        <v>Below 3K</v>
      </c>
    </row>
    <row r="851" spans="1:37" x14ac:dyDescent="0.3">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c r="AJ851" s="4" t="str">
        <f>IF(EmployeeData[[#This Row],[Age]]&lt;25,"Under 25",IF(EmployeeData[[#This Row],[Age]]&lt;35,"25-34",IF(EmployeeData[[#This Row],[Age]]&lt;45,"35-44",IF(EmployeeData[[#This Row],[Age]]&lt;55,"45-54","55+"))))</f>
        <v>35-44</v>
      </c>
      <c r="AK851" s="4" t="str">
        <f>IF(EmployeeData[[#This Row],[MonthlyIncome]]&lt;3000,"Below 3K",IF(EmployeeData[[#This Row],[MonthlyIncome]]&lt;6000,"3K-6K",IF(EmployeeData[[#This Row],[MonthlyIncome]]&lt;9000,"6K-9K",IF(EmployeeData[[#This Row],[MonthlyIncome]]&lt;12000,"9K-12K","12K+"))))</f>
        <v>3K-6K</v>
      </c>
    </row>
    <row r="852" spans="1:37" x14ac:dyDescent="0.3">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c r="AJ852" s="4" t="str">
        <f>IF(EmployeeData[[#This Row],[Age]]&lt;25,"Under 25",IF(EmployeeData[[#This Row],[Age]]&lt;35,"25-34",IF(EmployeeData[[#This Row],[Age]]&lt;45,"35-44",IF(EmployeeData[[#This Row],[Age]]&lt;55,"45-54","55+"))))</f>
        <v>25-34</v>
      </c>
      <c r="AK852" s="4" t="str">
        <f>IF(EmployeeData[[#This Row],[MonthlyIncome]]&lt;3000,"Below 3K",IF(EmployeeData[[#This Row],[MonthlyIncome]]&lt;6000,"3K-6K",IF(EmployeeData[[#This Row],[MonthlyIncome]]&lt;9000,"6K-9K",IF(EmployeeData[[#This Row],[MonthlyIncome]]&lt;12000,"9K-12K","12K+"))))</f>
        <v>Below 3K</v>
      </c>
    </row>
    <row r="853" spans="1:37" x14ac:dyDescent="0.3">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c r="AJ853" s="4" t="str">
        <f>IF(EmployeeData[[#This Row],[Age]]&lt;25,"Under 25",IF(EmployeeData[[#This Row],[Age]]&lt;35,"25-34",IF(EmployeeData[[#This Row],[Age]]&lt;45,"35-44",IF(EmployeeData[[#This Row],[Age]]&lt;55,"45-54","55+"))))</f>
        <v>55+</v>
      </c>
      <c r="AK853" s="4" t="str">
        <f>IF(EmployeeData[[#This Row],[MonthlyIncome]]&lt;3000,"Below 3K",IF(EmployeeData[[#This Row],[MonthlyIncome]]&lt;6000,"3K-6K",IF(EmployeeData[[#This Row],[MonthlyIncome]]&lt;9000,"6K-9K",IF(EmployeeData[[#This Row],[MonthlyIncome]]&lt;12000,"9K-12K","12K+"))))</f>
        <v>12K+</v>
      </c>
    </row>
    <row r="854" spans="1:37" x14ac:dyDescent="0.3">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c r="AJ854" s="4" t="str">
        <f>IF(EmployeeData[[#This Row],[Age]]&lt;25,"Under 25",IF(EmployeeData[[#This Row],[Age]]&lt;35,"25-34",IF(EmployeeData[[#This Row],[Age]]&lt;45,"35-44",IF(EmployeeData[[#This Row],[Age]]&lt;55,"45-54","55+"))))</f>
        <v>25-34</v>
      </c>
      <c r="AK854" s="4" t="str">
        <f>IF(EmployeeData[[#This Row],[MonthlyIncome]]&lt;3000,"Below 3K",IF(EmployeeData[[#This Row],[MonthlyIncome]]&lt;6000,"3K-6K",IF(EmployeeData[[#This Row],[MonthlyIncome]]&lt;9000,"6K-9K",IF(EmployeeData[[#This Row],[MonthlyIncome]]&lt;12000,"9K-12K","12K+"))))</f>
        <v>3K-6K</v>
      </c>
    </row>
    <row r="855" spans="1:37" x14ac:dyDescent="0.3">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c r="AJ855" s="4" t="str">
        <f>IF(EmployeeData[[#This Row],[Age]]&lt;25,"Under 25",IF(EmployeeData[[#This Row],[Age]]&lt;35,"25-34",IF(EmployeeData[[#This Row],[Age]]&lt;45,"35-44",IF(EmployeeData[[#This Row],[Age]]&lt;55,"45-54","55+"))))</f>
        <v>Under 25</v>
      </c>
      <c r="AK855" s="4" t="str">
        <f>IF(EmployeeData[[#This Row],[MonthlyIncome]]&lt;3000,"Below 3K",IF(EmployeeData[[#This Row],[MonthlyIncome]]&lt;6000,"3K-6K",IF(EmployeeData[[#This Row],[MonthlyIncome]]&lt;9000,"6K-9K",IF(EmployeeData[[#This Row],[MonthlyIncome]]&lt;12000,"9K-12K","12K+"))))</f>
        <v>Below 3K</v>
      </c>
    </row>
    <row r="856" spans="1:37" x14ac:dyDescent="0.3">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c r="AJ856" s="4" t="str">
        <f>IF(EmployeeData[[#This Row],[Age]]&lt;25,"Under 25",IF(EmployeeData[[#This Row],[Age]]&lt;35,"25-34",IF(EmployeeData[[#This Row],[Age]]&lt;45,"35-44",IF(EmployeeData[[#This Row],[Age]]&lt;55,"45-54","55+"))))</f>
        <v>45-54</v>
      </c>
      <c r="AK856" s="4" t="str">
        <f>IF(EmployeeData[[#This Row],[MonthlyIncome]]&lt;3000,"Below 3K",IF(EmployeeData[[#This Row],[MonthlyIncome]]&lt;6000,"3K-6K",IF(EmployeeData[[#This Row],[MonthlyIncome]]&lt;9000,"6K-9K",IF(EmployeeData[[#This Row],[MonthlyIncome]]&lt;12000,"9K-12K","12K+"))))</f>
        <v>3K-6K</v>
      </c>
    </row>
    <row r="857" spans="1:37" x14ac:dyDescent="0.3">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c r="AJ857" s="4" t="str">
        <f>IF(EmployeeData[[#This Row],[Age]]&lt;25,"Under 25",IF(EmployeeData[[#This Row],[Age]]&lt;35,"25-34",IF(EmployeeData[[#This Row],[Age]]&lt;45,"35-44",IF(EmployeeData[[#This Row],[Age]]&lt;55,"45-54","55+"))))</f>
        <v>35-44</v>
      </c>
      <c r="AK857" s="4" t="str">
        <f>IF(EmployeeData[[#This Row],[MonthlyIncome]]&lt;3000,"Below 3K",IF(EmployeeData[[#This Row],[MonthlyIncome]]&lt;6000,"3K-6K",IF(EmployeeData[[#This Row],[MonthlyIncome]]&lt;9000,"6K-9K",IF(EmployeeData[[#This Row],[MonthlyIncome]]&lt;12000,"9K-12K","12K+"))))</f>
        <v>6K-9K</v>
      </c>
    </row>
    <row r="858" spans="1:37" x14ac:dyDescent="0.3">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c r="AJ858" s="4" t="str">
        <f>IF(EmployeeData[[#This Row],[Age]]&lt;25,"Under 25",IF(EmployeeData[[#This Row],[Age]]&lt;35,"25-34",IF(EmployeeData[[#This Row],[Age]]&lt;45,"35-44",IF(EmployeeData[[#This Row],[Age]]&lt;55,"45-54","55+"))))</f>
        <v>Under 25</v>
      </c>
      <c r="AK858" s="4" t="str">
        <f>IF(EmployeeData[[#This Row],[MonthlyIncome]]&lt;3000,"Below 3K",IF(EmployeeData[[#This Row],[MonthlyIncome]]&lt;6000,"3K-6K",IF(EmployeeData[[#This Row],[MonthlyIncome]]&lt;9000,"6K-9K",IF(EmployeeData[[#This Row],[MonthlyIncome]]&lt;12000,"9K-12K","12K+"))))</f>
        <v>3K-6K</v>
      </c>
    </row>
    <row r="859" spans="1:37" x14ac:dyDescent="0.3">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c r="AJ859" s="4" t="str">
        <f>IF(EmployeeData[[#This Row],[Age]]&lt;25,"Under 25",IF(EmployeeData[[#This Row],[Age]]&lt;35,"25-34",IF(EmployeeData[[#This Row],[Age]]&lt;45,"35-44",IF(EmployeeData[[#This Row],[Age]]&lt;55,"45-54","55+"))))</f>
        <v>35-44</v>
      </c>
      <c r="AK859" s="4" t="str">
        <f>IF(EmployeeData[[#This Row],[MonthlyIncome]]&lt;3000,"Below 3K",IF(EmployeeData[[#This Row],[MonthlyIncome]]&lt;6000,"3K-6K",IF(EmployeeData[[#This Row],[MonthlyIncome]]&lt;9000,"6K-9K",IF(EmployeeData[[#This Row],[MonthlyIncome]]&lt;12000,"9K-12K","12K+"))))</f>
        <v>Below 3K</v>
      </c>
    </row>
    <row r="860" spans="1:37" x14ac:dyDescent="0.3">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c r="AJ860" s="4" t="str">
        <f>IF(EmployeeData[[#This Row],[Age]]&lt;25,"Under 25",IF(EmployeeData[[#This Row],[Age]]&lt;35,"25-34",IF(EmployeeData[[#This Row],[Age]]&lt;45,"35-44",IF(EmployeeData[[#This Row],[Age]]&lt;55,"45-54","55+"))))</f>
        <v>45-54</v>
      </c>
      <c r="AK860" s="4" t="str">
        <f>IF(EmployeeData[[#This Row],[MonthlyIncome]]&lt;3000,"Below 3K",IF(EmployeeData[[#This Row],[MonthlyIncome]]&lt;6000,"3K-6K",IF(EmployeeData[[#This Row],[MonthlyIncome]]&lt;9000,"6K-9K",IF(EmployeeData[[#This Row],[MonthlyIncome]]&lt;12000,"9K-12K","12K+"))))</f>
        <v>12K+</v>
      </c>
    </row>
    <row r="861" spans="1:37" x14ac:dyDescent="0.3">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c r="AJ861" s="4" t="str">
        <f>IF(EmployeeData[[#This Row],[Age]]&lt;25,"Under 25",IF(EmployeeData[[#This Row],[Age]]&lt;35,"25-34",IF(EmployeeData[[#This Row],[Age]]&lt;45,"35-44",IF(EmployeeData[[#This Row],[Age]]&lt;55,"45-54","55+"))))</f>
        <v>25-34</v>
      </c>
      <c r="AK861" s="4" t="str">
        <f>IF(EmployeeData[[#This Row],[MonthlyIncome]]&lt;3000,"Below 3K",IF(EmployeeData[[#This Row],[MonthlyIncome]]&lt;6000,"3K-6K",IF(EmployeeData[[#This Row],[MonthlyIncome]]&lt;9000,"6K-9K",IF(EmployeeData[[#This Row],[MonthlyIncome]]&lt;12000,"9K-12K","12K+"))))</f>
        <v>Below 3K</v>
      </c>
    </row>
    <row r="862" spans="1:37" x14ac:dyDescent="0.3">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c r="AJ862" s="4" t="str">
        <f>IF(EmployeeData[[#This Row],[Age]]&lt;25,"Under 25",IF(EmployeeData[[#This Row],[Age]]&lt;35,"25-34",IF(EmployeeData[[#This Row],[Age]]&lt;45,"35-44",IF(EmployeeData[[#This Row],[Age]]&lt;55,"45-54","55+"))))</f>
        <v>Under 25</v>
      </c>
      <c r="AK862" s="4" t="str">
        <f>IF(EmployeeData[[#This Row],[MonthlyIncome]]&lt;3000,"Below 3K",IF(EmployeeData[[#This Row],[MonthlyIncome]]&lt;6000,"3K-6K",IF(EmployeeData[[#This Row],[MonthlyIncome]]&lt;9000,"6K-9K",IF(EmployeeData[[#This Row],[MonthlyIncome]]&lt;12000,"9K-12K","12K+"))))</f>
        <v>Below 3K</v>
      </c>
    </row>
    <row r="863" spans="1:37" x14ac:dyDescent="0.3">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c r="AJ863" s="4" t="str">
        <f>IF(EmployeeData[[#This Row],[Age]]&lt;25,"Under 25",IF(EmployeeData[[#This Row],[Age]]&lt;35,"25-34",IF(EmployeeData[[#This Row],[Age]]&lt;45,"35-44",IF(EmployeeData[[#This Row],[Age]]&lt;55,"45-54","55+"))))</f>
        <v>45-54</v>
      </c>
      <c r="AK863" s="4" t="str">
        <f>IF(EmployeeData[[#This Row],[MonthlyIncome]]&lt;3000,"Below 3K",IF(EmployeeData[[#This Row],[MonthlyIncome]]&lt;6000,"3K-6K",IF(EmployeeData[[#This Row],[MonthlyIncome]]&lt;9000,"6K-9K",IF(EmployeeData[[#This Row],[MonthlyIncome]]&lt;12000,"9K-12K","12K+"))))</f>
        <v>12K+</v>
      </c>
    </row>
    <row r="864" spans="1:37" x14ac:dyDescent="0.3">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c r="AJ864" s="4" t="str">
        <f>IF(EmployeeData[[#This Row],[Age]]&lt;25,"Under 25",IF(EmployeeData[[#This Row],[Age]]&lt;35,"25-34",IF(EmployeeData[[#This Row],[Age]]&lt;45,"35-44",IF(EmployeeData[[#This Row],[Age]]&lt;55,"45-54","55+"))))</f>
        <v>35-44</v>
      </c>
      <c r="AK864" s="4" t="str">
        <f>IF(EmployeeData[[#This Row],[MonthlyIncome]]&lt;3000,"Below 3K",IF(EmployeeData[[#This Row],[MonthlyIncome]]&lt;6000,"3K-6K",IF(EmployeeData[[#This Row],[MonthlyIncome]]&lt;9000,"6K-9K",IF(EmployeeData[[#This Row],[MonthlyIncome]]&lt;12000,"9K-12K","12K+"))))</f>
        <v>Below 3K</v>
      </c>
    </row>
    <row r="865" spans="1:37" x14ac:dyDescent="0.3">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c r="AJ865" s="4" t="str">
        <f>IF(EmployeeData[[#This Row],[Age]]&lt;25,"Under 25",IF(EmployeeData[[#This Row],[Age]]&lt;35,"25-34",IF(EmployeeData[[#This Row],[Age]]&lt;45,"35-44",IF(EmployeeData[[#This Row],[Age]]&lt;55,"45-54","55+"))))</f>
        <v>25-34</v>
      </c>
      <c r="AK865" s="4" t="str">
        <f>IF(EmployeeData[[#This Row],[MonthlyIncome]]&lt;3000,"Below 3K",IF(EmployeeData[[#This Row],[MonthlyIncome]]&lt;6000,"3K-6K",IF(EmployeeData[[#This Row],[MonthlyIncome]]&lt;9000,"6K-9K",IF(EmployeeData[[#This Row],[MonthlyIncome]]&lt;12000,"9K-12K","12K+"))))</f>
        <v>3K-6K</v>
      </c>
    </row>
    <row r="866" spans="1:37" x14ac:dyDescent="0.3">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c r="AJ866" s="4" t="str">
        <f>IF(EmployeeData[[#This Row],[Age]]&lt;25,"Under 25",IF(EmployeeData[[#This Row],[Age]]&lt;35,"25-34",IF(EmployeeData[[#This Row],[Age]]&lt;45,"35-44",IF(EmployeeData[[#This Row],[Age]]&lt;55,"45-54","55+"))))</f>
        <v>35-44</v>
      </c>
      <c r="AK866" s="4" t="str">
        <f>IF(EmployeeData[[#This Row],[MonthlyIncome]]&lt;3000,"Below 3K",IF(EmployeeData[[#This Row],[MonthlyIncome]]&lt;6000,"3K-6K",IF(EmployeeData[[#This Row],[MonthlyIncome]]&lt;9000,"6K-9K",IF(EmployeeData[[#This Row],[MonthlyIncome]]&lt;12000,"9K-12K","12K+"))))</f>
        <v>Below 3K</v>
      </c>
    </row>
    <row r="867" spans="1:37" x14ac:dyDescent="0.3">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c r="AJ867" s="4" t="str">
        <f>IF(EmployeeData[[#This Row],[Age]]&lt;25,"Under 25",IF(EmployeeData[[#This Row],[Age]]&lt;35,"25-34",IF(EmployeeData[[#This Row],[Age]]&lt;45,"35-44",IF(EmployeeData[[#This Row],[Age]]&lt;55,"45-54","55+"))))</f>
        <v>25-34</v>
      </c>
      <c r="AK867" s="4" t="str">
        <f>IF(EmployeeData[[#This Row],[MonthlyIncome]]&lt;3000,"Below 3K",IF(EmployeeData[[#This Row],[MonthlyIncome]]&lt;6000,"3K-6K",IF(EmployeeData[[#This Row],[MonthlyIncome]]&lt;9000,"6K-9K",IF(EmployeeData[[#This Row],[MonthlyIncome]]&lt;12000,"9K-12K","12K+"))))</f>
        <v>3K-6K</v>
      </c>
    </row>
    <row r="868" spans="1:37" x14ac:dyDescent="0.3">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c r="AJ868" s="4" t="str">
        <f>IF(EmployeeData[[#This Row],[Age]]&lt;25,"Under 25",IF(EmployeeData[[#This Row],[Age]]&lt;35,"25-34",IF(EmployeeData[[#This Row],[Age]]&lt;45,"35-44",IF(EmployeeData[[#This Row],[Age]]&lt;55,"45-54","55+"))))</f>
        <v>35-44</v>
      </c>
      <c r="AK868" s="4" t="str">
        <f>IF(EmployeeData[[#This Row],[MonthlyIncome]]&lt;3000,"Below 3K",IF(EmployeeData[[#This Row],[MonthlyIncome]]&lt;6000,"3K-6K",IF(EmployeeData[[#This Row],[MonthlyIncome]]&lt;9000,"6K-9K",IF(EmployeeData[[#This Row],[MonthlyIncome]]&lt;12000,"9K-12K","12K+"))))</f>
        <v>3K-6K</v>
      </c>
    </row>
    <row r="869" spans="1:37" x14ac:dyDescent="0.3">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c r="AJ869" s="4" t="str">
        <f>IF(EmployeeData[[#This Row],[Age]]&lt;25,"Under 25",IF(EmployeeData[[#This Row],[Age]]&lt;35,"25-34",IF(EmployeeData[[#This Row],[Age]]&lt;45,"35-44",IF(EmployeeData[[#This Row],[Age]]&lt;55,"45-54","55+"))))</f>
        <v>45-54</v>
      </c>
      <c r="AK869" s="4" t="str">
        <f>IF(EmployeeData[[#This Row],[MonthlyIncome]]&lt;3000,"Below 3K",IF(EmployeeData[[#This Row],[MonthlyIncome]]&lt;6000,"3K-6K",IF(EmployeeData[[#This Row],[MonthlyIncome]]&lt;9000,"6K-9K",IF(EmployeeData[[#This Row],[MonthlyIncome]]&lt;12000,"9K-12K","12K+"))))</f>
        <v>12K+</v>
      </c>
    </row>
    <row r="870" spans="1:37" x14ac:dyDescent="0.3">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c r="AJ870" s="4" t="str">
        <f>IF(EmployeeData[[#This Row],[Age]]&lt;25,"Under 25",IF(EmployeeData[[#This Row],[Age]]&lt;35,"25-34",IF(EmployeeData[[#This Row],[Age]]&lt;45,"35-44",IF(EmployeeData[[#This Row],[Age]]&lt;55,"45-54","55+"))))</f>
        <v>25-34</v>
      </c>
      <c r="AK870" s="4" t="str">
        <f>IF(EmployeeData[[#This Row],[MonthlyIncome]]&lt;3000,"Below 3K",IF(EmployeeData[[#This Row],[MonthlyIncome]]&lt;6000,"3K-6K",IF(EmployeeData[[#This Row],[MonthlyIncome]]&lt;9000,"6K-9K",IF(EmployeeData[[#This Row],[MonthlyIncome]]&lt;12000,"9K-12K","12K+"))))</f>
        <v>3K-6K</v>
      </c>
    </row>
    <row r="871" spans="1:37" x14ac:dyDescent="0.3">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c r="AJ871" s="4" t="str">
        <f>IF(EmployeeData[[#This Row],[Age]]&lt;25,"Under 25",IF(EmployeeData[[#This Row],[Age]]&lt;35,"25-34",IF(EmployeeData[[#This Row],[Age]]&lt;45,"35-44",IF(EmployeeData[[#This Row],[Age]]&lt;55,"45-54","55+"))))</f>
        <v>45-54</v>
      </c>
      <c r="AK871" s="4" t="str">
        <f>IF(EmployeeData[[#This Row],[MonthlyIncome]]&lt;3000,"Below 3K",IF(EmployeeData[[#This Row],[MonthlyIncome]]&lt;6000,"3K-6K",IF(EmployeeData[[#This Row],[MonthlyIncome]]&lt;9000,"6K-9K",IF(EmployeeData[[#This Row],[MonthlyIncome]]&lt;12000,"9K-12K","12K+"))))</f>
        <v>12K+</v>
      </c>
    </row>
    <row r="872" spans="1:37" x14ac:dyDescent="0.3">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c r="AJ872" s="4" t="str">
        <f>IF(EmployeeData[[#This Row],[Age]]&lt;25,"Under 25",IF(EmployeeData[[#This Row],[Age]]&lt;35,"25-34",IF(EmployeeData[[#This Row],[Age]]&lt;45,"35-44",IF(EmployeeData[[#This Row],[Age]]&lt;55,"45-54","55+"))))</f>
        <v>35-44</v>
      </c>
      <c r="AK872" s="4" t="str">
        <f>IF(EmployeeData[[#This Row],[MonthlyIncome]]&lt;3000,"Below 3K",IF(EmployeeData[[#This Row],[MonthlyIncome]]&lt;6000,"3K-6K",IF(EmployeeData[[#This Row],[MonthlyIncome]]&lt;9000,"6K-9K",IF(EmployeeData[[#This Row],[MonthlyIncome]]&lt;12000,"9K-12K","12K+"))))</f>
        <v>6K-9K</v>
      </c>
    </row>
    <row r="873" spans="1:37" x14ac:dyDescent="0.3">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c r="AJ873" s="4" t="str">
        <f>IF(EmployeeData[[#This Row],[Age]]&lt;25,"Under 25",IF(EmployeeData[[#This Row],[Age]]&lt;35,"25-34",IF(EmployeeData[[#This Row],[Age]]&lt;45,"35-44",IF(EmployeeData[[#This Row],[Age]]&lt;55,"45-54","55+"))))</f>
        <v>Under 25</v>
      </c>
      <c r="AK873" s="4" t="str">
        <f>IF(EmployeeData[[#This Row],[MonthlyIncome]]&lt;3000,"Below 3K",IF(EmployeeData[[#This Row],[MonthlyIncome]]&lt;6000,"3K-6K",IF(EmployeeData[[#This Row],[MonthlyIncome]]&lt;9000,"6K-9K",IF(EmployeeData[[#This Row],[MonthlyIncome]]&lt;12000,"9K-12K","12K+"))))</f>
        <v>Below 3K</v>
      </c>
    </row>
    <row r="874" spans="1:37" x14ac:dyDescent="0.3">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c r="AJ874" s="4" t="str">
        <f>IF(EmployeeData[[#This Row],[Age]]&lt;25,"Under 25",IF(EmployeeData[[#This Row],[Age]]&lt;35,"25-34",IF(EmployeeData[[#This Row],[Age]]&lt;45,"35-44",IF(EmployeeData[[#This Row],[Age]]&lt;55,"45-54","55+"))))</f>
        <v>25-34</v>
      </c>
      <c r="AK874" s="4" t="str">
        <f>IF(EmployeeData[[#This Row],[MonthlyIncome]]&lt;3000,"Below 3K",IF(EmployeeData[[#This Row],[MonthlyIncome]]&lt;6000,"3K-6K",IF(EmployeeData[[#This Row],[MonthlyIncome]]&lt;9000,"6K-9K",IF(EmployeeData[[#This Row],[MonthlyIncome]]&lt;12000,"9K-12K","12K+"))))</f>
        <v>3K-6K</v>
      </c>
    </row>
    <row r="875" spans="1:37" x14ac:dyDescent="0.3">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c r="AJ875" s="4" t="str">
        <f>IF(EmployeeData[[#This Row],[Age]]&lt;25,"Under 25",IF(EmployeeData[[#This Row],[Age]]&lt;35,"25-34",IF(EmployeeData[[#This Row],[Age]]&lt;45,"35-44",IF(EmployeeData[[#This Row],[Age]]&lt;55,"45-54","55+"))))</f>
        <v>35-44</v>
      </c>
      <c r="AK875" s="4" t="str">
        <f>IF(EmployeeData[[#This Row],[MonthlyIncome]]&lt;3000,"Below 3K",IF(EmployeeData[[#This Row],[MonthlyIncome]]&lt;6000,"3K-6K",IF(EmployeeData[[#This Row],[MonthlyIncome]]&lt;9000,"6K-9K",IF(EmployeeData[[#This Row],[MonthlyIncome]]&lt;12000,"9K-12K","12K+"))))</f>
        <v>Below 3K</v>
      </c>
    </row>
    <row r="876" spans="1:37" x14ac:dyDescent="0.3">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c r="AJ876" s="4" t="str">
        <f>IF(EmployeeData[[#This Row],[Age]]&lt;25,"Under 25",IF(EmployeeData[[#This Row],[Age]]&lt;35,"25-34",IF(EmployeeData[[#This Row],[Age]]&lt;45,"35-44",IF(EmployeeData[[#This Row],[Age]]&lt;55,"45-54","55+"))))</f>
        <v>25-34</v>
      </c>
      <c r="AK876" s="4" t="str">
        <f>IF(EmployeeData[[#This Row],[MonthlyIncome]]&lt;3000,"Below 3K",IF(EmployeeData[[#This Row],[MonthlyIncome]]&lt;6000,"3K-6K",IF(EmployeeData[[#This Row],[MonthlyIncome]]&lt;9000,"6K-9K",IF(EmployeeData[[#This Row],[MonthlyIncome]]&lt;12000,"9K-12K","12K+"))))</f>
        <v>3K-6K</v>
      </c>
    </row>
    <row r="877" spans="1:37" x14ac:dyDescent="0.3">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c r="AJ877" s="4" t="str">
        <f>IF(EmployeeData[[#This Row],[Age]]&lt;25,"Under 25",IF(EmployeeData[[#This Row],[Age]]&lt;35,"25-34",IF(EmployeeData[[#This Row],[Age]]&lt;45,"35-44",IF(EmployeeData[[#This Row],[Age]]&lt;55,"45-54","55+"))))</f>
        <v>35-44</v>
      </c>
      <c r="AK877" s="4" t="str">
        <f>IF(EmployeeData[[#This Row],[MonthlyIncome]]&lt;3000,"Below 3K",IF(EmployeeData[[#This Row],[MonthlyIncome]]&lt;6000,"3K-6K",IF(EmployeeData[[#This Row],[MonthlyIncome]]&lt;9000,"6K-9K",IF(EmployeeData[[#This Row],[MonthlyIncome]]&lt;12000,"9K-12K","12K+"))))</f>
        <v>3K-6K</v>
      </c>
    </row>
    <row r="878" spans="1:37" x14ac:dyDescent="0.3">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c r="AJ878" s="4" t="str">
        <f>IF(EmployeeData[[#This Row],[Age]]&lt;25,"Under 25",IF(EmployeeData[[#This Row],[Age]]&lt;35,"25-34",IF(EmployeeData[[#This Row],[Age]]&lt;45,"35-44",IF(EmployeeData[[#This Row],[Age]]&lt;55,"45-54","55+"))))</f>
        <v>Under 25</v>
      </c>
      <c r="AK878" s="4" t="str">
        <f>IF(EmployeeData[[#This Row],[MonthlyIncome]]&lt;3000,"Below 3K",IF(EmployeeData[[#This Row],[MonthlyIncome]]&lt;6000,"3K-6K",IF(EmployeeData[[#This Row],[MonthlyIncome]]&lt;9000,"6K-9K",IF(EmployeeData[[#This Row],[MonthlyIncome]]&lt;12000,"9K-12K","12K+"))))</f>
        <v>Below 3K</v>
      </c>
    </row>
    <row r="879" spans="1:37" x14ac:dyDescent="0.3">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c r="AJ879" s="4" t="str">
        <f>IF(EmployeeData[[#This Row],[Age]]&lt;25,"Under 25",IF(EmployeeData[[#This Row],[Age]]&lt;35,"25-34",IF(EmployeeData[[#This Row],[Age]]&lt;45,"35-44",IF(EmployeeData[[#This Row],[Age]]&lt;55,"45-54","55+"))))</f>
        <v>45-54</v>
      </c>
      <c r="AK879" s="4" t="str">
        <f>IF(EmployeeData[[#This Row],[MonthlyIncome]]&lt;3000,"Below 3K",IF(EmployeeData[[#This Row],[MonthlyIncome]]&lt;6000,"3K-6K",IF(EmployeeData[[#This Row],[MonthlyIncome]]&lt;9000,"6K-9K",IF(EmployeeData[[#This Row],[MonthlyIncome]]&lt;12000,"9K-12K","12K+"))))</f>
        <v>6K-9K</v>
      </c>
    </row>
    <row r="880" spans="1:37" x14ac:dyDescent="0.3">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c r="AJ880" s="4" t="str">
        <f>IF(EmployeeData[[#This Row],[Age]]&lt;25,"Under 25",IF(EmployeeData[[#This Row],[Age]]&lt;35,"25-34",IF(EmployeeData[[#This Row],[Age]]&lt;45,"35-44",IF(EmployeeData[[#This Row],[Age]]&lt;55,"45-54","55+"))))</f>
        <v>35-44</v>
      </c>
      <c r="AK880" s="4" t="str">
        <f>IF(EmployeeData[[#This Row],[MonthlyIncome]]&lt;3000,"Below 3K",IF(EmployeeData[[#This Row],[MonthlyIncome]]&lt;6000,"3K-6K",IF(EmployeeData[[#This Row],[MonthlyIncome]]&lt;9000,"6K-9K",IF(EmployeeData[[#This Row],[MonthlyIncome]]&lt;12000,"9K-12K","12K+"))))</f>
        <v>6K-9K</v>
      </c>
    </row>
    <row r="881" spans="1:37" x14ac:dyDescent="0.3">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c r="AJ881" s="4" t="str">
        <f>IF(EmployeeData[[#This Row],[Age]]&lt;25,"Under 25",IF(EmployeeData[[#This Row],[Age]]&lt;35,"25-34",IF(EmployeeData[[#This Row],[Age]]&lt;45,"35-44",IF(EmployeeData[[#This Row],[Age]]&lt;55,"45-54","55+"))))</f>
        <v>55+</v>
      </c>
      <c r="AK881" s="4" t="str">
        <f>IF(EmployeeData[[#This Row],[MonthlyIncome]]&lt;3000,"Below 3K",IF(EmployeeData[[#This Row],[MonthlyIncome]]&lt;6000,"3K-6K",IF(EmployeeData[[#This Row],[MonthlyIncome]]&lt;9000,"6K-9K",IF(EmployeeData[[#This Row],[MonthlyIncome]]&lt;12000,"9K-12K","12K+"))))</f>
        <v>3K-6K</v>
      </c>
    </row>
    <row r="882" spans="1:37" x14ac:dyDescent="0.3">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c r="AJ882" s="4" t="str">
        <f>IF(EmployeeData[[#This Row],[Age]]&lt;25,"Under 25",IF(EmployeeData[[#This Row],[Age]]&lt;35,"25-34",IF(EmployeeData[[#This Row],[Age]]&lt;45,"35-44",IF(EmployeeData[[#This Row],[Age]]&lt;55,"45-54","55+"))))</f>
        <v>25-34</v>
      </c>
      <c r="AK882" s="4" t="str">
        <f>IF(EmployeeData[[#This Row],[MonthlyIncome]]&lt;3000,"Below 3K",IF(EmployeeData[[#This Row],[MonthlyIncome]]&lt;6000,"3K-6K",IF(EmployeeData[[#This Row],[MonthlyIncome]]&lt;9000,"6K-9K",IF(EmployeeData[[#This Row],[MonthlyIncome]]&lt;12000,"9K-12K","12K+"))))</f>
        <v>Below 3K</v>
      </c>
    </row>
    <row r="883" spans="1:37" x14ac:dyDescent="0.3">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c r="AJ883" s="4" t="str">
        <f>IF(EmployeeData[[#This Row],[Age]]&lt;25,"Under 25",IF(EmployeeData[[#This Row],[Age]]&lt;35,"25-34",IF(EmployeeData[[#This Row],[Age]]&lt;45,"35-44",IF(EmployeeData[[#This Row],[Age]]&lt;55,"45-54","55+"))))</f>
        <v>25-34</v>
      </c>
      <c r="AK883" s="4" t="str">
        <f>IF(EmployeeData[[#This Row],[MonthlyIncome]]&lt;3000,"Below 3K",IF(EmployeeData[[#This Row],[MonthlyIncome]]&lt;6000,"3K-6K",IF(EmployeeData[[#This Row],[MonthlyIncome]]&lt;9000,"6K-9K",IF(EmployeeData[[#This Row],[MonthlyIncome]]&lt;12000,"9K-12K","12K+"))))</f>
        <v>3K-6K</v>
      </c>
    </row>
    <row r="884" spans="1:37" x14ac:dyDescent="0.3">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c r="AJ884" s="4" t="str">
        <f>IF(EmployeeData[[#This Row],[Age]]&lt;25,"Under 25",IF(EmployeeData[[#This Row],[Age]]&lt;35,"25-34",IF(EmployeeData[[#This Row],[Age]]&lt;45,"35-44",IF(EmployeeData[[#This Row],[Age]]&lt;55,"45-54","55+"))))</f>
        <v>35-44</v>
      </c>
      <c r="AK884" s="4" t="str">
        <f>IF(EmployeeData[[#This Row],[MonthlyIncome]]&lt;3000,"Below 3K",IF(EmployeeData[[#This Row],[MonthlyIncome]]&lt;6000,"3K-6K",IF(EmployeeData[[#This Row],[MonthlyIncome]]&lt;9000,"6K-9K",IF(EmployeeData[[#This Row],[MonthlyIncome]]&lt;12000,"9K-12K","12K+"))))</f>
        <v>9K-12K</v>
      </c>
    </row>
    <row r="885" spans="1:37" x14ac:dyDescent="0.3">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c r="AJ885" s="4" t="str">
        <f>IF(EmployeeData[[#This Row],[Age]]&lt;25,"Under 25",IF(EmployeeData[[#This Row],[Age]]&lt;35,"25-34",IF(EmployeeData[[#This Row],[Age]]&lt;45,"35-44",IF(EmployeeData[[#This Row],[Age]]&lt;55,"45-54","55+"))))</f>
        <v>25-34</v>
      </c>
      <c r="AK885" s="4" t="str">
        <f>IF(EmployeeData[[#This Row],[MonthlyIncome]]&lt;3000,"Below 3K",IF(EmployeeData[[#This Row],[MonthlyIncome]]&lt;6000,"3K-6K",IF(EmployeeData[[#This Row],[MonthlyIncome]]&lt;9000,"6K-9K",IF(EmployeeData[[#This Row],[MonthlyIncome]]&lt;12000,"9K-12K","12K+"))))</f>
        <v>Below 3K</v>
      </c>
    </row>
    <row r="886" spans="1:37" x14ac:dyDescent="0.3">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c r="AJ886" s="4" t="str">
        <f>IF(EmployeeData[[#This Row],[Age]]&lt;25,"Under 25",IF(EmployeeData[[#This Row],[Age]]&lt;35,"25-34",IF(EmployeeData[[#This Row],[Age]]&lt;45,"35-44",IF(EmployeeData[[#This Row],[Age]]&lt;55,"45-54","55+"))))</f>
        <v>35-44</v>
      </c>
      <c r="AK886" s="4" t="str">
        <f>IF(EmployeeData[[#This Row],[MonthlyIncome]]&lt;3000,"Below 3K",IF(EmployeeData[[#This Row],[MonthlyIncome]]&lt;6000,"3K-6K",IF(EmployeeData[[#This Row],[MonthlyIncome]]&lt;9000,"6K-9K",IF(EmployeeData[[#This Row],[MonthlyIncome]]&lt;12000,"9K-12K","12K+"))))</f>
        <v>6K-9K</v>
      </c>
    </row>
    <row r="887" spans="1:37" x14ac:dyDescent="0.3">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c r="AJ887" s="4" t="str">
        <f>IF(EmployeeData[[#This Row],[Age]]&lt;25,"Under 25",IF(EmployeeData[[#This Row],[Age]]&lt;35,"25-34",IF(EmployeeData[[#This Row],[Age]]&lt;45,"35-44",IF(EmployeeData[[#This Row],[Age]]&lt;55,"45-54","55+"))))</f>
        <v>25-34</v>
      </c>
      <c r="AK887" s="4" t="str">
        <f>IF(EmployeeData[[#This Row],[MonthlyIncome]]&lt;3000,"Below 3K",IF(EmployeeData[[#This Row],[MonthlyIncome]]&lt;6000,"3K-6K",IF(EmployeeData[[#This Row],[MonthlyIncome]]&lt;9000,"6K-9K",IF(EmployeeData[[#This Row],[MonthlyIncome]]&lt;12000,"9K-12K","12K+"))))</f>
        <v>3K-6K</v>
      </c>
    </row>
    <row r="888" spans="1:37" x14ac:dyDescent="0.3">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c r="AJ888" s="4" t="str">
        <f>IF(EmployeeData[[#This Row],[Age]]&lt;25,"Under 25",IF(EmployeeData[[#This Row],[Age]]&lt;35,"25-34",IF(EmployeeData[[#This Row],[Age]]&lt;45,"35-44",IF(EmployeeData[[#This Row],[Age]]&lt;55,"45-54","55+"))))</f>
        <v>25-34</v>
      </c>
      <c r="AK888" s="4" t="str">
        <f>IF(EmployeeData[[#This Row],[MonthlyIncome]]&lt;3000,"Below 3K",IF(EmployeeData[[#This Row],[MonthlyIncome]]&lt;6000,"3K-6K",IF(EmployeeData[[#This Row],[MonthlyIncome]]&lt;9000,"6K-9K",IF(EmployeeData[[#This Row],[MonthlyIncome]]&lt;12000,"9K-12K","12K+"))))</f>
        <v>3K-6K</v>
      </c>
    </row>
    <row r="889" spans="1:37" x14ac:dyDescent="0.3">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c r="AJ889" s="4" t="str">
        <f>IF(EmployeeData[[#This Row],[Age]]&lt;25,"Under 25",IF(EmployeeData[[#This Row],[Age]]&lt;35,"25-34",IF(EmployeeData[[#This Row],[Age]]&lt;45,"35-44",IF(EmployeeData[[#This Row],[Age]]&lt;55,"45-54","55+"))))</f>
        <v>35-44</v>
      </c>
      <c r="AK889" s="4" t="str">
        <f>IF(EmployeeData[[#This Row],[MonthlyIncome]]&lt;3000,"Below 3K",IF(EmployeeData[[#This Row],[MonthlyIncome]]&lt;6000,"3K-6K",IF(EmployeeData[[#This Row],[MonthlyIncome]]&lt;9000,"6K-9K",IF(EmployeeData[[#This Row],[MonthlyIncome]]&lt;12000,"9K-12K","12K+"))))</f>
        <v>12K+</v>
      </c>
    </row>
    <row r="890" spans="1:37" x14ac:dyDescent="0.3">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c r="AJ890" s="4" t="str">
        <f>IF(EmployeeData[[#This Row],[Age]]&lt;25,"Under 25",IF(EmployeeData[[#This Row],[Age]]&lt;35,"25-34",IF(EmployeeData[[#This Row],[Age]]&lt;45,"35-44",IF(EmployeeData[[#This Row],[Age]]&lt;55,"45-54","55+"))))</f>
        <v>35-44</v>
      </c>
      <c r="AK890" s="4" t="str">
        <f>IF(EmployeeData[[#This Row],[MonthlyIncome]]&lt;3000,"Below 3K",IF(EmployeeData[[#This Row],[MonthlyIncome]]&lt;6000,"3K-6K",IF(EmployeeData[[#This Row],[MonthlyIncome]]&lt;9000,"6K-9K",IF(EmployeeData[[#This Row],[MonthlyIncome]]&lt;12000,"9K-12K","12K+"))))</f>
        <v>9K-12K</v>
      </c>
    </row>
    <row r="891" spans="1:37" x14ac:dyDescent="0.3">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c r="AJ891" s="4" t="str">
        <f>IF(EmployeeData[[#This Row],[Age]]&lt;25,"Under 25",IF(EmployeeData[[#This Row],[Age]]&lt;35,"25-34",IF(EmployeeData[[#This Row],[Age]]&lt;45,"35-44",IF(EmployeeData[[#This Row],[Age]]&lt;55,"45-54","55+"))))</f>
        <v>25-34</v>
      </c>
      <c r="AK891" s="4" t="str">
        <f>IF(EmployeeData[[#This Row],[MonthlyIncome]]&lt;3000,"Below 3K",IF(EmployeeData[[#This Row],[MonthlyIncome]]&lt;6000,"3K-6K",IF(EmployeeData[[#This Row],[MonthlyIncome]]&lt;9000,"6K-9K",IF(EmployeeData[[#This Row],[MonthlyIncome]]&lt;12000,"9K-12K","12K+"))))</f>
        <v>Below 3K</v>
      </c>
    </row>
    <row r="892" spans="1:37" x14ac:dyDescent="0.3">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c r="AJ892" s="4" t="str">
        <f>IF(EmployeeData[[#This Row],[Age]]&lt;25,"Under 25",IF(EmployeeData[[#This Row],[Age]]&lt;35,"25-34",IF(EmployeeData[[#This Row],[Age]]&lt;45,"35-44",IF(EmployeeData[[#This Row],[Age]]&lt;55,"45-54","55+"))))</f>
        <v>45-54</v>
      </c>
      <c r="AK892" s="4" t="str">
        <f>IF(EmployeeData[[#This Row],[MonthlyIncome]]&lt;3000,"Below 3K",IF(EmployeeData[[#This Row],[MonthlyIncome]]&lt;6000,"3K-6K",IF(EmployeeData[[#This Row],[MonthlyIncome]]&lt;9000,"6K-9K",IF(EmployeeData[[#This Row],[MonthlyIncome]]&lt;12000,"9K-12K","12K+"))))</f>
        <v>9K-12K</v>
      </c>
    </row>
    <row r="893" spans="1:37" x14ac:dyDescent="0.3">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c r="AJ893" s="4" t="str">
        <f>IF(EmployeeData[[#This Row],[Age]]&lt;25,"Under 25",IF(EmployeeData[[#This Row],[Age]]&lt;35,"25-34",IF(EmployeeData[[#This Row],[Age]]&lt;45,"35-44",IF(EmployeeData[[#This Row],[Age]]&lt;55,"45-54","55+"))))</f>
        <v>35-44</v>
      </c>
      <c r="AK893" s="4" t="str">
        <f>IF(EmployeeData[[#This Row],[MonthlyIncome]]&lt;3000,"Below 3K",IF(EmployeeData[[#This Row],[MonthlyIncome]]&lt;6000,"3K-6K",IF(EmployeeData[[#This Row],[MonthlyIncome]]&lt;9000,"6K-9K",IF(EmployeeData[[#This Row],[MonthlyIncome]]&lt;12000,"9K-12K","12K+"))))</f>
        <v>Below 3K</v>
      </c>
    </row>
    <row r="894" spans="1:37" x14ac:dyDescent="0.3">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c r="AJ894" s="4" t="str">
        <f>IF(EmployeeData[[#This Row],[Age]]&lt;25,"Under 25",IF(EmployeeData[[#This Row],[Age]]&lt;35,"25-34",IF(EmployeeData[[#This Row],[Age]]&lt;45,"35-44",IF(EmployeeData[[#This Row],[Age]]&lt;55,"45-54","55+"))))</f>
        <v>Under 25</v>
      </c>
      <c r="AK894" s="4" t="str">
        <f>IF(EmployeeData[[#This Row],[MonthlyIncome]]&lt;3000,"Below 3K",IF(EmployeeData[[#This Row],[MonthlyIncome]]&lt;6000,"3K-6K",IF(EmployeeData[[#This Row],[MonthlyIncome]]&lt;9000,"6K-9K",IF(EmployeeData[[#This Row],[MonthlyIncome]]&lt;12000,"9K-12K","12K+"))))</f>
        <v>Below 3K</v>
      </c>
    </row>
    <row r="895" spans="1:37" x14ac:dyDescent="0.3">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c r="AJ895" s="4" t="str">
        <f>IF(EmployeeData[[#This Row],[Age]]&lt;25,"Under 25",IF(EmployeeData[[#This Row],[Age]]&lt;35,"25-34",IF(EmployeeData[[#This Row],[Age]]&lt;45,"35-44",IF(EmployeeData[[#This Row],[Age]]&lt;55,"45-54","55+"))))</f>
        <v>25-34</v>
      </c>
      <c r="AK895" s="4" t="str">
        <f>IF(EmployeeData[[#This Row],[MonthlyIncome]]&lt;3000,"Below 3K",IF(EmployeeData[[#This Row],[MonthlyIncome]]&lt;6000,"3K-6K",IF(EmployeeData[[#This Row],[MonthlyIncome]]&lt;9000,"6K-9K",IF(EmployeeData[[#This Row],[MonthlyIncome]]&lt;12000,"9K-12K","12K+"))))</f>
        <v>3K-6K</v>
      </c>
    </row>
    <row r="896" spans="1:37" x14ac:dyDescent="0.3">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c r="AJ896" s="4" t="str">
        <f>IF(EmployeeData[[#This Row],[Age]]&lt;25,"Under 25",IF(EmployeeData[[#This Row],[Age]]&lt;35,"25-34",IF(EmployeeData[[#This Row],[Age]]&lt;45,"35-44",IF(EmployeeData[[#This Row],[Age]]&lt;55,"45-54","55+"))))</f>
        <v>45-54</v>
      </c>
      <c r="AK896" s="4" t="str">
        <f>IF(EmployeeData[[#This Row],[MonthlyIncome]]&lt;3000,"Below 3K",IF(EmployeeData[[#This Row],[MonthlyIncome]]&lt;6000,"3K-6K",IF(EmployeeData[[#This Row],[MonthlyIncome]]&lt;9000,"6K-9K",IF(EmployeeData[[#This Row],[MonthlyIncome]]&lt;12000,"9K-12K","12K+"))))</f>
        <v>12K+</v>
      </c>
    </row>
    <row r="897" spans="1:37" x14ac:dyDescent="0.3">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c r="AJ897" s="4" t="str">
        <f>IF(EmployeeData[[#This Row],[Age]]&lt;25,"Under 25",IF(EmployeeData[[#This Row],[Age]]&lt;35,"25-34",IF(EmployeeData[[#This Row],[Age]]&lt;45,"35-44",IF(EmployeeData[[#This Row],[Age]]&lt;55,"45-54","55+"))))</f>
        <v>25-34</v>
      </c>
      <c r="AK897" s="4" t="str">
        <f>IF(EmployeeData[[#This Row],[MonthlyIncome]]&lt;3000,"Below 3K",IF(EmployeeData[[#This Row],[MonthlyIncome]]&lt;6000,"3K-6K",IF(EmployeeData[[#This Row],[MonthlyIncome]]&lt;9000,"6K-9K",IF(EmployeeData[[#This Row],[MonthlyIncome]]&lt;12000,"9K-12K","12K+"))))</f>
        <v>6K-9K</v>
      </c>
    </row>
    <row r="898" spans="1:37" x14ac:dyDescent="0.3">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c r="AJ898" s="4" t="str">
        <f>IF(EmployeeData[[#This Row],[Age]]&lt;25,"Under 25",IF(EmployeeData[[#This Row],[Age]]&lt;35,"25-34",IF(EmployeeData[[#This Row],[Age]]&lt;45,"35-44",IF(EmployeeData[[#This Row],[Age]]&lt;55,"45-54","55+"))))</f>
        <v>25-34</v>
      </c>
      <c r="AK898" s="4" t="str">
        <f>IF(EmployeeData[[#This Row],[MonthlyIncome]]&lt;3000,"Below 3K",IF(EmployeeData[[#This Row],[MonthlyIncome]]&lt;6000,"3K-6K",IF(EmployeeData[[#This Row],[MonthlyIncome]]&lt;9000,"6K-9K",IF(EmployeeData[[#This Row],[MonthlyIncome]]&lt;12000,"9K-12K","12K+"))))</f>
        <v>6K-9K</v>
      </c>
    </row>
    <row r="899" spans="1:37" x14ac:dyDescent="0.3">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c r="AJ899" s="4" t="str">
        <f>IF(EmployeeData[[#This Row],[Age]]&lt;25,"Under 25",IF(EmployeeData[[#This Row],[Age]]&lt;35,"25-34",IF(EmployeeData[[#This Row],[Age]]&lt;45,"35-44",IF(EmployeeData[[#This Row],[Age]]&lt;55,"45-54","55+"))))</f>
        <v>55+</v>
      </c>
      <c r="AK899" s="4" t="str">
        <f>IF(EmployeeData[[#This Row],[MonthlyIncome]]&lt;3000,"Below 3K",IF(EmployeeData[[#This Row],[MonthlyIncome]]&lt;6000,"3K-6K",IF(EmployeeData[[#This Row],[MonthlyIncome]]&lt;9000,"6K-9K",IF(EmployeeData[[#This Row],[MonthlyIncome]]&lt;12000,"9K-12K","12K+"))))</f>
        <v>3K-6K</v>
      </c>
    </row>
    <row r="900" spans="1:37" x14ac:dyDescent="0.3">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c r="AJ900" s="4" t="str">
        <f>IF(EmployeeData[[#This Row],[Age]]&lt;25,"Under 25",IF(EmployeeData[[#This Row],[Age]]&lt;35,"25-34",IF(EmployeeData[[#This Row],[Age]]&lt;45,"35-44",IF(EmployeeData[[#This Row],[Age]]&lt;55,"45-54","55+"))))</f>
        <v>35-44</v>
      </c>
      <c r="AK900" s="4" t="str">
        <f>IF(EmployeeData[[#This Row],[MonthlyIncome]]&lt;3000,"Below 3K",IF(EmployeeData[[#This Row],[MonthlyIncome]]&lt;6000,"3K-6K",IF(EmployeeData[[#This Row],[MonthlyIncome]]&lt;9000,"6K-9K",IF(EmployeeData[[#This Row],[MonthlyIncome]]&lt;12000,"9K-12K","12K+"))))</f>
        <v>12K+</v>
      </c>
    </row>
    <row r="901" spans="1:37" x14ac:dyDescent="0.3">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c r="AJ901" s="4" t="str">
        <f>IF(EmployeeData[[#This Row],[Age]]&lt;25,"Under 25",IF(EmployeeData[[#This Row],[Age]]&lt;35,"25-34",IF(EmployeeData[[#This Row],[Age]]&lt;45,"35-44",IF(EmployeeData[[#This Row],[Age]]&lt;55,"45-54","55+"))))</f>
        <v>45-54</v>
      </c>
      <c r="AK901" s="4" t="str">
        <f>IF(EmployeeData[[#This Row],[MonthlyIncome]]&lt;3000,"Below 3K",IF(EmployeeData[[#This Row],[MonthlyIncome]]&lt;6000,"3K-6K",IF(EmployeeData[[#This Row],[MonthlyIncome]]&lt;9000,"6K-9K",IF(EmployeeData[[#This Row],[MonthlyIncome]]&lt;12000,"9K-12K","12K+"))))</f>
        <v>12K+</v>
      </c>
    </row>
    <row r="902" spans="1:37" x14ac:dyDescent="0.3">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c r="AJ902" s="4" t="str">
        <f>IF(EmployeeData[[#This Row],[Age]]&lt;25,"Under 25",IF(EmployeeData[[#This Row],[Age]]&lt;35,"25-34",IF(EmployeeData[[#This Row],[Age]]&lt;45,"35-44",IF(EmployeeData[[#This Row],[Age]]&lt;55,"45-54","55+"))))</f>
        <v>35-44</v>
      </c>
      <c r="AK902" s="4" t="str">
        <f>IF(EmployeeData[[#This Row],[MonthlyIncome]]&lt;3000,"Below 3K",IF(EmployeeData[[#This Row],[MonthlyIncome]]&lt;6000,"3K-6K",IF(EmployeeData[[#This Row],[MonthlyIncome]]&lt;9000,"6K-9K",IF(EmployeeData[[#This Row],[MonthlyIncome]]&lt;12000,"9K-12K","12K+"))))</f>
        <v>3K-6K</v>
      </c>
    </row>
    <row r="903" spans="1:37" x14ac:dyDescent="0.3">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c r="AJ903" s="4" t="str">
        <f>IF(EmployeeData[[#This Row],[Age]]&lt;25,"Under 25",IF(EmployeeData[[#This Row],[Age]]&lt;35,"25-34",IF(EmployeeData[[#This Row],[Age]]&lt;45,"35-44",IF(EmployeeData[[#This Row],[Age]]&lt;55,"45-54","55+"))))</f>
        <v>45-54</v>
      </c>
      <c r="AK903" s="4" t="str">
        <f>IF(EmployeeData[[#This Row],[MonthlyIncome]]&lt;3000,"Below 3K",IF(EmployeeData[[#This Row],[MonthlyIncome]]&lt;6000,"3K-6K",IF(EmployeeData[[#This Row],[MonthlyIncome]]&lt;9000,"6K-9K",IF(EmployeeData[[#This Row],[MonthlyIncome]]&lt;12000,"9K-12K","12K+"))))</f>
        <v>Below 3K</v>
      </c>
    </row>
    <row r="904" spans="1:37" x14ac:dyDescent="0.3">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c r="AJ904" s="4" t="str">
        <f>IF(EmployeeData[[#This Row],[Age]]&lt;25,"Under 25",IF(EmployeeData[[#This Row],[Age]]&lt;35,"25-34",IF(EmployeeData[[#This Row],[Age]]&lt;45,"35-44",IF(EmployeeData[[#This Row],[Age]]&lt;55,"45-54","55+"))))</f>
        <v>25-34</v>
      </c>
      <c r="AK904" s="4" t="str">
        <f>IF(EmployeeData[[#This Row],[MonthlyIncome]]&lt;3000,"Below 3K",IF(EmployeeData[[#This Row],[MonthlyIncome]]&lt;6000,"3K-6K",IF(EmployeeData[[#This Row],[MonthlyIncome]]&lt;9000,"6K-9K",IF(EmployeeData[[#This Row],[MonthlyIncome]]&lt;12000,"9K-12K","12K+"))))</f>
        <v>Below 3K</v>
      </c>
    </row>
    <row r="905" spans="1:37" x14ac:dyDescent="0.3">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c r="AJ905" s="4" t="str">
        <f>IF(EmployeeData[[#This Row],[Age]]&lt;25,"Under 25",IF(EmployeeData[[#This Row],[Age]]&lt;35,"25-34",IF(EmployeeData[[#This Row],[Age]]&lt;45,"35-44",IF(EmployeeData[[#This Row],[Age]]&lt;55,"45-54","55+"))))</f>
        <v>25-34</v>
      </c>
      <c r="AK905" s="4" t="str">
        <f>IF(EmployeeData[[#This Row],[MonthlyIncome]]&lt;3000,"Below 3K",IF(EmployeeData[[#This Row],[MonthlyIncome]]&lt;6000,"3K-6K",IF(EmployeeData[[#This Row],[MonthlyIncome]]&lt;9000,"6K-9K",IF(EmployeeData[[#This Row],[MonthlyIncome]]&lt;12000,"9K-12K","12K+"))))</f>
        <v>6K-9K</v>
      </c>
    </row>
    <row r="906" spans="1:37" x14ac:dyDescent="0.3">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c r="AJ906" s="4" t="str">
        <f>IF(EmployeeData[[#This Row],[Age]]&lt;25,"Under 25",IF(EmployeeData[[#This Row],[Age]]&lt;35,"25-34",IF(EmployeeData[[#This Row],[Age]]&lt;45,"35-44",IF(EmployeeData[[#This Row],[Age]]&lt;55,"45-54","55+"))))</f>
        <v>45-54</v>
      </c>
      <c r="AK906" s="4" t="str">
        <f>IF(EmployeeData[[#This Row],[MonthlyIncome]]&lt;3000,"Below 3K",IF(EmployeeData[[#This Row],[MonthlyIncome]]&lt;6000,"3K-6K",IF(EmployeeData[[#This Row],[MonthlyIncome]]&lt;9000,"6K-9K",IF(EmployeeData[[#This Row],[MonthlyIncome]]&lt;12000,"9K-12K","12K+"))))</f>
        <v>12K+</v>
      </c>
    </row>
    <row r="907" spans="1:37" x14ac:dyDescent="0.3">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c r="AJ907" s="4" t="str">
        <f>IF(EmployeeData[[#This Row],[Age]]&lt;25,"Under 25",IF(EmployeeData[[#This Row],[Age]]&lt;35,"25-34",IF(EmployeeData[[#This Row],[Age]]&lt;45,"35-44",IF(EmployeeData[[#This Row],[Age]]&lt;55,"45-54","55+"))))</f>
        <v>25-34</v>
      </c>
      <c r="AK907" s="4" t="str">
        <f>IF(EmployeeData[[#This Row],[MonthlyIncome]]&lt;3000,"Below 3K",IF(EmployeeData[[#This Row],[MonthlyIncome]]&lt;6000,"3K-6K",IF(EmployeeData[[#This Row],[MonthlyIncome]]&lt;9000,"6K-9K",IF(EmployeeData[[#This Row],[MonthlyIncome]]&lt;12000,"9K-12K","12K+"))))</f>
        <v>12K+</v>
      </c>
    </row>
    <row r="908" spans="1:37" x14ac:dyDescent="0.3">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c r="AJ908" s="4" t="str">
        <f>IF(EmployeeData[[#This Row],[Age]]&lt;25,"Under 25",IF(EmployeeData[[#This Row],[Age]]&lt;35,"25-34",IF(EmployeeData[[#This Row],[Age]]&lt;45,"35-44",IF(EmployeeData[[#This Row],[Age]]&lt;55,"45-54","55+"))))</f>
        <v>25-34</v>
      </c>
      <c r="AK908" s="4" t="str">
        <f>IF(EmployeeData[[#This Row],[MonthlyIncome]]&lt;3000,"Below 3K",IF(EmployeeData[[#This Row],[MonthlyIncome]]&lt;6000,"3K-6K",IF(EmployeeData[[#This Row],[MonthlyIncome]]&lt;9000,"6K-9K",IF(EmployeeData[[#This Row],[MonthlyIncome]]&lt;12000,"9K-12K","12K+"))))</f>
        <v>Below 3K</v>
      </c>
    </row>
    <row r="909" spans="1:37" x14ac:dyDescent="0.3">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c r="AJ909" s="4" t="str">
        <f>IF(EmployeeData[[#This Row],[Age]]&lt;25,"Under 25",IF(EmployeeData[[#This Row],[Age]]&lt;35,"25-34",IF(EmployeeData[[#This Row],[Age]]&lt;45,"35-44",IF(EmployeeData[[#This Row],[Age]]&lt;55,"45-54","55+"))))</f>
        <v>35-44</v>
      </c>
      <c r="AK909" s="4" t="str">
        <f>IF(EmployeeData[[#This Row],[MonthlyIncome]]&lt;3000,"Below 3K",IF(EmployeeData[[#This Row],[MonthlyIncome]]&lt;6000,"3K-6K",IF(EmployeeData[[#This Row],[MonthlyIncome]]&lt;9000,"6K-9K",IF(EmployeeData[[#This Row],[MonthlyIncome]]&lt;12000,"9K-12K","12K+"))))</f>
        <v>12K+</v>
      </c>
    </row>
    <row r="910" spans="1:37" x14ac:dyDescent="0.3">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c r="AJ910" s="4" t="str">
        <f>IF(EmployeeData[[#This Row],[Age]]&lt;25,"Under 25",IF(EmployeeData[[#This Row],[Age]]&lt;35,"25-34",IF(EmployeeData[[#This Row],[Age]]&lt;45,"35-44",IF(EmployeeData[[#This Row],[Age]]&lt;55,"45-54","55+"))))</f>
        <v>25-34</v>
      </c>
      <c r="AK910" s="4" t="str">
        <f>IF(EmployeeData[[#This Row],[MonthlyIncome]]&lt;3000,"Below 3K",IF(EmployeeData[[#This Row],[MonthlyIncome]]&lt;6000,"3K-6K",IF(EmployeeData[[#This Row],[MonthlyIncome]]&lt;9000,"6K-9K",IF(EmployeeData[[#This Row],[MonthlyIncome]]&lt;12000,"9K-12K","12K+"))))</f>
        <v>6K-9K</v>
      </c>
    </row>
    <row r="911" spans="1:37" x14ac:dyDescent="0.3">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c r="AJ911" s="4" t="str">
        <f>IF(EmployeeData[[#This Row],[Age]]&lt;25,"Under 25",IF(EmployeeData[[#This Row],[Age]]&lt;35,"25-34",IF(EmployeeData[[#This Row],[Age]]&lt;45,"35-44",IF(EmployeeData[[#This Row],[Age]]&lt;55,"45-54","55+"))))</f>
        <v>Under 25</v>
      </c>
      <c r="AK911" s="4" t="str">
        <f>IF(EmployeeData[[#This Row],[MonthlyIncome]]&lt;3000,"Below 3K",IF(EmployeeData[[#This Row],[MonthlyIncome]]&lt;6000,"3K-6K",IF(EmployeeData[[#This Row],[MonthlyIncome]]&lt;9000,"6K-9K",IF(EmployeeData[[#This Row],[MonthlyIncome]]&lt;12000,"9K-12K","12K+"))))</f>
        <v>Below 3K</v>
      </c>
    </row>
    <row r="912" spans="1:37" x14ac:dyDescent="0.3">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c r="AJ912" s="4" t="str">
        <f>IF(EmployeeData[[#This Row],[Age]]&lt;25,"Under 25",IF(EmployeeData[[#This Row],[Age]]&lt;35,"25-34",IF(EmployeeData[[#This Row],[Age]]&lt;45,"35-44",IF(EmployeeData[[#This Row],[Age]]&lt;55,"45-54","55+"))))</f>
        <v>Under 25</v>
      </c>
      <c r="AK912" s="4" t="str">
        <f>IF(EmployeeData[[#This Row],[MonthlyIncome]]&lt;3000,"Below 3K",IF(EmployeeData[[#This Row],[MonthlyIncome]]&lt;6000,"3K-6K",IF(EmployeeData[[#This Row],[MonthlyIncome]]&lt;9000,"6K-9K",IF(EmployeeData[[#This Row],[MonthlyIncome]]&lt;12000,"9K-12K","12K+"))))</f>
        <v>Below 3K</v>
      </c>
    </row>
    <row r="913" spans="1:37" x14ac:dyDescent="0.3">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c r="AJ913" s="4" t="str">
        <f>IF(EmployeeData[[#This Row],[Age]]&lt;25,"Under 25",IF(EmployeeData[[#This Row],[Age]]&lt;35,"25-34",IF(EmployeeData[[#This Row],[Age]]&lt;45,"35-44",IF(EmployeeData[[#This Row],[Age]]&lt;55,"45-54","55+"))))</f>
        <v>25-34</v>
      </c>
      <c r="AK913" s="4" t="str">
        <f>IF(EmployeeData[[#This Row],[MonthlyIncome]]&lt;3000,"Below 3K",IF(EmployeeData[[#This Row],[MonthlyIncome]]&lt;6000,"3K-6K",IF(EmployeeData[[#This Row],[MonthlyIncome]]&lt;9000,"6K-9K",IF(EmployeeData[[#This Row],[MonthlyIncome]]&lt;12000,"9K-12K","12K+"))))</f>
        <v>Below 3K</v>
      </c>
    </row>
    <row r="914" spans="1:37" x14ac:dyDescent="0.3">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c r="AJ914" s="4" t="str">
        <f>IF(EmployeeData[[#This Row],[Age]]&lt;25,"Under 25",IF(EmployeeData[[#This Row],[Age]]&lt;35,"25-34",IF(EmployeeData[[#This Row],[Age]]&lt;45,"35-44",IF(EmployeeData[[#This Row],[Age]]&lt;55,"45-54","55+"))))</f>
        <v>25-34</v>
      </c>
      <c r="AK914" s="4" t="str">
        <f>IF(EmployeeData[[#This Row],[MonthlyIncome]]&lt;3000,"Below 3K",IF(EmployeeData[[#This Row],[MonthlyIncome]]&lt;6000,"3K-6K",IF(EmployeeData[[#This Row],[MonthlyIncome]]&lt;9000,"6K-9K",IF(EmployeeData[[#This Row],[MonthlyIncome]]&lt;12000,"9K-12K","12K+"))))</f>
        <v>Below 3K</v>
      </c>
    </row>
    <row r="915" spans="1:37" x14ac:dyDescent="0.3">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c r="AJ915" s="4" t="str">
        <f>IF(EmployeeData[[#This Row],[Age]]&lt;25,"Under 25",IF(EmployeeData[[#This Row],[Age]]&lt;35,"25-34",IF(EmployeeData[[#This Row],[Age]]&lt;45,"35-44",IF(EmployeeData[[#This Row],[Age]]&lt;55,"45-54","55+"))))</f>
        <v>45-54</v>
      </c>
      <c r="AK915" s="4" t="str">
        <f>IF(EmployeeData[[#This Row],[MonthlyIncome]]&lt;3000,"Below 3K",IF(EmployeeData[[#This Row],[MonthlyIncome]]&lt;6000,"3K-6K",IF(EmployeeData[[#This Row],[MonthlyIncome]]&lt;9000,"6K-9K",IF(EmployeeData[[#This Row],[MonthlyIncome]]&lt;12000,"9K-12K","12K+"))))</f>
        <v>12K+</v>
      </c>
    </row>
    <row r="916" spans="1:37" x14ac:dyDescent="0.3">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c r="AJ916" s="4" t="str">
        <f>IF(EmployeeData[[#This Row],[Age]]&lt;25,"Under 25",IF(EmployeeData[[#This Row],[Age]]&lt;35,"25-34",IF(EmployeeData[[#This Row],[Age]]&lt;45,"35-44",IF(EmployeeData[[#This Row],[Age]]&lt;55,"45-54","55+"))))</f>
        <v>55+</v>
      </c>
      <c r="AK916" s="4" t="str">
        <f>IF(EmployeeData[[#This Row],[MonthlyIncome]]&lt;3000,"Below 3K",IF(EmployeeData[[#This Row],[MonthlyIncome]]&lt;6000,"3K-6K",IF(EmployeeData[[#This Row],[MonthlyIncome]]&lt;9000,"6K-9K",IF(EmployeeData[[#This Row],[MonthlyIncome]]&lt;12000,"9K-12K","12K+"))))</f>
        <v>12K+</v>
      </c>
    </row>
    <row r="917" spans="1:37" x14ac:dyDescent="0.3">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c r="AJ917" s="4" t="str">
        <f>IF(EmployeeData[[#This Row],[Age]]&lt;25,"Under 25",IF(EmployeeData[[#This Row],[Age]]&lt;35,"25-34",IF(EmployeeData[[#This Row],[Age]]&lt;45,"35-44",IF(EmployeeData[[#This Row],[Age]]&lt;55,"45-54","55+"))))</f>
        <v>Under 25</v>
      </c>
      <c r="AK917" s="4" t="str">
        <f>IF(EmployeeData[[#This Row],[MonthlyIncome]]&lt;3000,"Below 3K",IF(EmployeeData[[#This Row],[MonthlyIncome]]&lt;6000,"3K-6K",IF(EmployeeData[[#This Row],[MonthlyIncome]]&lt;9000,"6K-9K",IF(EmployeeData[[#This Row],[MonthlyIncome]]&lt;12000,"9K-12K","12K+"))))</f>
        <v>Below 3K</v>
      </c>
    </row>
    <row r="918" spans="1:37" x14ac:dyDescent="0.3">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c r="AJ918" s="4" t="str">
        <f>IF(EmployeeData[[#This Row],[Age]]&lt;25,"Under 25",IF(EmployeeData[[#This Row],[Age]]&lt;35,"25-34",IF(EmployeeData[[#This Row],[Age]]&lt;45,"35-44",IF(EmployeeData[[#This Row],[Age]]&lt;55,"45-54","55+"))))</f>
        <v>45-54</v>
      </c>
      <c r="AK918" s="4" t="str">
        <f>IF(EmployeeData[[#This Row],[MonthlyIncome]]&lt;3000,"Below 3K",IF(EmployeeData[[#This Row],[MonthlyIncome]]&lt;6000,"3K-6K",IF(EmployeeData[[#This Row],[MonthlyIncome]]&lt;9000,"6K-9K",IF(EmployeeData[[#This Row],[MonthlyIncome]]&lt;12000,"9K-12K","12K+"))))</f>
        <v>12K+</v>
      </c>
    </row>
    <row r="919" spans="1:37" x14ac:dyDescent="0.3">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c r="AJ919" s="4" t="str">
        <f>IF(EmployeeData[[#This Row],[Age]]&lt;25,"Under 25",IF(EmployeeData[[#This Row],[Age]]&lt;35,"25-34",IF(EmployeeData[[#This Row],[Age]]&lt;45,"35-44",IF(EmployeeData[[#This Row],[Age]]&lt;55,"45-54","55+"))))</f>
        <v>25-34</v>
      </c>
      <c r="AK919" s="4" t="str">
        <f>IF(EmployeeData[[#This Row],[MonthlyIncome]]&lt;3000,"Below 3K",IF(EmployeeData[[#This Row],[MonthlyIncome]]&lt;6000,"3K-6K",IF(EmployeeData[[#This Row],[MonthlyIncome]]&lt;9000,"6K-9K",IF(EmployeeData[[#This Row],[MonthlyIncome]]&lt;12000,"9K-12K","12K+"))))</f>
        <v>3K-6K</v>
      </c>
    </row>
    <row r="920" spans="1:37" x14ac:dyDescent="0.3">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c r="AJ920" s="4" t="str">
        <f>IF(EmployeeData[[#This Row],[Age]]&lt;25,"Under 25",IF(EmployeeData[[#This Row],[Age]]&lt;35,"25-34",IF(EmployeeData[[#This Row],[Age]]&lt;45,"35-44",IF(EmployeeData[[#This Row],[Age]]&lt;55,"45-54","55+"))))</f>
        <v>45-54</v>
      </c>
      <c r="AK920" s="4" t="str">
        <f>IF(EmployeeData[[#This Row],[MonthlyIncome]]&lt;3000,"Below 3K",IF(EmployeeData[[#This Row],[MonthlyIncome]]&lt;6000,"3K-6K",IF(EmployeeData[[#This Row],[MonthlyIncome]]&lt;9000,"6K-9K",IF(EmployeeData[[#This Row],[MonthlyIncome]]&lt;12000,"9K-12K","12K+"))))</f>
        <v>12K+</v>
      </c>
    </row>
    <row r="921" spans="1:37" x14ac:dyDescent="0.3">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c r="AJ921" s="4" t="str">
        <f>IF(EmployeeData[[#This Row],[Age]]&lt;25,"Under 25",IF(EmployeeData[[#This Row],[Age]]&lt;35,"25-34",IF(EmployeeData[[#This Row],[Age]]&lt;45,"35-44",IF(EmployeeData[[#This Row],[Age]]&lt;55,"45-54","55+"))))</f>
        <v>55+</v>
      </c>
      <c r="AK921" s="4" t="str">
        <f>IF(EmployeeData[[#This Row],[MonthlyIncome]]&lt;3000,"Below 3K",IF(EmployeeData[[#This Row],[MonthlyIncome]]&lt;6000,"3K-6K",IF(EmployeeData[[#This Row],[MonthlyIncome]]&lt;9000,"6K-9K",IF(EmployeeData[[#This Row],[MonthlyIncome]]&lt;12000,"9K-12K","12K+"))))</f>
        <v>9K-12K</v>
      </c>
    </row>
    <row r="922" spans="1:37" x14ac:dyDescent="0.3">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c r="AJ922" s="4" t="str">
        <f>IF(EmployeeData[[#This Row],[Age]]&lt;25,"Under 25",IF(EmployeeData[[#This Row],[Age]]&lt;35,"25-34",IF(EmployeeData[[#This Row],[Age]]&lt;45,"35-44",IF(EmployeeData[[#This Row],[Age]]&lt;55,"45-54","55+"))))</f>
        <v>25-34</v>
      </c>
      <c r="AK922" s="4" t="str">
        <f>IF(EmployeeData[[#This Row],[MonthlyIncome]]&lt;3000,"Below 3K",IF(EmployeeData[[#This Row],[MonthlyIncome]]&lt;6000,"3K-6K",IF(EmployeeData[[#This Row],[MonthlyIncome]]&lt;9000,"6K-9K",IF(EmployeeData[[#This Row],[MonthlyIncome]]&lt;12000,"9K-12K","12K+"))))</f>
        <v>3K-6K</v>
      </c>
    </row>
    <row r="923" spans="1:37" x14ac:dyDescent="0.3">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c r="AJ923" s="4" t="str">
        <f>IF(EmployeeData[[#This Row],[Age]]&lt;25,"Under 25",IF(EmployeeData[[#This Row],[Age]]&lt;35,"25-34",IF(EmployeeData[[#This Row],[Age]]&lt;45,"35-44",IF(EmployeeData[[#This Row],[Age]]&lt;55,"45-54","55+"))))</f>
        <v>25-34</v>
      </c>
      <c r="AK923" s="4" t="str">
        <f>IF(EmployeeData[[#This Row],[MonthlyIncome]]&lt;3000,"Below 3K",IF(EmployeeData[[#This Row],[MonthlyIncome]]&lt;6000,"3K-6K",IF(EmployeeData[[#This Row],[MonthlyIncome]]&lt;9000,"6K-9K",IF(EmployeeData[[#This Row],[MonthlyIncome]]&lt;12000,"9K-12K","12K+"))))</f>
        <v>Below 3K</v>
      </c>
    </row>
    <row r="924" spans="1:37" x14ac:dyDescent="0.3">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c r="AJ924" s="4" t="str">
        <f>IF(EmployeeData[[#This Row],[Age]]&lt;25,"Under 25",IF(EmployeeData[[#This Row],[Age]]&lt;35,"25-34",IF(EmployeeData[[#This Row],[Age]]&lt;45,"35-44",IF(EmployeeData[[#This Row],[Age]]&lt;55,"45-54","55+"))))</f>
        <v>35-44</v>
      </c>
      <c r="AK924" s="4" t="str">
        <f>IF(EmployeeData[[#This Row],[MonthlyIncome]]&lt;3000,"Below 3K",IF(EmployeeData[[#This Row],[MonthlyIncome]]&lt;6000,"3K-6K",IF(EmployeeData[[#This Row],[MonthlyIncome]]&lt;9000,"6K-9K",IF(EmployeeData[[#This Row],[MonthlyIncome]]&lt;12000,"9K-12K","12K+"))))</f>
        <v>12K+</v>
      </c>
    </row>
    <row r="925" spans="1:37" x14ac:dyDescent="0.3">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c r="AJ925" s="4" t="str">
        <f>IF(EmployeeData[[#This Row],[Age]]&lt;25,"Under 25",IF(EmployeeData[[#This Row],[Age]]&lt;35,"25-34",IF(EmployeeData[[#This Row],[Age]]&lt;45,"35-44",IF(EmployeeData[[#This Row],[Age]]&lt;55,"45-54","55+"))))</f>
        <v>25-34</v>
      </c>
      <c r="AK925" s="4" t="str">
        <f>IF(EmployeeData[[#This Row],[MonthlyIncome]]&lt;3000,"Below 3K",IF(EmployeeData[[#This Row],[MonthlyIncome]]&lt;6000,"3K-6K",IF(EmployeeData[[#This Row],[MonthlyIncome]]&lt;9000,"6K-9K",IF(EmployeeData[[#This Row],[MonthlyIncome]]&lt;12000,"9K-12K","12K+"))))</f>
        <v>3K-6K</v>
      </c>
    </row>
    <row r="926" spans="1:37" x14ac:dyDescent="0.3">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c r="AJ926" s="4" t="str">
        <f>IF(EmployeeData[[#This Row],[Age]]&lt;25,"Under 25",IF(EmployeeData[[#This Row],[Age]]&lt;35,"25-34",IF(EmployeeData[[#This Row],[Age]]&lt;45,"35-44",IF(EmployeeData[[#This Row],[Age]]&lt;55,"45-54","55+"))))</f>
        <v>35-44</v>
      </c>
      <c r="AK926" s="4" t="str">
        <f>IF(EmployeeData[[#This Row],[MonthlyIncome]]&lt;3000,"Below 3K",IF(EmployeeData[[#This Row],[MonthlyIncome]]&lt;6000,"3K-6K",IF(EmployeeData[[#This Row],[MonthlyIncome]]&lt;9000,"6K-9K",IF(EmployeeData[[#This Row],[MonthlyIncome]]&lt;12000,"9K-12K","12K+"))))</f>
        <v>3K-6K</v>
      </c>
    </row>
    <row r="927" spans="1:37" x14ac:dyDescent="0.3">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c r="AJ927" s="4" t="str">
        <f>IF(EmployeeData[[#This Row],[Age]]&lt;25,"Under 25",IF(EmployeeData[[#This Row],[Age]]&lt;35,"25-34",IF(EmployeeData[[#This Row],[Age]]&lt;45,"35-44",IF(EmployeeData[[#This Row],[Age]]&lt;55,"45-54","55+"))))</f>
        <v>35-44</v>
      </c>
      <c r="AK927" s="4" t="str">
        <f>IF(EmployeeData[[#This Row],[MonthlyIncome]]&lt;3000,"Below 3K",IF(EmployeeData[[#This Row],[MonthlyIncome]]&lt;6000,"3K-6K",IF(EmployeeData[[#This Row],[MonthlyIncome]]&lt;9000,"6K-9K",IF(EmployeeData[[#This Row],[MonthlyIncome]]&lt;12000,"9K-12K","12K+"))))</f>
        <v>Below 3K</v>
      </c>
    </row>
    <row r="928" spans="1:37" x14ac:dyDescent="0.3">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c r="AJ928" s="4" t="str">
        <f>IF(EmployeeData[[#This Row],[Age]]&lt;25,"Under 25",IF(EmployeeData[[#This Row],[Age]]&lt;35,"25-34",IF(EmployeeData[[#This Row],[Age]]&lt;45,"35-44",IF(EmployeeData[[#This Row],[Age]]&lt;55,"45-54","55+"))))</f>
        <v>35-44</v>
      </c>
      <c r="AK928" s="4" t="str">
        <f>IF(EmployeeData[[#This Row],[MonthlyIncome]]&lt;3000,"Below 3K",IF(EmployeeData[[#This Row],[MonthlyIncome]]&lt;6000,"3K-6K",IF(EmployeeData[[#This Row],[MonthlyIncome]]&lt;9000,"6K-9K",IF(EmployeeData[[#This Row],[MonthlyIncome]]&lt;12000,"9K-12K","12K+"))))</f>
        <v>9K-12K</v>
      </c>
    </row>
    <row r="929" spans="1:37" x14ac:dyDescent="0.3">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c r="AJ929" s="4" t="str">
        <f>IF(EmployeeData[[#This Row],[Age]]&lt;25,"Under 25",IF(EmployeeData[[#This Row],[Age]]&lt;35,"25-34",IF(EmployeeData[[#This Row],[Age]]&lt;45,"35-44",IF(EmployeeData[[#This Row],[Age]]&lt;55,"45-54","55+"))))</f>
        <v>35-44</v>
      </c>
      <c r="AK929" s="4" t="str">
        <f>IF(EmployeeData[[#This Row],[MonthlyIncome]]&lt;3000,"Below 3K",IF(EmployeeData[[#This Row],[MonthlyIncome]]&lt;6000,"3K-6K",IF(EmployeeData[[#This Row],[MonthlyIncome]]&lt;9000,"6K-9K",IF(EmployeeData[[#This Row],[MonthlyIncome]]&lt;12000,"9K-12K","12K+"))))</f>
        <v>3K-6K</v>
      </c>
    </row>
    <row r="930" spans="1:37" x14ac:dyDescent="0.3">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c r="AJ930" s="4" t="str">
        <f>IF(EmployeeData[[#This Row],[Age]]&lt;25,"Under 25",IF(EmployeeData[[#This Row],[Age]]&lt;35,"25-34",IF(EmployeeData[[#This Row],[Age]]&lt;45,"35-44",IF(EmployeeData[[#This Row],[Age]]&lt;55,"45-54","55+"))))</f>
        <v>35-44</v>
      </c>
      <c r="AK930" s="4" t="str">
        <f>IF(EmployeeData[[#This Row],[MonthlyIncome]]&lt;3000,"Below 3K",IF(EmployeeData[[#This Row],[MonthlyIncome]]&lt;6000,"3K-6K",IF(EmployeeData[[#This Row],[MonthlyIncome]]&lt;9000,"6K-9K",IF(EmployeeData[[#This Row],[MonthlyIncome]]&lt;12000,"9K-12K","12K+"))))</f>
        <v>6K-9K</v>
      </c>
    </row>
    <row r="931" spans="1:37" x14ac:dyDescent="0.3">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c r="AJ931" s="4" t="str">
        <f>IF(EmployeeData[[#This Row],[Age]]&lt;25,"Under 25",IF(EmployeeData[[#This Row],[Age]]&lt;35,"25-34",IF(EmployeeData[[#This Row],[Age]]&lt;45,"35-44",IF(EmployeeData[[#This Row],[Age]]&lt;55,"45-54","55+"))))</f>
        <v>25-34</v>
      </c>
      <c r="AK931" s="4" t="str">
        <f>IF(EmployeeData[[#This Row],[MonthlyIncome]]&lt;3000,"Below 3K",IF(EmployeeData[[#This Row],[MonthlyIncome]]&lt;6000,"3K-6K",IF(EmployeeData[[#This Row],[MonthlyIncome]]&lt;9000,"6K-9K",IF(EmployeeData[[#This Row],[MonthlyIncome]]&lt;12000,"9K-12K","12K+"))))</f>
        <v>3K-6K</v>
      </c>
    </row>
    <row r="932" spans="1:37" x14ac:dyDescent="0.3">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c r="AJ932" s="4" t="str">
        <f>IF(EmployeeData[[#This Row],[Age]]&lt;25,"Under 25",IF(EmployeeData[[#This Row],[Age]]&lt;35,"25-34",IF(EmployeeData[[#This Row],[Age]]&lt;45,"35-44",IF(EmployeeData[[#This Row],[Age]]&lt;55,"45-54","55+"))))</f>
        <v>45-54</v>
      </c>
      <c r="AK932" s="4" t="str">
        <f>IF(EmployeeData[[#This Row],[MonthlyIncome]]&lt;3000,"Below 3K",IF(EmployeeData[[#This Row],[MonthlyIncome]]&lt;6000,"3K-6K",IF(EmployeeData[[#This Row],[MonthlyIncome]]&lt;9000,"6K-9K",IF(EmployeeData[[#This Row],[MonthlyIncome]]&lt;12000,"9K-12K","12K+"))))</f>
        <v>Below 3K</v>
      </c>
    </row>
    <row r="933" spans="1:37" x14ac:dyDescent="0.3">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c r="AJ933" s="4" t="str">
        <f>IF(EmployeeData[[#This Row],[Age]]&lt;25,"Under 25",IF(EmployeeData[[#This Row],[Age]]&lt;35,"25-34",IF(EmployeeData[[#This Row],[Age]]&lt;45,"35-44",IF(EmployeeData[[#This Row],[Age]]&lt;55,"45-54","55+"))))</f>
        <v>25-34</v>
      </c>
      <c r="AK933" s="4" t="str">
        <f>IF(EmployeeData[[#This Row],[MonthlyIncome]]&lt;3000,"Below 3K",IF(EmployeeData[[#This Row],[MonthlyIncome]]&lt;6000,"3K-6K",IF(EmployeeData[[#This Row],[MonthlyIncome]]&lt;9000,"6K-9K",IF(EmployeeData[[#This Row],[MonthlyIncome]]&lt;12000,"9K-12K","12K+"))))</f>
        <v>3K-6K</v>
      </c>
    </row>
    <row r="934" spans="1:37" x14ac:dyDescent="0.3">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c r="AJ934" s="4" t="str">
        <f>IF(EmployeeData[[#This Row],[Age]]&lt;25,"Under 25",IF(EmployeeData[[#This Row],[Age]]&lt;35,"25-34",IF(EmployeeData[[#This Row],[Age]]&lt;45,"35-44",IF(EmployeeData[[#This Row],[Age]]&lt;55,"45-54","55+"))))</f>
        <v>25-34</v>
      </c>
      <c r="AK934" s="4" t="str">
        <f>IF(EmployeeData[[#This Row],[MonthlyIncome]]&lt;3000,"Below 3K",IF(EmployeeData[[#This Row],[MonthlyIncome]]&lt;6000,"3K-6K",IF(EmployeeData[[#This Row],[MonthlyIncome]]&lt;9000,"6K-9K",IF(EmployeeData[[#This Row],[MonthlyIncome]]&lt;12000,"9K-12K","12K+"))))</f>
        <v>3K-6K</v>
      </c>
    </row>
    <row r="935" spans="1:37" x14ac:dyDescent="0.3">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c r="AJ935" s="4" t="str">
        <f>IF(EmployeeData[[#This Row],[Age]]&lt;25,"Under 25",IF(EmployeeData[[#This Row],[Age]]&lt;35,"25-34",IF(EmployeeData[[#This Row],[Age]]&lt;45,"35-44",IF(EmployeeData[[#This Row],[Age]]&lt;55,"45-54","55+"))))</f>
        <v>25-34</v>
      </c>
      <c r="AK935" s="4" t="str">
        <f>IF(EmployeeData[[#This Row],[MonthlyIncome]]&lt;3000,"Below 3K",IF(EmployeeData[[#This Row],[MonthlyIncome]]&lt;6000,"3K-6K",IF(EmployeeData[[#This Row],[MonthlyIncome]]&lt;9000,"6K-9K",IF(EmployeeData[[#This Row],[MonthlyIncome]]&lt;12000,"9K-12K","12K+"))))</f>
        <v>Below 3K</v>
      </c>
    </row>
    <row r="936" spans="1:37" x14ac:dyDescent="0.3">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c r="AJ936" s="4" t="str">
        <f>IF(EmployeeData[[#This Row],[Age]]&lt;25,"Under 25",IF(EmployeeData[[#This Row],[Age]]&lt;35,"25-34",IF(EmployeeData[[#This Row],[Age]]&lt;45,"35-44",IF(EmployeeData[[#This Row],[Age]]&lt;55,"45-54","55+"))))</f>
        <v>25-34</v>
      </c>
      <c r="AK936" s="4" t="str">
        <f>IF(EmployeeData[[#This Row],[MonthlyIncome]]&lt;3000,"Below 3K",IF(EmployeeData[[#This Row],[MonthlyIncome]]&lt;6000,"3K-6K",IF(EmployeeData[[#This Row],[MonthlyIncome]]&lt;9000,"6K-9K",IF(EmployeeData[[#This Row],[MonthlyIncome]]&lt;12000,"9K-12K","12K+"))))</f>
        <v>Below 3K</v>
      </c>
    </row>
    <row r="937" spans="1:37" x14ac:dyDescent="0.3">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c r="AJ937" s="4" t="str">
        <f>IF(EmployeeData[[#This Row],[Age]]&lt;25,"Under 25",IF(EmployeeData[[#This Row],[Age]]&lt;35,"25-34",IF(EmployeeData[[#This Row],[Age]]&lt;45,"35-44",IF(EmployeeData[[#This Row],[Age]]&lt;55,"45-54","55+"))))</f>
        <v>25-34</v>
      </c>
      <c r="AK937" s="4" t="str">
        <f>IF(EmployeeData[[#This Row],[MonthlyIncome]]&lt;3000,"Below 3K",IF(EmployeeData[[#This Row],[MonthlyIncome]]&lt;6000,"3K-6K",IF(EmployeeData[[#This Row],[MonthlyIncome]]&lt;9000,"6K-9K",IF(EmployeeData[[#This Row],[MonthlyIncome]]&lt;12000,"9K-12K","12K+"))))</f>
        <v>6K-9K</v>
      </c>
    </row>
    <row r="938" spans="1:37" x14ac:dyDescent="0.3">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c r="AJ938" s="4" t="str">
        <f>IF(EmployeeData[[#This Row],[Age]]&lt;25,"Under 25",IF(EmployeeData[[#This Row],[Age]]&lt;35,"25-34",IF(EmployeeData[[#This Row],[Age]]&lt;45,"35-44",IF(EmployeeData[[#This Row],[Age]]&lt;55,"45-54","55+"))))</f>
        <v>45-54</v>
      </c>
      <c r="AK938" s="4" t="str">
        <f>IF(EmployeeData[[#This Row],[MonthlyIncome]]&lt;3000,"Below 3K",IF(EmployeeData[[#This Row],[MonthlyIncome]]&lt;6000,"3K-6K",IF(EmployeeData[[#This Row],[MonthlyIncome]]&lt;9000,"6K-9K",IF(EmployeeData[[#This Row],[MonthlyIncome]]&lt;12000,"9K-12K","12K+"))))</f>
        <v>12K+</v>
      </c>
    </row>
    <row r="939" spans="1:37" x14ac:dyDescent="0.3">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c r="AJ939" s="4" t="str">
        <f>IF(EmployeeData[[#This Row],[Age]]&lt;25,"Under 25",IF(EmployeeData[[#This Row],[Age]]&lt;35,"25-34",IF(EmployeeData[[#This Row],[Age]]&lt;45,"35-44",IF(EmployeeData[[#This Row],[Age]]&lt;55,"45-54","55+"))))</f>
        <v>35-44</v>
      </c>
      <c r="AK939" s="4" t="str">
        <f>IF(EmployeeData[[#This Row],[MonthlyIncome]]&lt;3000,"Below 3K",IF(EmployeeData[[#This Row],[MonthlyIncome]]&lt;6000,"3K-6K",IF(EmployeeData[[#This Row],[MonthlyIncome]]&lt;9000,"6K-9K",IF(EmployeeData[[#This Row],[MonthlyIncome]]&lt;12000,"9K-12K","12K+"))))</f>
        <v>12K+</v>
      </c>
    </row>
    <row r="940" spans="1:37" x14ac:dyDescent="0.3">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c r="AJ940" s="4" t="str">
        <f>IF(EmployeeData[[#This Row],[Age]]&lt;25,"Under 25",IF(EmployeeData[[#This Row],[Age]]&lt;35,"25-34",IF(EmployeeData[[#This Row],[Age]]&lt;45,"35-44",IF(EmployeeData[[#This Row],[Age]]&lt;55,"45-54","55+"))))</f>
        <v>55+</v>
      </c>
      <c r="AK940" s="4" t="str">
        <f>IF(EmployeeData[[#This Row],[MonthlyIncome]]&lt;3000,"Below 3K",IF(EmployeeData[[#This Row],[MonthlyIncome]]&lt;6000,"3K-6K",IF(EmployeeData[[#This Row],[MonthlyIncome]]&lt;9000,"6K-9K",IF(EmployeeData[[#This Row],[MonthlyIncome]]&lt;12000,"9K-12K","12K+"))))</f>
        <v>Below 3K</v>
      </c>
    </row>
    <row r="941" spans="1:37" x14ac:dyDescent="0.3">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c r="AJ941" s="4" t="str">
        <f>IF(EmployeeData[[#This Row],[Age]]&lt;25,"Under 25",IF(EmployeeData[[#This Row],[Age]]&lt;35,"25-34",IF(EmployeeData[[#This Row],[Age]]&lt;45,"35-44",IF(EmployeeData[[#This Row],[Age]]&lt;55,"45-54","55+"))))</f>
        <v>25-34</v>
      </c>
      <c r="AK941" s="4" t="str">
        <f>IF(EmployeeData[[#This Row],[MonthlyIncome]]&lt;3000,"Below 3K",IF(EmployeeData[[#This Row],[MonthlyIncome]]&lt;6000,"3K-6K",IF(EmployeeData[[#This Row],[MonthlyIncome]]&lt;9000,"6K-9K",IF(EmployeeData[[#This Row],[MonthlyIncome]]&lt;12000,"9K-12K","12K+"))))</f>
        <v>3K-6K</v>
      </c>
    </row>
    <row r="942" spans="1:37" x14ac:dyDescent="0.3">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c r="AJ942" s="4" t="str">
        <f>IF(EmployeeData[[#This Row],[Age]]&lt;25,"Under 25",IF(EmployeeData[[#This Row],[Age]]&lt;35,"25-34",IF(EmployeeData[[#This Row],[Age]]&lt;45,"35-44",IF(EmployeeData[[#This Row],[Age]]&lt;55,"45-54","55+"))))</f>
        <v>35-44</v>
      </c>
      <c r="AK942" s="4" t="str">
        <f>IF(EmployeeData[[#This Row],[MonthlyIncome]]&lt;3000,"Below 3K",IF(EmployeeData[[#This Row],[MonthlyIncome]]&lt;6000,"3K-6K",IF(EmployeeData[[#This Row],[MonthlyIncome]]&lt;9000,"6K-9K",IF(EmployeeData[[#This Row],[MonthlyIncome]]&lt;12000,"9K-12K","12K+"))))</f>
        <v>3K-6K</v>
      </c>
    </row>
    <row r="943" spans="1:37" x14ac:dyDescent="0.3">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c r="AJ943" s="4" t="str">
        <f>IF(EmployeeData[[#This Row],[Age]]&lt;25,"Under 25",IF(EmployeeData[[#This Row],[Age]]&lt;35,"25-34",IF(EmployeeData[[#This Row],[Age]]&lt;45,"35-44",IF(EmployeeData[[#This Row],[Age]]&lt;55,"45-54","55+"))))</f>
        <v>25-34</v>
      </c>
      <c r="AK943" s="4" t="str">
        <f>IF(EmployeeData[[#This Row],[MonthlyIncome]]&lt;3000,"Below 3K",IF(EmployeeData[[#This Row],[MonthlyIncome]]&lt;6000,"3K-6K",IF(EmployeeData[[#This Row],[MonthlyIncome]]&lt;9000,"6K-9K",IF(EmployeeData[[#This Row],[MonthlyIncome]]&lt;12000,"9K-12K","12K+"))))</f>
        <v>3K-6K</v>
      </c>
    </row>
    <row r="944" spans="1:37" x14ac:dyDescent="0.3">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c r="AJ944" s="4" t="str">
        <f>IF(EmployeeData[[#This Row],[Age]]&lt;25,"Under 25",IF(EmployeeData[[#This Row],[Age]]&lt;35,"25-34",IF(EmployeeData[[#This Row],[Age]]&lt;45,"35-44",IF(EmployeeData[[#This Row],[Age]]&lt;55,"45-54","55+"))))</f>
        <v>35-44</v>
      </c>
      <c r="AK944" s="4" t="str">
        <f>IF(EmployeeData[[#This Row],[MonthlyIncome]]&lt;3000,"Below 3K",IF(EmployeeData[[#This Row],[MonthlyIncome]]&lt;6000,"3K-6K",IF(EmployeeData[[#This Row],[MonthlyIncome]]&lt;9000,"6K-9K",IF(EmployeeData[[#This Row],[MonthlyIncome]]&lt;12000,"9K-12K","12K+"))))</f>
        <v>6K-9K</v>
      </c>
    </row>
    <row r="945" spans="1:37" x14ac:dyDescent="0.3">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c r="AJ945" s="4" t="str">
        <f>IF(EmployeeData[[#This Row],[Age]]&lt;25,"Under 25",IF(EmployeeData[[#This Row],[Age]]&lt;35,"25-34",IF(EmployeeData[[#This Row],[Age]]&lt;45,"35-44",IF(EmployeeData[[#This Row],[Age]]&lt;55,"45-54","55+"))))</f>
        <v>45-54</v>
      </c>
      <c r="AK945" s="4" t="str">
        <f>IF(EmployeeData[[#This Row],[MonthlyIncome]]&lt;3000,"Below 3K",IF(EmployeeData[[#This Row],[MonthlyIncome]]&lt;6000,"3K-6K",IF(EmployeeData[[#This Row],[MonthlyIncome]]&lt;9000,"6K-9K",IF(EmployeeData[[#This Row],[MonthlyIncome]]&lt;12000,"9K-12K","12K+"))))</f>
        <v>3K-6K</v>
      </c>
    </row>
    <row r="946" spans="1:37" x14ac:dyDescent="0.3">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c r="AJ946" s="4" t="str">
        <f>IF(EmployeeData[[#This Row],[Age]]&lt;25,"Under 25",IF(EmployeeData[[#This Row],[Age]]&lt;35,"25-34",IF(EmployeeData[[#This Row],[Age]]&lt;45,"35-44",IF(EmployeeData[[#This Row],[Age]]&lt;55,"45-54","55+"))))</f>
        <v>25-34</v>
      </c>
      <c r="AK946" s="4" t="str">
        <f>IF(EmployeeData[[#This Row],[MonthlyIncome]]&lt;3000,"Below 3K",IF(EmployeeData[[#This Row],[MonthlyIncome]]&lt;6000,"3K-6K",IF(EmployeeData[[#This Row],[MonthlyIncome]]&lt;9000,"6K-9K",IF(EmployeeData[[#This Row],[MonthlyIncome]]&lt;12000,"9K-12K","12K+"))))</f>
        <v>6K-9K</v>
      </c>
    </row>
    <row r="947" spans="1:37" x14ac:dyDescent="0.3">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c r="AJ947" s="4" t="str">
        <f>IF(EmployeeData[[#This Row],[Age]]&lt;25,"Under 25",IF(EmployeeData[[#This Row],[Age]]&lt;35,"25-34",IF(EmployeeData[[#This Row],[Age]]&lt;45,"35-44",IF(EmployeeData[[#This Row],[Age]]&lt;55,"45-54","55+"))))</f>
        <v>45-54</v>
      </c>
      <c r="AK947" s="4" t="str">
        <f>IF(EmployeeData[[#This Row],[MonthlyIncome]]&lt;3000,"Below 3K",IF(EmployeeData[[#This Row],[MonthlyIncome]]&lt;6000,"3K-6K",IF(EmployeeData[[#This Row],[MonthlyIncome]]&lt;9000,"6K-9K",IF(EmployeeData[[#This Row],[MonthlyIncome]]&lt;12000,"9K-12K","12K+"))))</f>
        <v>12K+</v>
      </c>
    </row>
    <row r="948" spans="1:37" x14ac:dyDescent="0.3">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c r="AJ948" s="4" t="str">
        <f>IF(EmployeeData[[#This Row],[Age]]&lt;25,"Under 25",IF(EmployeeData[[#This Row],[Age]]&lt;35,"25-34",IF(EmployeeData[[#This Row],[Age]]&lt;45,"35-44",IF(EmployeeData[[#This Row],[Age]]&lt;55,"45-54","55+"))))</f>
        <v>35-44</v>
      </c>
      <c r="AK948" s="4" t="str">
        <f>IF(EmployeeData[[#This Row],[MonthlyIncome]]&lt;3000,"Below 3K",IF(EmployeeData[[#This Row],[MonthlyIncome]]&lt;6000,"3K-6K",IF(EmployeeData[[#This Row],[MonthlyIncome]]&lt;9000,"6K-9K",IF(EmployeeData[[#This Row],[MonthlyIncome]]&lt;12000,"9K-12K","12K+"))))</f>
        <v>9K-12K</v>
      </c>
    </row>
    <row r="949" spans="1:37" x14ac:dyDescent="0.3">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c r="AJ949" s="4" t="str">
        <f>IF(EmployeeData[[#This Row],[Age]]&lt;25,"Under 25",IF(EmployeeData[[#This Row],[Age]]&lt;35,"25-34",IF(EmployeeData[[#This Row],[Age]]&lt;45,"35-44",IF(EmployeeData[[#This Row],[Age]]&lt;55,"45-54","55+"))))</f>
        <v>45-54</v>
      </c>
      <c r="AK949" s="4" t="str">
        <f>IF(EmployeeData[[#This Row],[MonthlyIncome]]&lt;3000,"Below 3K",IF(EmployeeData[[#This Row],[MonthlyIncome]]&lt;6000,"3K-6K",IF(EmployeeData[[#This Row],[MonthlyIncome]]&lt;9000,"6K-9K",IF(EmployeeData[[#This Row],[MonthlyIncome]]&lt;12000,"9K-12K","12K+"))))</f>
        <v>6K-9K</v>
      </c>
    </row>
    <row r="950" spans="1:37" x14ac:dyDescent="0.3">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c r="AJ950" s="4" t="str">
        <f>IF(EmployeeData[[#This Row],[Age]]&lt;25,"Under 25",IF(EmployeeData[[#This Row],[Age]]&lt;35,"25-34",IF(EmployeeData[[#This Row],[Age]]&lt;45,"35-44",IF(EmployeeData[[#This Row],[Age]]&lt;55,"45-54","55+"))))</f>
        <v>25-34</v>
      </c>
      <c r="AK950" s="4" t="str">
        <f>IF(EmployeeData[[#This Row],[MonthlyIncome]]&lt;3000,"Below 3K",IF(EmployeeData[[#This Row],[MonthlyIncome]]&lt;6000,"3K-6K",IF(EmployeeData[[#This Row],[MonthlyIncome]]&lt;9000,"6K-9K",IF(EmployeeData[[#This Row],[MonthlyIncome]]&lt;12000,"9K-12K","12K+"))))</f>
        <v>9K-12K</v>
      </c>
    </row>
    <row r="951" spans="1:37" x14ac:dyDescent="0.3">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c r="AJ951" s="4" t="str">
        <f>IF(EmployeeData[[#This Row],[Age]]&lt;25,"Under 25",IF(EmployeeData[[#This Row],[Age]]&lt;35,"25-34",IF(EmployeeData[[#This Row],[Age]]&lt;45,"35-44",IF(EmployeeData[[#This Row],[Age]]&lt;55,"45-54","55+"))))</f>
        <v>35-44</v>
      </c>
      <c r="AK951" s="4" t="str">
        <f>IF(EmployeeData[[#This Row],[MonthlyIncome]]&lt;3000,"Below 3K",IF(EmployeeData[[#This Row],[MonthlyIncome]]&lt;6000,"3K-6K",IF(EmployeeData[[#This Row],[MonthlyIncome]]&lt;9000,"6K-9K",IF(EmployeeData[[#This Row],[MonthlyIncome]]&lt;12000,"9K-12K","12K+"))))</f>
        <v>3K-6K</v>
      </c>
    </row>
    <row r="952" spans="1:37" x14ac:dyDescent="0.3">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c r="AJ952" s="4" t="str">
        <f>IF(EmployeeData[[#This Row],[Age]]&lt;25,"Under 25",IF(EmployeeData[[#This Row],[Age]]&lt;35,"25-34",IF(EmployeeData[[#This Row],[Age]]&lt;45,"35-44",IF(EmployeeData[[#This Row],[Age]]&lt;55,"45-54","55+"))))</f>
        <v>25-34</v>
      </c>
      <c r="AK952" s="4" t="str">
        <f>IF(EmployeeData[[#This Row],[MonthlyIncome]]&lt;3000,"Below 3K",IF(EmployeeData[[#This Row],[MonthlyIncome]]&lt;6000,"3K-6K",IF(EmployeeData[[#This Row],[MonthlyIncome]]&lt;9000,"6K-9K",IF(EmployeeData[[#This Row],[MonthlyIncome]]&lt;12000,"9K-12K","12K+"))))</f>
        <v>9K-12K</v>
      </c>
    </row>
    <row r="953" spans="1:37" x14ac:dyDescent="0.3">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c r="AJ953" s="4" t="str">
        <f>IF(EmployeeData[[#This Row],[Age]]&lt;25,"Under 25",IF(EmployeeData[[#This Row],[Age]]&lt;35,"25-34",IF(EmployeeData[[#This Row],[Age]]&lt;45,"35-44",IF(EmployeeData[[#This Row],[Age]]&lt;55,"45-54","55+"))))</f>
        <v>35-44</v>
      </c>
      <c r="AK953" s="4" t="str">
        <f>IF(EmployeeData[[#This Row],[MonthlyIncome]]&lt;3000,"Below 3K",IF(EmployeeData[[#This Row],[MonthlyIncome]]&lt;6000,"3K-6K",IF(EmployeeData[[#This Row],[MonthlyIncome]]&lt;9000,"6K-9K",IF(EmployeeData[[#This Row],[MonthlyIncome]]&lt;12000,"9K-12K","12K+"))))</f>
        <v>6K-9K</v>
      </c>
    </row>
    <row r="954" spans="1:37" x14ac:dyDescent="0.3">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c r="AJ954" s="4" t="str">
        <f>IF(EmployeeData[[#This Row],[Age]]&lt;25,"Under 25",IF(EmployeeData[[#This Row],[Age]]&lt;35,"25-34",IF(EmployeeData[[#This Row],[Age]]&lt;45,"35-44",IF(EmployeeData[[#This Row],[Age]]&lt;55,"45-54","55+"))))</f>
        <v>25-34</v>
      </c>
      <c r="AK954" s="4" t="str">
        <f>IF(EmployeeData[[#This Row],[MonthlyIncome]]&lt;3000,"Below 3K",IF(EmployeeData[[#This Row],[MonthlyIncome]]&lt;6000,"3K-6K",IF(EmployeeData[[#This Row],[MonthlyIncome]]&lt;9000,"6K-9K",IF(EmployeeData[[#This Row],[MonthlyIncome]]&lt;12000,"9K-12K","12K+"))))</f>
        <v>Below 3K</v>
      </c>
    </row>
    <row r="955" spans="1:37" x14ac:dyDescent="0.3">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c r="AJ955" s="4" t="str">
        <f>IF(EmployeeData[[#This Row],[Age]]&lt;25,"Under 25",IF(EmployeeData[[#This Row],[Age]]&lt;35,"25-34",IF(EmployeeData[[#This Row],[Age]]&lt;45,"35-44",IF(EmployeeData[[#This Row],[Age]]&lt;55,"45-54","55+"))))</f>
        <v>35-44</v>
      </c>
      <c r="AK955" s="4" t="str">
        <f>IF(EmployeeData[[#This Row],[MonthlyIncome]]&lt;3000,"Below 3K",IF(EmployeeData[[#This Row],[MonthlyIncome]]&lt;6000,"3K-6K",IF(EmployeeData[[#This Row],[MonthlyIncome]]&lt;9000,"6K-9K",IF(EmployeeData[[#This Row],[MonthlyIncome]]&lt;12000,"9K-12K","12K+"))))</f>
        <v>Below 3K</v>
      </c>
    </row>
    <row r="956" spans="1:37" x14ac:dyDescent="0.3">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c r="AJ956" s="4" t="str">
        <f>IF(EmployeeData[[#This Row],[Age]]&lt;25,"Under 25",IF(EmployeeData[[#This Row],[Age]]&lt;35,"25-34",IF(EmployeeData[[#This Row],[Age]]&lt;45,"35-44",IF(EmployeeData[[#This Row],[Age]]&lt;55,"45-54","55+"))))</f>
        <v>35-44</v>
      </c>
      <c r="AK956" s="4" t="str">
        <f>IF(EmployeeData[[#This Row],[MonthlyIncome]]&lt;3000,"Below 3K",IF(EmployeeData[[#This Row],[MonthlyIncome]]&lt;6000,"3K-6K",IF(EmployeeData[[#This Row],[MonthlyIncome]]&lt;9000,"6K-9K",IF(EmployeeData[[#This Row],[MonthlyIncome]]&lt;12000,"9K-12K","12K+"))))</f>
        <v>12K+</v>
      </c>
    </row>
    <row r="957" spans="1:37" x14ac:dyDescent="0.3">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c r="AJ957" s="4" t="str">
        <f>IF(EmployeeData[[#This Row],[Age]]&lt;25,"Under 25",IF(EmployeeData[[#This Row],[Age]]&lt;35,"25-34",IF(EmployeeData[[#This Row],[Age]]&lt;45,"35-44",IF(EmployeeData[[#This Row],[Age]]&lt;55,"45-54","55+"))))</f>
        <v>55+</v>
      </c>
      <c r="AK957" s="4" t="str">
        <f>IF(EmployeeData[[#This Row],[MonthlyIncome]]&lt;3000,"Below 3K",IF(EmployeeData[[#This Row],[MonthlyIncome]]&lt;6000,"3K-6K",IF(EmployeeData[[#This Row],[MonthlyIncome]]&lt;9000,"6K-9K",IF(EmployeeData[[#This Row],[MonthlyIncome]]&lt;12000,"9K-12K","12K+"))))</f>
        <v>12K+</v>
      </c>
    </row>
    <row r="958" spans="1:37" x14ac:dyDescent="0.3">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c r="AJ958" s="4" t="str">
        <f>IF(EmployeeData[[#This Row],[Age]]&lt;25,"Under 25",IF(EmployeeData[[#This Row],[Age]]&lt;35,"25-34",IF(EmployeeData[[#This Row],[Age]]&lt;45,"35-44",IF(EmployeeData[[#This Row],[Age]]&lt;55,"45-54","55+"))))</f>
        <v>55+</v>
      </c>
      <c r="AK958" s="4" t="str">
        <f>IF(EmployeeData[[#This Row],[MonthlyIncome]]&lt;3000,"Below 3K",IF(EmployeeData[[#This Row],[MonthlyIncome]]&lt;6000,"3K-6K",IF(EmployeeData[[#This Row],[MonthlyIncome]]&lt;9000,"6K-9K",IF(EmployeeData[[#This Row],[MonthlyIncome]]&lt;12000,"9K-12K","12K+"))))</f>
        <v>12K+</v>
      </c>
    </row>
    <row r="959" spans="1:37" x14ac:dyDescent="0.3">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c r="AJ959" s="4" t="str">
        <f>IF(EmployeeData[[#This Row],[Age]]&lt;25,"Under 25",IF(EmployeeData[[#This Row],[Age]]&lt;35,"25-34",IF(EmployeeData[[#This Row],[Age]]&lt;45,"35-44",IF(EmployeeData[[#This Row],[Age]]&lt;55,"45-54","55+"))))</f>
        <v>35-44</v>
      </c>
      <c r="AK959" s="4" t="str">
        <f>IF(EmployeeData[[#This Row],[MonthlyIncome]]&lt;3000,"Below 3K",IF(EmployeeData[[#This Row],[MonthlyIncome]]&lt;6000,"3K-6K",IF(EmployeeData[[#This Row],[MonthlyIncome]]&lt;9000,"6K-9K",IF(EmployeeData[[#This Row],[MonthlyIncome]]&lt;12000,"9K-12K","12K+"))))</f>
        <v>3K-6K</v>
      </c>
    </row>
    <row r="960" spans="1:37" x14ac:dyDescent="0.3">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c r="AJ960" s="4" t="str">
        <f>IF(EmployeeData[[#This Row],[Age]]&lt;25,"Under 25",IF(EmployeeData[[#This Row],[Age]]&lt;35,"25-34",IF(EmployeeData[[#This Row],[Age]]&lt;45,"35-44",IF(EmployeeData[[#This Row],[Age]]&lt;55,"45-54","55+"))))</f>
        <v>25-34</v>
      </c>
      <c r="AK960" s="4" t="str">
        <f>IF(EmployeeData[[#This Row],[MonthlyIncome]]&lt;3000,"Below 3K",IF(EmployeeData[[#This Row],[MonthlyIncome]]&lt;6000,"3K-6K",IF(EmployeeData[[#This Row],[MonthlyIncome]]&lt;9000,"6K-9K",IF(EmployeeData[[#This Row],[MonthlyIncome]]&lt;12000,"9K-12K","12K+"))))</f>
        <v>6K-9K</v>
      </c>
    </row>
    <row r="961" spans="1:37" x14ac:dyDescent="0.3">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c r="AJ961" s="4" t="str">
        <f>IF(EmployeeData[[#This Row],[Age]]&lt;25,"Under 25",IF(EmployeeData[[#This Row],[Age]]&lt;35,"25-34",IF(EmployeeData[[#This Row],[Age]]&lt;45,"35-44",IF(EmployeeData[[#This Row],[Age]]&lt;55,"45-54","55+"))))</f>
        <v>35-44</v>
      </c>
      <c r="AK961" s="4" t="str">
        <f>IF(EmployeeData[[#This Row],[MonthlyIncome]]&lt;3000,"Below 3K",IF(EmployeeData[[#This Row],[MonthlyIncome]]&lt;6000,"3K-6K",IF(EmployeeData[[#This Row],[MonthlyIncome]]&lt;9000,"6K-9K",IF(EmployeeData[[#This Row],[MonthlyIncome]]&lt;12000,"9K-12K","12K+"))))</f>
        <v>3K-6K</v>
      </c>
    </row>
    <row r="962" spans="1:37" x14ac:dyDescent="0.3">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c r="AJ962" s="4" t="str">
        <f>IF(EmployeeData[[#This Row],[Age]]&lt;25,"Under 25",IF(EmployeeData[[#This Row],[Age]]&lt;35,"25-34",IF(EmployeeData[[#This Row],[Age]]&lt;45,"35-44",IF(EmployeeData[[#This Row],[Age]]&lt;55,"45-54","55+"))))</f>
        <v>35-44</v>
      </c>
      <c r="AK962" s="4" t="str">
        <f>IF(EmployeeData[[#This Row],[MonthlyIncome]]&lt;3000,"Below 3K",IF(EmployeeData[[#This Row],[MonthlyIncome]]&lt;6000,"3K-6K",IF(EmployeeData[[#This Row],[MonthlyIncome]]&lt;9000,"6K-9K",IF(EmployeeData[[#This Row],[MonthlyIncome]]&lt;12000,"9K-12K","12K+"))))</f>
        <v>3K-6K</v>
      </c>
    </row>
    <row r="963" spans="1:37" x14ac:dyDescent="0.3">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c r="AJ963" s="4" t="str">
        <f>IF(EmployeeData[[#This Row],[Age]]&lt;25,"Under 25",IF(EmployeeData[[#This Row],[Age]]&lt;35,"25-34",IF(EmployeeData[[#This Row],[Age]]&lt;45,"35-44",IF(EmployeeData[[#This Row],[Age]]&lt;55,"45-54","55+"))))</f>
        <v>35-44</v>
      </c>
      <c r="AK963" s="4" t="str">
        <f>IF(EmployeeData[[#This Row],[MonthlyIncome]]&lt;3000,"Below 3K",IF(EmployeeData[[#This Row],[MonthlyIncome]]&lt;6000,"3K-6K",IF(EmployeeData[[#This Row],[MonthlyIncome]]&lt;9000,"6K-9K",IF(EmployeeData[[#This Row],[MonthlyIncome]]&lt;12000,"9K-12K","12K+"))))</f>
        <v>3K-6K</v>
      </c>
    </row>
    <row r="964" spans="1:37" x14ac:dyDescent="0.3">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c r="AJ964" s="4" t="str">
        <f>IF(EmployeeData[[#This Row],[Age]]&lt;25,"Under 25",IF(EmployeeData[[#This Row],[Age]]&lt;35,"25-34",IF(EmployeeData[[#This Row],[Age]]&lt;45,"35-44",IF(EmployeeData[[#This Row],[Age]]&lt;55,"45-54","55+"))))</f>
        <v>45-54</v>
      </c>
      <c r="AK964" s="4" t="str">
        <f>IF(EmployeeData[[#This Row],[MonthlyIncome]]&lt;3000,"Below 3K",IF(EmployeeData[[#This Row],[MonthlyIncome]]&lt;6000,"3K-6K",IF(EmployeeData[[#This Row],[MonthlyIncome]]&lt;9000,"6K-9K",IF(EmployeeData[[#This Row],[MonthlyIncome]]&lt;12000,"9K-12K","12K+"))))</f>
        <v>12K+</v>
      </c>
    </row>
    <row r="965" spans="1:37" x14ac:dyDescent="0.3">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c r="AJ965" s="4" t="str">
        <f>IF(EmployeeData[[#This Row],[Age]]&lt;25,"Under 25",IF(EmployeeData[[#This Row],[Age]]&lt;35,"25-34",IF(EmployeeData[[#This Row],[Age]]&lt;45,"35-44",IF(EmployeeData[[#This Row],[Age]]&lt;55,"45-54","55+"))))</f>
        <v>35-44</v>
      </c>
      <c r="AK965" s="4" t="str">
        <f>IF(EmployeeData[[#This Row],[MonthlyIncome]]&lt;3000,"Below 3K",IF(EmployeeData[[#This Row],[MonthlyIncome]]&lt;6000,"3K-6K",IF(EmployeeData[[#This Row],[MonthlyIncome]]&lt;9000,"6K-9K",IF(EmployeeData[[#This Row],[MonthlyIncome]]&lt;12000,"9K-12K","12K+"))))</f>
        <v>6K-9K</v>
      </c>
    </row>
    <row r="966" spans="1:37" x14ac:dyDescent="0.3">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c r="AJ966" s="4" t="str">
        <f>IF(EmployeeData[[#This Row],[Age]]&lt;25,"Under 25",IF(EmployeeData[[#This Row],[Age]]&lt;35,"25-34",IF(EmployeeData[[#This Row],[Age]]&lt;45,"35-44",IF(EmployeeData[[#This Row],[Age]]&lt;55,"45-54","55+"))))</f>
        <v>25-34</v>
      </c>
      <c r="AK966" s="4" t="str">
        <f>IF(EmployeeData[[#This Row],[MonthlyIncome]]&lt;3000,"Below 3K",IF(EmployeeData[[#This Row],[MonthlyIncome]]&lt;6000,"3K-6K",IF(EmployeeData[[#This Row],[MonthlyIncome]]&lt;9000,"6K-9K",IF(EmployeeData[[#This Row],[MonthlyIncome]]&lt;12000,"9K-12K","12K+"))))</f>
        <v>6K-9K</v>
      </c>
    </row>
    <row r="967" spans="1:37" x14ac:dyDescent="0.3">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c r="AJ967" s="4" t="str">
        <f>IF(EmployeeData[[#This Row],[Age]]&lt;25,"Under 25",IF(EmployeeData[[#This Row],[Age]]&lt;35,"25-34",IF(EmployeeData[[#This Row],[Age]]&lt;45,"35-44",IF(EmployeeData[[#This Row],[Age]]&lt;55,"45-54","55+"))))</f>
        <v>25-34</v>
      </c>
      <c r="AK967" s="4" t="str">
        <f>IF(EmployeeData[[#This Row],[MonthlyIncome]]&lt;3000,"Below 3K",IF(EmployeeData[[#This Row],[MonthlyIncome]]&lt;6000,"3K-6K",IF(EmployeeData[[#This Row],[MonthlyIncome]]&lt;9000,"6K-9K",IF(EmployeeData[[#This Row],[MonthlyIncome]]&lt;12000,"9K-12K","12K+"))))</f>
        <v>3K-6K</v>
      </c>
    </row>
    <row r="968" spans="1:37" x14ac:dyDescent="0.3">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c r="AJ968" s="4" t="str">
        <f>IF(EmployeeData[[#This Row],[Age]]&lt;25,"Under 25",IF(EmployeeData[[#This Row],[Age]]&lt;35,"25-34",IF(EmployeeData[[#This Row],[Age]]&lt;45,"35-44",IF(EmployeeData[[#This Row],[Age]]&lt;55,"45-54","55+"))))</f>
        <v>55+</v>
      </c>
      <c r="AK968" s="4" t="str">
        <f>IF(EmployeeData[[#This Row],[MonthlyIncome]]&lt;3000,"Below 3K",IF(EmployeeData[[#This Row],[MonthlyIncome]]&lt;6000,"3K-6K",IF(EmployeeData[[#This Row],[MonthlyIncome]]&lt;9000,"6K-9K",IF(EmployeeData[[#This Row],[MonthlyIncome]]&lt;12000,"9K-12K","12K+"))))</f>
        <v>9K-12K</v>
      </c>
    </row>
    <row r="969" spans="1:37" x14ac:dyDescent="0.3">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c r="AJ969" s="4" t="str">
        <f>IF(EmployeeData[[#This Row],[Age]]&lt;25,"Under 25",IF(EmployeeData[[#This Row],[Age]]&lt;35,"25-34",IF(EmployeeData[[#This Row],[Age]]&lt;45,"35-44",IF(EmployeeData[[#This Row],[Age]]&lt;55,"45-54","55+"))))</f>
        <v>35-44</v>
      </c>
      <c r="AK969" s="4" t="str">
        <f>IF(EmployeeData[[#This Row],[MonthlyIncome]]&lt;3000,"Below 3K",IF(EmployeeData[[#This Row],[MonthlyIncome]]&lt;6000,"3K-6K",IF(EmployeeData[[#This Row],[MonthlyIncome]]&lt;9000,"6K-9K",IF(EmployeeData[[#This Row],[MonthlyIncome]]&lt;12000,"9K-12K","12K+"))))</f>
        <v>Below 3K</v>
      </c>
    </row>
    <row r="970" spans="1:37" x14ac:dyDescent="0.3">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c r="AJ970" s="4" t="str">
        <f>IF(EmployeeData[[#This Row],[Age]]&lt;25,"Under 25",IF(EmployeeData[[#This Row],[Age]]&lt;35,"25-34",IF(EmployeeData[[#This Row],[Age]]&lt;45,"35-44",IF(EmployeeData[[#This Row],[Age]]&lt;55,"45-54","55+"))))</f>
        <v>35-44</v>
      </c>
      <c r="AK970" s="4" t="str">
        <f>IF(EmployeeData[[#This Row],[MonthlyIncome]]&lt;3000,"Below 3K",IF(EmployeeData[[#This Row],[MonthlyIncome]]&lt;6000,"3K-6K",IF(EmployeeData[[#This Row],[MonthlyIncome]]&lt;9000,"6K-9K",IF(EmployeeData[[#This Row],[MonthlyIncome]]&lt;12000,"9K-12K","12K+"))))</f>
        <v>3K-6K</v>
      </c>
    </row>
    <row r="971" spans="1:37" x14ac:dyDescent="0.3">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c r="AJ971" s="4" t="str">
        <f>IF(EmployeeData[[#This Row],[Age]]&lt;25,"Under 25",IF(EmployeeData[[#This Row],[Age]]&lt;35,"25-34",IF(EmployeeData[[#This Row],[Age]]&lt;45,"35-44",IF(EmployeeData[[#This Row],[Age]]&lt;55,"45-54","55+"))))</f>
        <v>45-54</v>
      </c>
      <c r="AK971" s="4" t="str">
        <f>IF(EmployeeData[[#This Row],[MonthlyIncome]]&lt;3000,"Below 3K",IF(EmployeeData[[#This Row],[MonthlyIncome]]&lt;6000,"3K-6K",IF(EmployeeData[[#This Row],[MonthlyIncome]]&lt;9000,"6K-9K",IF(EmployeeData[[#This Row],[MonthlyIncome]]&lt;12000,"9K-12K","12K+"))))</f>
        <v>6K-9K</v>
      </c>
    </row>
    <row r="972" spans="1:37" x14ac:dyDescent="0.3">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c r="AJ972" s="4" t="str">
        <f>IF(EmployeeData[[#This Row],[Age]]&lt;25,"Under 25",IF(EmployeeData[[#This Row],[Age]]&lt;35,"25-34",IF(EmployeeData[[#This Row],[Age]]&lt;45,"35-44",IF(EmployeeData[[#This Row],[Age]]&lt;55,"45-54","55+"))))</f>
        <v>25-34</v>
      </c>
      <c r="AK972" s="4" t="str">
        <f>IF(EmployeeData[[#This Row],[MonthlyIncome]]&lt;3000,"Below 3K",IF(EmployeeData[[#This Row],[MonthlyIncome]]&lt;6000,"3K-6K",IF(EmployeeData[[#This Row],[MonthlyIncome]]&lt;9000,"6K-9K",IF(EmployeeData[[#This Row],[MonthlyIncome]]&lt;12000,"9K-12K","12K+"))))</f>
        <v>Below 3K</v>
      </c>
    </row>
    <row r="973" spans="1:37" x14ac:dyDescent="0.3">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c r="AJ973" s="4" t="str">
        <f>IF(EmployeeData[[#This Row],[Age]]&lt;25,"Under 25",IF(EmployeeData[[#This Row],[Age]]&lt;35,"25-34",IF(EmployeeData[[#This Row],[Age]]&lt;45,"35-44",IF(EmployeeData[[#This Row],[Age]]&lt;55,"45-54","55+"))))</f>
        <v>45-54</v>
      </c>
      <c r="AK973" s="4" t="str">
        <f>IF(EmployeeData[[#This Row],[MonthlyIncome]]&lt;3000,"Below 3K",IF(EmployeeData[[#This Row],[MonthlyIncome]]&lt;6000,"3K-6K",IF(EmployeeData[[#This Row],[MonthlyIncome]]&lt;9000,"6K-9K",IF(EmployeeData[[#This Row],[MonthlyIncome]]&lt;12000,"9K-12K","12K+"))))</f>
        <v>12K+</v>
      </c>
    </row>
    <row r="974" spans="1:37" x14ac:dyDescent="0.3">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c r="AJ974" s="4" t="str">
        <f>IF(EmployeeData[[#This Row],[Age]]&lt;25,"Under 25",IF(EmployeeData[[#This Row],[Age]]&lt;35,"25-34",IF(EmployeeData[[#This Row],[Age]]&lt;45,"35-44",IF(EmployeeData[[#This Row],[Age]]&lt;55,"45-54","55+"))))</f>
        <v>Under 25</v>
      </c>
      <c r="AK974" s="4" t="str">
        <f>IF(EmployeeData[[#This Row],[MonthlyIncome]]&lt;3000,"Below 3K",IF(EmployeeData[[#This Row],[MonthlyIncome]]&lt;6000,"3K-6K",IF(EmployeeData[[#This Row],[MonthlyIncome]]&lt;9000,"6K-9K",IF(EmployeeData[[#This Row],[MonthlyIncome]]&lt;12000,"9K-12K","12K+"))))</f>
        <v>Below 3K</v>
      </c>
    </row>
    <row r="975" spans="1:37" x14ac:dyDescent="0.3">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c r="AJ975" s="4" t="str">
        <f>IF(EmployeeData[[#This Row],[Age]]&lt;25,"Under 25",IF(EmployeeData[[#This Row],[Age]]&lt;35,"25-34",IF(EmployeeData[[#This Row],[Age]]&lt;45,"35-44",IF(EmployeeData[[#This Row],[Age]]&lt;55,"45-54","55+"))))</f>
        <v>35-44</v>
      </c>
      <c r="AK975" s="4" t="str">
        <f>IF(EmployeeData[[#This Row],[MonthlyIncome]]&lt;3000,"Below 3K",IF(EmployeeData[[#This Row],[MonthlyIncome]]&lt;6000,"3K-6K",IF(EmployeeData[[#This Row],[MonthlyIncome]]&lt;9000,"6K-9K",IF(EmployeeData[[#This Row],[MonthlyIncome]]&lt;12000,"9K-12K","12K+"))))</f>
        <v>3K-6K</v>
      </c>
    </row>
    <row r="976" spans="1:37" x14ac:dyDescent="0.3">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c r="AJ976" s="4" t="str">
        <f>IF(EmployeeData[[#This Row],[Age]]&lt;25,"Under 25",IF(EmployeeData[[#This Row],[Age]]&lt;35,"25-34",IF(EmployeeData[[#This Row],[Age]]&lt;45,"35-44",IF(EmployeeData[[#This Row],[Age]]&lt;55,"45-54","55+"))))</f>
        <v>25-34</v>
      </c>
      <c r="AK976" s="4" t="str">
        <f>IF(EmployeeData[[#This Row],[MonthlyIncome]]&lt;3000,"Below 3K",IF(EmployeeData[[#This Row],[MonthlyIncome]]&lt;6000,"3K-6K",IF(EmployeeData[[#This Row],[MonthlyIncome]]&lt;9000,"6K-9K",IF(EmployeeData[[#This Row],[MonthlyIncome]]&lt;12000,"9K-12K","12K+"))))</f>
        <v>3K-6K</v>
      </c>
    </row>
    <row r="977" spans="1:37" x14ac:dyDescent="0.3">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c r="AJ977" s="4" t="str">
        <f>IF(EmployeeData[[#This Row],[Age]]&lt;25,"Under 25",IF(EmployeeData[[#This Row],[Age]]&lt;35,"25-34",IF(EmployeeData[[#This Row],[Age]]&lt;45,"35-44",IF(EmployeeData[[#This Row],[Age]]&lt;55,"45-54","55+"))))</f>
        <v>55+</v>
      </c>
      <c r="AK977" s="4" t="str">
        <f>IF(EmployeeData[[#This Row],[MonthlyIncome]]&lt;3000,"Below 3K",IF(EmployeeData[[#This Row],[MonthlyIncome]]&lt;6000,"3K-6K",IF(EmployeeData[[#This Row],[MonthlyIncome]]&lt;9000,"6K-9K",IF(EmployeeData[[#This Row],[MonthlyIncome]]&lt;12000,"9K-12K","12K+"))))</f>
        <v>12K+</v>
      </c>
    </row>
    <row r="978" spans="1:37" x14ac:dyDescent="0.3">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c r="AJ978" s="4" t="str">
        <f>IF(EmployeeData[[#This Row],[Age]]&lt;25,"Under 25",IF(EmployeeData[[#This Row],[Age]]&lt;35,"25-34",IF(EmployeeData[[#This Row],[Age]]&lt;45,"35-44",IF(EmployeeData[[#This Row],[Age]]&lt;55,"45-54","55+"))))</f>
        <v>55+</v>
      </c>
      <c r="AK978" s="4" t="str">
        <f>IF(EmployeeData[[#This Row],[MonthlyIncome]]&lt;3000,"Below 3K",IF(EmployeeData[[#This Row],[MonthlyIncome]]&lt;6000,"3K-6K",IF(EmployeeData[[#This Row],[MonthlyIncome]]&lt;9000,"6K-9K",IF(EmployeeData[[#This Row],[MonthlyIncome]]&lt;12000,"9K-12K","12K+"))))</f>
        <v>12K+</v>
      </c>
    </row>
    <row r="979" spans="1:37" x14ac:dyDescent="0.3">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c r="AJ979" s="4" t="str">
        <f>IF(EmployeeData[[#This Row],[Age]]&lt;25,"Under 25",IF(EmployeeData[[#This Row],[Age]]&lt;35,"25-34",IF(EmployeeData[[#This Row],[Age]]&lt;45,"35-44",IF(EmployeeData[[#This Row],[Age]]&lt;55,"45-54","55+"))))</f>
        <v>25-34</v>
      </c>
      <c r="AK979" s="4" t="str">
        <f>IF(EmployeeData[[#This Row],[MonthlyIncome]]&lt;3000,"Below 3K",IF(EmployeeData[[#This Row],[MonthlyIncome]]&lt;6000,"3K-6K",IF(EmployeeData[[#This Row],[MonthlyIncome]]&lt;9000,"6K-9K",IF(EmployeeData[[#This Row],[MonthlyIncome]]&lt;12000,"9K-12K","12K+"))))</f>
        <v>Below 3K</v>
      </c>
    </row>
    <row r="980" spans="1:37" x14ac:dyDescent="0.3">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c r="AJ980" s="4" t="str">
        <f>IF(EmployeeData[[#This Row],[Age]]&lt;25,"Under 25",IF(EmployeeData[[#This Row],[Age]]&lt;35,"25-34",IF(EmployeeData[[#This Row],[Age]]&lt;45,"35-44",IF(EmployeeData[[#This Row],[Age]]&lt;55,"45-54","55+"))))</f>
        <v>35-44</v>
      </c>
      <c r="AK980" s="4" t="str">
        <f>IF(EmployeeData[[#This Row],[MonthlyIncome]]&lt;3000,"Below 3K",IF(EmployeeData[[#This Row],[MonthlyIncome]]&lt;6000,"3K-6K",IF(EmployeeData[[#This Row],[MonthlyIncome]]&lt;9000,"6K-9K",IF(EmployeeData[[#This Row],[MonthlyIncome]]&lt;12000,"9K-12K","12K+"))))</f>
        <v>6K-9K</v>
      </c>
    </row>
    <row r="981" spans="1:37" x14ac:dyDescent="0.3">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c r="AJ981" s="4" t="str">
        <f>IF(EmployeeData[[#This Row],[Age]]&lt;25,"Under 25",IF(EmployeeData[[#This Row],[Age]]&lt;35,"25-34",IF(EmployeeData[[#This Row],[Age]]&lt;45,"35-44",IF(EmployeeData[[#This Row],[Age]]&lt;55,"45-54","55+"))))</f>
        <v>25-34</v>
      </c>
      <c r="AK981" s="4" t="str">
        <f>IF(EmployeeData[[#This Row],[MonthlyIncome]]&lt;3000,"Below 3K",IF(EmployeeData[[#This Row],[MonthlyIncome]]&lt;6000,"3K-6K",IF(EmployeeData[[#This Row],[MonthlyIncome]]&lt;9000,"6K-9K",IF(EmployeeData[[#This Row],[MonthlyIncome]]&lt;12000,"9K-12K","12K+"))))</f>
        <v>3K-6K</v>
      </c>
    </row>
    <row r="982" spans="1:37" x14ac:dyDescent="0.3">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c r="AJ982" s="4" t="str">
        <f>IF(EmployeeData[[#This Row],[Age]]&lt;25,"Under 25",IF(EmployeeData[[#This Row],[Age]]&lt;35,"25-34",IF(EmployeeData[[#This Row],[Age]]&lt;45,"35-44",IF(EmployeeData[[#This Row],[Age]]&lt;55,"45-54","55+"))))</f>
        <v>25-34</v>
      </c>
      <c r="AK982" s="4" t="str">
        <f>IF(EmployeeData[[#This Row],[MonthlyIncome]]&lt;3000,"Below 3K",IF(EmployeeData[[#This Row],[MonthlyIncome]]&lt;6000,"3K-6K",IF(EmployeeData[[#This Row],[MonthlyIncome]]&lt;9000,"6K-9K",IF(EmployeeData[[#This Row],[MonthlyIncome]]&lt;12000,"9K-12K","12K+"))))</f>
        <v>Below 3K</v>
      </c>
    </row>
    <row r="983" spans="1:37" x14ac:dyDescent="0.3">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c r="AJ983" s="4" t="str">
        <f>IF(EmployeeData[[#This Row],[Age]]&lt;25,"Under 25",IF(EmployeeData[[#This Row],[Age]]&lt;35,"25-34",IF(EmployeeData[[#This Row],[Age]]&lt;45,"35-44",IF(EmployeeData[[#This Row],[Age]]&lt;55,"45-54","55+"))))</f>
        <v>35-44</v>
      </c>
      <c r="AK983" s="4" t="str">
        <f>IF(EmployeeData[[#This Row],[MonthlyIncome]]&lt;3000,"Below 3K",IF(EmployeeData[[#This Row],[MonthlyIncome]]&lt;6000,"3K-6K",IF(EmployeeData[[#This Row],[MonthlyIncome]]&lt;9000,"6K-9K",IF(EmployeeData[[#This Row],[MonthlyIncome]]&lt;12000,"9K-12K","12K+"))))</f>
        <v>3K-6K</v>
      </c>
    </row>
    <row r="984" spans="1:37" x14ac:dyDescent="0.3">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c r="AJ984" s="4" t="str">
        <f>IF(EmployeeData[[#This Row],[Age]]&lt;25,"Under 25",IF(EmployeeData[[#This Row],[Age]]&lt;35,"25-34",IF(EmployeeData[[#This Row],[Age]]&lt;45,"35-44",IF(EmployeeData[[#This Row],[Age]]&lt;55,"45-54","55+"))))</f>
        <v>35-44</v>
      </c>
      <c r="AK984" s="4" t="str">
        <f>IF(EmployeeData[[#This Row],[MonthlyIncome]]&lt;3000,"Below 3K",IF(EmployeeData[[#This Row],[MonthlyIncome]]&lt;6000,"3K-6K",IF(EmployeeData[[#This Row],[MonthlyIncome]]&lt;9000,"6K-9K",IF(EmployeeData[[#This Row],[MonthlyIncome]]&lt;12000,"9K-12K","12K+"))))</f>
        <v>Below 3K</v>
      </c>
    </row>
    <row r="985" spans="1:37" x14ac:dyDescent="0.3">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c r="AJ985" s="4" t="str">
        <f>IF(EmployeeData[[#This Row],[Age]]&lt;25,"Under 25",IF(EmployeeData[[#This Row],[Age]]&lt;35,"25-34",IF(EmployeeData[[#This Row],[Age]]&lt;45,"35-44",IF(EmployeeData[[#This Row],[Age]]&lt;55,"45-54","55+"))))</f>
        <v>25-34</v>
      </c>
      <c r="AK985" s="4" t="str">
        <f>IF(EmployeeData[[#This Row],[MonthlyIncome]]&lt;3000,"Below 3K",IF(EmployeeData[[#This Row],[MonthlyIncome]]&lt;6000,"3K-6K",IF(EmployeeData[[#This Row],[MonthlyIncome]]&lt;9000,"6K-9K",IF(EmployeeData[[#This Row],[MonthlyIncome]]&lt;12000,"9K-12K","12K+"))))</f>
        <v>6K-9K</v>
      </c>
    </row>
    <row r="986" spans="1:37" x14ac:dyDescent="0.3">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c r="AJ986" s="4" t="str">
        <f>IF(EmployeeData[[#This Row],[Age]]&lt;25,"Under 25",IF(EmployeeData[[#This Row],[Age]]&lt;35,"25-34",IF(EmployeeData[[#This Row],[Age]]&lt;45,"35-44",IF(EmployeeData[[#This Row],[Age]]&lt;55,"45-54","55+"))))</f>
        <v>25-34</v>
      </c>
      <c r="AK986" s="4" t="str">
        <f>IF(EmployeeData[[#This Row],[MonthlyIncome]]&lt;3000,"Below 3K",IF(EmployeeData[[#This Row],[MonthlyIncome]]&lt;6000,"3K-6K",IF(EmployeeData[[#This Row],[MonthlyIncome]]&lt;9000,"6K-9K",IF(EmployeeData[[#This Row],[MonthlyIncome]]&lt;12000,"9K-12K","12K+"))))</f>
        <v>3K-6K</v>
      </c>
    </row>
    <row r="987" spans="1:37" x14ac:dyDescent="0.3">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c r="AJ987" s="4" t="str">
        <f>IF(EmployeeData[[#This Row],[Age]]&lt;25,"Under 25",IF(EmployeeData[[#This Row],[Age]]&lt;35,"25-34",IF(EmployeeData[[#This Row],[Age]]&lt;45,"35-44",IF(EmployeeData[[#This Row],[Age]]&lt;55,"45-54","55+"))))</f>
        <v>25-34</v>
      </c>
      <c r="AK987" s="4" t="str">
        <f>IF(EmployeeData[[#This Row],[MonthlyIncome]]&lt;3000,"Below 3K",IF(EmployeeData[[#This Row],[MonthlyIncome]]&lt;6000,"3K-6K",IF(EmployeeData[[#This Row],[MonthlyIncome]]&lt;9000,"6K-9K",IF(EmployeeData[[#This Row],[MonthlyIncome]]&lt;12000,"9K-12K","12K+"))))</f>
        <v>6K-9K</v>
      </c>
    </row>
    <row r="988" spans="1:37" x14ac:dyDescent="0.3">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c r="AJ988" s="4" t="str">
        <f>IF(EmployeeData[[#This Row],[Age]]&lt;25,"Under 25",IF(EmployeeData[[#This Row],[Age]]&lt;35,"25-34",IF(EmployeeData[[#This Row],[Age]]&lt;45,"35-44",IF(EmployeeData[[#This Row],[Age]]&lt;55,"45-54","55+"))))</f>
        <v>35-44</v>
      </c>
      <c r="AK988" s="4" t="str">
        <f>IF(EmployeeData[[#This Row],[MonthlyIncome]]&lt;3000,"Below 3K",IF(EmployeeData[[#This Row],[MonthlyIncome]]&lt;6000,"3K-6K",IF(EmployeeData[[#This Row],[MonthlyIncome]]&lt;9000,"6K-9K",IF(EmployeeData[[#This Row],[MonthlyIncome]]&lt;12000,"9K-12K","12K+"))))</f>
        <v>6K-9K</v>
      </c>
    </row>
    <row r="989" spans="1:37" x14ac:dyDescent="0.3">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c r="AJ989" s="4" t="str">
        <f>IF(EmployeeData[[#This Row],[Age]]&lt;25,"Under 25",IF(EmployeeData[[#This Row],[Age]]&lt;35,"25-34",IF(EmployeeData[[#This Row],[Age]]&lt;45,"35-44",IF(EmployeeData[[#This Row],[Age]]&lt;55,"45-54","55+"))))</f>
        <v>45-54</v>
      </c>
      <c r="AK989" s="4" t="str">
        <f>IF(EmployeeData[[#This Row],[MonthlyIncome]]&lt;3000,"Below 3K",IF(EmployeeData[[#This Row],[MonthlyIncome]]&lt;6000,"3K-6K",IF(EmployeeData[[#This Row],[MonthlyIncome]]&lt;9000,"6K-9K",IF(EmployeeData[[#This Row],[MonthlyIncome]]&lt;12000,"9K-12K","12K+"))))</f>
        <v>9K-12K</v>
      </c>
    </row>
    <row r="990" spans="1:37" x14ac:dyDescent="0.3">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c r="AJ990" s="4" t="str">
        <f>IF(EmployeeData[[#This Row],[Age]]&lt;25,"Under 25",IF(EmployeeData[[#This Row],[Age]]&lt;35,"25-34",IF(EmployeeData[[#This Row],[Age]]&lt;45,"35-44",IF(EmployeeData[[#This Row],[Age]]&lt;55,"45-54","55+"))))</f>
        <v>35-44</v>
      </c>
      <c r="AK990" s="4" t="str">
        <f>IF(EmployeeData[[#This Row],[MonthlyIncome]]&lt;3000,"Below 3K",IF(EmployeeData[[#This Row],[MonthlyIncome]]&lt;6000,"3K-6K",IF(EmployeeData[[#This Row],[MonthlyIncome]]&lt;9000,"6K-9K",IF(EmployeeData[[#This Row],[MonthlyIncome]]&lt;12000,"9K-12K","12K+"))))</f>
        <v>3K-6K</v>
      </c>
    </row>
    <row r="991" spans="1:37" x14ac:dyDescent="0.3">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c r="AJ991" s="4" t="str">
        <f>IF(EmployeeData[[#This Row],[Age]]&lt;25,"Under 25",IF(EmployeeData[[#This Row],[Age]]&lt;35,"25-34",IF(EmployeeData[[#This Row],[Age]]&lt;45,"35-44",IF(EmployeeData[[#This Row],[Age]]&lt;55,"45-54","55+"))))</f>
        <v>35-44</v>
      </c>
      <c r="AK991" s="4" t="str">
        <f>IF(EmployeeData[[#This Row],[MonthlyIncome]]&lt;3000,"Below 3K",IF(EmployeeData[[#This Row],[MonthlyIncome]]&lt;6000,"3K-6K",IF(EmployeeData[[#This Row],[MonthlyIncome]]&lt;9000,"6K-9K",IF(EmployeeData[[#This Row],[MonthlyIncome]]&lt;12000,"9K-12K","12K+"))))</f>
        <v>Below 3K</v>
      </c>
    </row>
    <row r="992" spans="1:37" x14ac:dyDescent="0.3">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c r="AJ992" s="4" t="str">
        <f>IF(EmployeeData[[#This Row],[Age]]&lt;25,"Under 25",IF(EmployeeData[[#This Row],[Age]]&lt;35,"25-34",IF(EmployeeData[[#This Row],[Age]]&lt;45,"35-44",IF(EmployeeData[[#This Row],[Age]]&lt;55,"45-54","55+"))))</f>
        <v>25-34</v>
      </c>
      <c r="AK992" s="4" t="str">
        <f>IF(EmployeeData[[#This Row],[MonthlyIncome]]&lt;3000,"Below 3K",IF(EmployeeData[[#This Row],[MonthlyIncome]]&lt;6000,"3K-6K",IF(EmployeeData[[#This Row],[MonthlyIncome]]&lt;9000,"6K-9K",IF(EmployeeData[[#This Row],[MonthlyIncome]]&lt;12000,"9K-12K","12K+"))))</f>
        <v>9K-12K</v>
      </c>
    </row>
    <row r="993" spans="1:37" x14ac:dyDescent="0.3">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c r="AJ993" s="4" t="str">
        <f>IF(EmployeeData[[#This Row],[Age]]&lt;25,"Under 25",IF(EmployeeData[[#This Row],[Age]]&lt;35,"25-34",IF(EmployeeData[[#This Row],[Age]]&lt;45,"35-44",IF(EmployeeData[[#This Row],[Age]]&lt;55,"45-54","55+"))))</f>
        <v>25-34</v>
      </c>
      <c r="AK993" s="4" t="str">
        <f>IF(EmployeeData[[#This Row],[MonthlyIncome]]&lt;3000,"Below 3K",IF(EmployeeData[[#This Row],[MonthlyIncome]]&lt;6000,"3K-6K",IF(EmployeeData[[#This Row],[MonthlyIncome]]&lt;9000,"6K-9K",IF(EmployeeData[[#This Row],[MonthlyIncome]]&lt;12000,"9K-12K","12K+"))))</f>
        <v>3K-6K</v>
      </c>
    </row>
    <row r="994" spans="1:37" x14ac:dyDescent="0.3">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c r="AJ994" s="4" t="str">
        <f>IF(EmployeeData[[#This Row],[Age]]&lt;25,"Under 25",IF(EmployeeData[[#This Row],[Age]]&lt;35,"25-34",IF(EmployeeData[[#This Row],[Age]]&lt;45,"35-44",IF(EmployeeData[[#This Row],[Age]]&lt;55,"45-54","55+"))))</f>
        <v>35-44</v>
      </c>
      <c r="AK994" s="4" t="str">
        <f>IF(EmployeeData[[#This Row],[MonthlyIncome]]&lt;3000,"Below 3K",IF(EmployeeData[[#This Row],[MonthlyIncome]]&lt;6000,"3K-6K",IF(EmployeeData[[#This Row],[MonthlyIncome]]&lt;9000,"6K-9K",IF(EmployeeData[[#This Row],[MonthlyIncome]]&lt;12000,"9K-12K","12K+"))))</f>
        <v>9K-12K</v>
      </c>
    </row>
    <row r="995" spans="1:37" x14ac:dyDescent="0.3">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c r="AJ995" s="4" t="str">
        <f>IF(EmployeeData[[#This Row],[Age]]&lt;25,"Under 25",IF(EmployeeData[[#This Row],[Age]]&lt;35,"25-34",IF(EmployeeData[[#This Row],[Age]]&lt;45,"35-44",IF(EmployeeData[[#This Row],[Age]]&lt;55,"45-54","55+"))))</f>
        <v>25-34</v>
      </c>
      <c r="AK995" s="4" t="str">
        <f>IF(EmployeeData[[#This Row],[MonthlyIncome]]&lt;3000,"Below 3K",IF(EmployeeData[[#This Row],[MonthlyIncome]]&lt;6000,"3K-6K",IF(EmployeeData[[#This Row],[MonthlyIncome]]&lt;9000,"6K-9K",IF(EmployeeData[[#This Row],[MonthlyIncome]]&lt;12000,"9K-12K","12K+"))))</f>
        <v>6K-9K</v>
      </c>
    </row>
    <row r="996" spans="1:37" x14ac:dyDescent="0.3">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c r="AJ996" s="4" t="str">
        <f>IF(EmployeeData[[#This Row],[Age]]&lt;25,"Under 25",IF(EmployeeData[[#This Row],[Age]]&lt;35,"25-34",IF(EmployeeData[[#This Row],[Age]]&lt;45,"35-44",IF(EmployeeData[[#This Row],[Age]]&lt;55,"45-54","55+"))))</f>
        <v>45-54</v>
      </c>
      <c r="AK996" s="4" t="str">
        <f>IF(EmployeeData[[#This Row],[MonthlyIncome]]&lt;3000,"Below 3K",IF(EmployeeData[[#This Row],[MonthlyIncome]]&lt;6000,"3K-6K",IF(EmployeeData[[#This Row],[MonthlyIncome]]&lt;9000,"6K-9K",IF(EmployeeData[[#This Row],[MonthlyIncome]]&lt;12000,"9K-12K","12K+"))))</f>
        <v>12K+</v>
      </c>
    </row>
    <row r="997" spans="1:37" x14ac:dyDescent="0.3">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c r="AJ997" s="4" t="str">
        <f>IF(EmployeeData[[#This Row],[Age]]&lt;25,"Under 25",IF(EmployeeData[[#This Row],[Age]]&lt;35,"25-34",IF(EmployeeData[[#This Row],[Age]]&lt;45,"35-44",IF(EmployeeData[[#This Row],[Age]]&lt;55,"45-54","55+"))))</f>
        <v>35-44</v>
      </c>
      <c r="AK997" s="4" t="str">
        <f>IF(EmployeeData[[#This Row],[MonthlyIncome]]&lt;3000,"Below 3K",IF(EmployeeData[[#This Row],[MonthlyIncome]]&lt;6000,"3K-6K",IF(EmployeeData[[#This Row],[MonthlyIncome]]&lt;9000,"6K-9K",IF(EmployeeData[[#This Row],[MonthlyIncome]]&lt;12000,"9K-12K","12K+"))))</f>
        <v>3K-6K</v>
      </c>
    </row>
    <row r="998" spans="1:37" x14ac:dyDescent="0.3">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c r="AJ998" s="4" t="str">
        <f>IF(EmployeeData[[#This Row],[Age]]&lt;25,"Under 25",IF(EmployeeData[[#This Row],[Age]]&lt;35,"25-34",IF(EmployeeData[[#This Row],[Age]]&lt;45,"35-44",IF(EmployeeData[[#This Row],[Age]]&lt;55,"45-54","55+"))))</f>
        <v>25-34</v>
      </c>
      <c r="AK998" s="4" t="str">
        <f>IF(EmployeeData[[#This Row],[MonthlyIncome]]&lt;3000,"Below 3K",IF(EmployeeData[[#This Row],[MonthlyIncome]]&lt;6000,"3K-6K",IF(EmployeeData[[#This Row],[MonthlyIncome]]&lt;9000,"6K-9K",IF(EmployeeData[[#This Row],[MonthlyIncome]]&lt;12000,"9K-12K","12K+"))))</f>
        <v>3K-6K</v>
      </c>
    </row>
    <row r="999" spans="1:37" x14ac:dyDescent="0.3">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c r="AJ999" s="4" t="str">
        <f>IF(EmployeeData[[#This Row],[Age]]&lt;25,"Under 25",IF(EmployeeData[[#This Row],[Age]]&lt;35,"25-34",IF(EmployeeData[[#This Row],[Age]]&lt;45,"35-44",IF(EmployeeData[[#This Row],[Age]]&lt;55,"45-54","55+"))))</f>
        <v>25-34</v>
      </c>
      <c r="AK999" s="4" t="str">
        <f>IF(EmployeeData[[#This Row],[MonthlyIncome]]&lt;3000,"Below 3K",IF(EmployeeData[[#This Row],[MonthlyIncome]]&lt;6000,"3K-6K",IF(EmployeeData[[#This Row],[MonthlyIncome]]&lt;9000,"6K-9K",IF(EmployeeData[[#This Row],[MonthlyIncome]]&lt;12000,"9K-12K","12K+"))))</f>
        <v>Below 3K</v>
      </c>
    </row>
    <row r="1000" spans="1:37" x14ac:dyDescent="0.3">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c r="AJ1000" s="4" t="str">
        <f>IF(EmployeeData[[#This Row],[Age]]&lt;25,"Under 25",IF(EmployeeData[[#This Row],[Age]]&lt;35,"25-34",IF(EmployeeData[[#This Row],[Age]]&lt;45,"35-44",IF(EmployeeData[[#This Row],[Age]]&lt;55,"45-54","55+"))))</f>
        <v>25-34</v>
      </c>
      <c r="AK1000" s="4" t="str">
        <f>IF(EmployeeData[[#This Row],[MonthlyIncome]]&lt;3000,"Below 3K",IF(EmployeeData[[#This Row],[MonthlyIncome]]&lt;6000,"3K-6K",IF(EmployeeData[[#This Row],[MonthlyIncome]]&lt;9000,"6K-9K",IF(EmployeeData[[#This Row],[MonthlyIncome]]&lt;12000,"9K-12K","12K+"))))</f>
        <v>3K-6K</v>
      </c>
    </row>
    <row r="1001" spans="1:37" x14ac:dyDescent="0.3">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c r="AJ1001" s="4" t="str">
        <f>IF(EmployeeData[[#This Row],[Age]]&lt;25,"Under 25",IF(EmployeeData[[#This Row],[Age]]&lt;35,"25-34",IF(EmployeeData[[#This Row],[Age]]&lt;45,"35-44",IF(EmployeeData[[#This Row],[Age]]&lt;55,"45-54","55+"))))</f>
        <v>35-44</v>
      </c>
      <c r="AK1001" s="4" t="str">
        <f>IF(EmployeeData[[#This Row],[MonthlyIncome]]&lt;3000,"Below 3K",IF(EmployeeData[[#This Row],[MonthlyIncome]]&lt;6000,"3K-6K",IF(EmployeeData[[#This Row],[MonthlyIncome]]&lt;9000,"6K-9K",IF(EmployeeData[[#This Row],[MonthlyIncome]]&lt;12000,"9K-12K","12K+"))))</f>
        <v>12K+</v>
      </c>
    </row>
    <row r="1002" spans="1:37" x14ac:dyDescent="0.3">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c r="AJ1002" s="4" t="str">
        <f>IF(EmployeeData[[#This Row],[Age]]&lt;25,"Under 25",IF(EmployeeData[[#This Row],[Age]]&lt;35,"25-34",IF(EmployeeData[[#This Row],[Age]]&lt;45,"35-44",IF(EmployeeData[[#This Row],[Age]]&lt;55,"45-54","55+"))))</f>
        <v>45-54</v>
      </c>
      <c r="AK1002" s="4" t="str">
        <f>IF(EmployeeData[[#This Row],[MonthlyIncome]]&lt;3000,"Below 3K",IF(EmployeeData[[#This Row],[MonthlyIncome]]&lt;6000,"3K-6K",IF(EmployeeData[[#This Row],[MonthlyIncome]]&lt;9000,"6K-9K",IF(EmployeeData[[#This Row],[MonthlyIncome]]&lt;12000,"9K-12K","12K+"))))</f>
        <v>Below 3K</v>
      </c>
    </row>
    <row r="1003" spans="1:37" x14ac:dyDescent="0.3">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c r="AJ1003" s="4" t="str">
        <f>IF(EmployeeData[[#This Row],[Age]]&lt;25,"Under 25",IF(EmployeeData[[#This Row],[Age]]&lt;35,"25-34",IF(EmployeeData[[#This Row],[Age]]&lt;45,"35-44",IF(EmployeeData[[#This Row],[Age]]&lt;55,"45-54","55+"))))</f>
        <v>35-44</v>
      </c>
      <c r="AK1003" s="4" t="str">
        <f>IF(EmployeeData[[#This Row],[MonthlyIncome]]&lt;3000,"Below 3K",IF(EmployeeData[[#This Row],[MonthlyIncome]]&lt;6000,"3K-6K",IF(EmployeeData[[#This Row],[MonthlyIncome]]&lt;9000,"6K-9K",IF(EmployeeData[[#This Row],[MonthlyIncome]]&lt;12000,"9K-12K","12K+"))))</f>
        <v>3K-6K</v>
      </c>
    </row>
    <row r="1004" spans="1:37" x14ac:dyDescent="0.3">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c r="AJ1004" s="4" t="str">
        <f>IF(EmployeeData[[#This Row],[Age]]&lt;25,"Under 25",IF(EmployeeData[[#This Row],[Age]]&lt;35,"25-34",IF(EmployeeData[[#This Row],[Age]]&lt;45,"35-44",IF(EmployeeData[[#This Row],[Age]]&lt;55,"45-54","55+"))))</f>
        <v>35-44</v>
      </c>
      <c r="AK1004" s="4" t="str">
        <f>IF(EmployeeData[[#This Row],[MonthlyIncome]]&lt;3000,"Below 3K",IF(EmployeeData[[#This Row],[MonthlyIncome]]&lt;6000,"3K-6K",IF(EmployeeData[[#This Row],[MonthlyIncome]]&lt;9000,"6K-9K",IF(EmployeeData[[#This Row],[MonthlyIncome]]&lt;12000,"9K-12K","12K+"))))</f>
        <v>9K-12K</v>
      </c>
    </row>
    <row r="1005" spans="1:37" x14ac:dyDescent="0.3">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c r="AJ1005" s="4" t="str">
        <f>IF(EmployeeData[[#This Row],[Age]]&lt;25,"Under 25",IF(EmployeeData[[#This Row],[Age]]&lt;35,"25-34",IF(EmployeeData[[#This Row],[Age]]&lt;45,"35-44",IF(EmployeeData[[#This Row],[Age]]&lt;55,"45-54","55+"))))</f>
        <v>25-34</v>
      </c>
      <c r="AK1005" s="4" t="str">
        <f>IF(EmployeeData[[#This Row],[MonthlyIncome]]&lt;3000,"Below 3K",IF(EmployeeData[[#This Row],[MonthlyIncome]]&lt;6000,"3K-6K",IF(EmployeeData[[#This Row],[MonthlyIncome]]&lt;9000,"6K-9K",IF(EmployeeData[[#This Row],[MonthlyIncome]]&lt;12000,"9K-12K","12K+"))))</f>
        <v>3K-6K</v>
      </c>
    </row>
    <row r="1006" spans="1:37" x14ac:dyDescent="0.3">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c r="AJ1006" s="4" t="str">
        <f>IF(EmployeeData[[#This Row],[Age]]&lt;25,"Under 25",IF(EmployeeData[[#This Row],[Age]]&lt;35,"25-34",IF(EmployeeData[[#This Row],[Age]]&lt;45,"35-44",IF(EmployeeData[[#This Row],[Age]]&lt;55,"45-54","55+"))))</f>
        <v>25-34</v>
      </c>
      <c r="AK1006" s="4" t="str">
        <f>IF(EmployeeData[[#This Row],[MonthlyIncome]]&lt;3000,"Below 3K",IF(EmployeeData[[#This Row],[MonthlyIncome]]&lt;6000,"3K-6K",IF(EmployeeData[[#This Row],[MonthlyIncome]]&lt;9000,"6K-9K",IF(EmployeeData[[#This Row],[MonthlyIncome]]&lt;12000,"9K-12K","12K+"))))</f>
        <v>3K-6K</v>
      </c>
    </row>
    <row r="1007" spans="1:37" x14ac:dyDescent="0.3">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c r="AJ1007" s="4" t="str">
        <f>IF(EmployeeData[[#This Row],[Age]]&lt;25,"Under 25",IF(EmployeeData[[#This Row],[Age]]&lt;35,"25-34",IF(EmployeeData[[#This Row],[Age]]&lt;45,"35-44",IF(EmployeeData[[#This Row],[Age]]&lt;55,"45-54","55+"))))</f>
        <v>25-34</v>
      </c>
      <c r="AK1007" s="4" t="str">
        <f>IF(EmployeeData[[#This Row],[MonthlyIncome]]&lt;3000,"Below 3K",IF(EmployeeData[[#This Row],[MonthlyIncome]]&lt;6000,"3K-6K",IF(EmployeeData[[#This Row],[MonthlyIncome]]&lt;9000,"6K-9K",IF(EmployeeData[[#This Row],[MonthlyIncome]]&lt;12000,"9K-12K","12K+"))))</f>
        <v>6K-9K</v>
      </c>
    </row>
    <row r="1008" spans="1:37" x14ac:dyDescent="0.3">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c r="AJ1008" s="4" t="str">
        <f>IF(EmployeeData[[#This Row],[Age]]&lt;25,"Under 25",IF(EmployeeData[[#This Row],[Age]]&lt;35,"25-34",IF(EmployeeData[[#This Row],[Age]]&lt;45,"35-44",IF(EmployeeData[[#This Row],[Age]]&lt;55,"45-54","55+"))))</f>
        <v>45-54</v>
      </c>
      <c r="AK1008" s="4" t="str">
        <f>IF(EmployeeData[[#This Row],[MonthlyIncome]]&lt;3000,"Below 3K",IF(EmployeeData[[#This Row],[MonthlyIncome]]&lt;6000,"3K-6K",IF(EmployeeData[[#This Row],[MonthlyIncome]]&lt;9000,"6K-9K",IF(EmployeeData[[#This Row],[MonthlyIncome]]&lt;12000,"9K-12K","12K+"))))</f>
        <v>3K-6K</v>
      </c>
    </row>
    <row r="1009" spans="1:37" x14ac:dyDescent="0.3">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c r="AJ1009" s="4" t="str">
        <f>IF(EmployeeData[[#This Row],[Age]]&lt;25,"Under 25",IF(EmployeeData[[#This Row],[Age]]&lt;35,"25-34",IF(EmployeeData[[#This Row],[Age]]&lt;45,"35-44",IF(EmployeeData[[#This Row],[Age]]&lt;55,"45-54","55+"))))</f>
        <v>25-34</v>
      </c>
      <c r="AK1009" s="4" t="str">
        <f>IF(EmployeeData[[#This Row],[MonthlyIncome]]&lt;3000,"Below 3K",IF(EmployeeData[[#This Row],[MonthlyIncome]]&lt;6000,"3K-6K",IF(EmployeeData[[#This Row],[MonthlyIncome]]&lt;9000,"6K-9K",IF(EmployeeData[[#This Row],[MonthlyIncome]]&lt;12000,"9K-12K","12K+"))))</f>
        <v>6K-9K</v>
      </c>
    </row>
    <row r="1010" spans="1:37" x14ac:dyDescent="0.3">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c r="AJ1010" s="4" t="str">
        <f>IF(EmployeeData[[#This Row],[Age]]&lt;25,"Under 25",IF(EmployeeData[[#This Row],[Age]]&lt;35,"25-34",IF(EmployeeData[[#This Row],[Age]]&lt;45,"35-44",IF(EmployeeData[[#This Row],[Age]]&lt;55,"45-54","55+"))))</f>
        <v>45-54</v>
      </c>
      <c r="AK1010" s="4" t="str">
        <f>IF(EmployeeData[[#This Row],[MonthlyIncome]]&lt;3000,"Below 3K",IF(EmployeeData[[#This Row],[MonthlyIncome]]&lt;6000,"3K-6K",IF(EmployeeData[[#This Row],[MonthlyIncome]]&lt;9000,"6K-9K",IF(EmployeeData[[#This Row],[MonthlyIncome]]&lt;12000,"9K-12K","12K+"))))</f>
        <v>12K+</v>
      </c>
    </row>
    <row r="1011" spans="1:37" x14ac:dyDescent="0.3">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c r="AJ1011" s="4" t="str">
        <f>IF(EmployeeData[[#This Row],[Age]]&lt;25,"Under 25",IF(EmployeeData[[#This Row],[Age]]&lt;35,"25-34",IF(EmployeeData[[#This Row],[Age]]&lt;45,"35-44",IF(EmployeeData[[#This Row],[Age]]&lt;55,"45-54","55+"))))</f>
        <v>55+</v>
      </c>
      <c r="AK1011" s="4" t="str">
        <f>IF(EmployeeData[[#This Row],[MonthlyIncome]]&lt;3000,"Below 3K",IF(EmployeeData[[#This Row],[MonthlyIncome]]&lt;6000,"3K-6K",IF(EmployeeData[[#This Row],[MonthlyIncome]]&lt;9000,"6K-9K",IF(EmployeeData[[#This Row],[MonthlyIncome]]&lt;12000,"9K-12K","12K+"))))</f>
        <v>12K+</v>
      </c>
    </row>
    <row r="1012" spans="1:37" x14ac:dyDescent="0.3">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c r="AJ1012" s="4" t="str">
        <f>IF(EmployeeData[[#This Row],[Age]]&lt;25,"Under 25",IF(EmployeeData[[#This Row],[Age]]&lt;35,"25-34",IF(EmployeeData[[#This Row],[Age]]&lt;45,"35-44",IF(EmployeeData[[#This Row],[Age]]&lt;55,"45-54","55+"))))</f>
        <v>55+</v>
      </c>
      <c r="AK1012" s="4" t="str">
        <f>IF(EmployeeData[[#This Row],[MonthlyIncome]]&lt;3000,"Below 3K",IF(EmployeeData[[#This Row],[MonthlyIncome]]&lt;6000,"3K-6K",IF(EmployeeData[[#This Row],[MonthlyIncome]]&lt;9000,"6K-9K",IF(EmployeeData[[#This Row],[MonthlyIncome]]&lt;12000,"9K-12K","12K+"))))</f>
        <v>12K+</v>
      </c>
    </row>
    <row r="1013" spans="1:37" x14ac:dyDescent="0.3">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c r="AJ1013" s="4" t="str">
        <f>IF(EmployeeData[[#This Row],[Age]]&lt;25,"Under 25",IF(EmployeeData[[#This Row],[Age]]&lt;35,"25-34",IF(EmployeeData[[#This Row],[Age]]&lt;45,"35-44",IF(EmployeeData[[#This Row],[Age]]&lt;55,"45-54","55+"))))</f>
        <v>35-44</v>
      </c>
      <c r="AK1013" s="4" t="str">
        <f>IF(EmployeeData[[#This Row],[MonthlyIncome]]&lt;3000,"Below 3K",IF(EmployeeData[[#This Row],[MonthlyIncome]]&lt;6000,"3K-6K",IF(EmployeeData[[#This Row],[MonthlyIncome]]&lt;9000,"6K-9K",IF(EmployeeData[[#This Row],[MonthlyIncome]]&lt;12000,"9K-12K","12K+"))))</f>
        <v>9K-12K</v>
      </c>
    </row>
    <row r="1014" spans="1:37" x14ac:dyDescent="0.3">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c r="AJ1014" s="4" t="str">
        <f>IF(EmployeeData[[#This Row],[Age]]&lt;25,"Under 25",IF(EmployeeData[[#This Row],[Age]]&lt;35,"25-34",IF(EmployeeData[[#This Row],[Age]]&lt;45,"35-44",IF(EmployeeData[[#This Row],[Age]]&lt;55,"45-54","55+"))))</f>
        <v>25-34</v>
      </c>
      <c r="AK1014" s="4" t="str">
        <f>IF(EmployeeData[[#This Row],[MonthlyIncome]]&lt;3000,"Below 3K",IF(EmployeeData[[#This Row],[MonthlyIncome]]&lt;6000,"3K-6K",IF(EmployeeData[[#This Row],[MonthlyIncome]]&lt;9000,"6K-9K",IF(EmployeeData[[#This Row],[MonthlyIncome]]&lt;12000,"9K-12K","12K+"))))</f>
        <v>Below 3K</v>
      </c>
    </row>
    <row r="1015" spans="1:37" x14ac:dyDescent="0.3">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c r="AJ1015" s="4" t="str">
        <f>IF(EmployeeData[[#This Row],[Age]]&lt;25,"Under 25",IF(EmployeeData[[#This Row],[Age]]&lt;35,"25-34",IF(EmployeeData[[#This Row],[Age]]&lt;45,"35-44",IF(EmployeeData[[#This Row],[Age]]&lt;55,"45-54","55+"))))</f>
        <v>25-34</v>
      </c>
      <c r="AK1015" s="4" t="str">
        <f>IF(EmployeeData[[#This Row],[MonthlyIncome]]&lt;3000,"Below 3K",IF(EmployeeData[[#This Row],[MonthlyIncome]]&lt;6000,"3K-6K",IF(EmployeeData[[#This Row],[MonthlyIncome]]&lt;9000,"6K-9K",IF(EmployeeData[[#This Row],[MonthlyIncome]]&lt;12000,"9K-12K","12K+"))))</f>
        <v>3K-6K</v>
      </c>
    </row>
    <row r="1016" spans="1:37" x14ac:dyDescent="0.3">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c r="AJ1016" s="4" t="str">
        <f>IF(EmployeeData[[#This Row],[Age]]&lt;25,"Under 25",IF(EmployeeData[[#This Row],[Age]]&lt;35,"25-34",IF(EmployeeData[[#This Row],[Age]]&lt;45,"35-44",IF(EmployeeData[[#This Row],[Age]]&lt;55,"45-54","55+"))))</f>
        <v>25-34</v>
      </c>
      <c r="AK1016" s="4" t="str">
        <f>IF(EmployeeData[[#This Row],[MonthlyIncome]]&lt;3000,"Below 3K",IF(EmployeeData[[#This Row],[MonthlyIncome]]&lt;6000,"3K-6K",IF(EmployeeData[[#This Row],[MonthlyIncome]]&lt;9000,"6K-9K",IF(EmployeeData[[#This Row],[MonthlyIncome]]&lt;12000,"9K-12K","12K+"))))</f>
        <v>12K+</v>
      </c>
    </row>
    <row r="1017" spans="1:37" x14ac:dyDescent="0.3">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c r="AJ1017" s="4" t="str">
        <f>IF(EmployeeData[[#This Row],[Age]]&lt;25,"Under 25",IF(EmployeeData[[#This Row],[Age]]&lt;35,"25-34",IF(EmployeeData[[#This Row],[Age]]&lt;45,"35-44",IF(EmployeeData[[#This Row],[Age]]&lt;55,"45-54","55+"))))</f>
        <v>25-34</v>
      </c>
      <c r="AK1017" s="4" t="str">
        <f>IF(EmployeeData[[#This Row],[MonthlyIncome]]&lt;3000,"Below 3K",IF(EmployeeData[[#This Row],[MonthlyIncome]]&lt;6000,"3K-6K",IF(EmployeeData[[#This Row],[MonthlyIncome]]&lt;9000,"6K-9K",IF(EmployeeData[[#This Row],[MonthlyIncome]]&lt;12000,"9K-12K","12K+"))))</f>
        <v>Below 3K</v>
      </c>
    </row>
    <row r="1018" spans="1:37" x14ac:dyDescent="0.3">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c r="AJ1018" s="4" t="str">
        <f>IF(EmployeeData[[#This Row],[Age]]&lt;25,"Under 25",IF(EmployeeData[[#This Row],[Age]]&lt;35,"25-34",IF(EmployeeData[[#This Row],[Age]]&lt;45,"35-44",IF(EmployeeData[[#This Row],[Age]]&lt;55,"45-54","55+"))))</f>
        <v>25-34</v>
      </c>
      <c r="AK1018" s="4" t="str">
        <f>IF(EmployeeData[[#This Row],[MonthlyIncome]]&lt;3000,"Below 3K",IF(EmployeeData[[#This Row],[MonthlyIncome]]&lt;6000,"3K-6K",IF(EmployeeData[[#This Row],[MonthlyIncome]]&lt;9000,"6K-9K",IF(EmployeeData[[#This Row],[MonthlyIncome]]&lt;12000,"9K-12K","12K+"))))</f>
        <v>Below 3K</v>
      </c>
    </row>
    <row r="1019" spans="1:37" x14ac:dyDescent="0.3">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c r="AJ1019" s="4" t="str">
        <f>IF(EmployeeData[[#This Row],[Age]]&lt;25,"Under 25",IF(EmployeeData[[#This Row],[Age]]&lt;35,"25-34",IF(EmployeeData[[#This Row],[Age]]&lt;45,"35-44",IF(EmployeeData[[#This Row],[Age]]&lt;55,"45-54","55+"))))</f>
        <v>25-34</v>
      </c>
      <c r="AK1019" s="4" t="str">
        <f>IF(EmployeeData[[#This Row],[MonthlyIncome]]&lt;3000,"Below 3K",IF(EmployeeData[[#This Row],[MonthlyIncome]]&lt;6000,"3K-6K",IF(EmployeeData[[#This Row],[MonthlyIncome]]&lt;9000,"6K-9K",IF(EmployeeData[[#This Row],[MonthlyIncome]]&lt;12000,"9K-12K","12K+"))))</f>
        <v>Below 3K</v>
      </c>
    </row>
    <row r="1020" spans="1:37" x14ac:dyDescent="0.3">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c r="AJ1020" s="4" t="str">
        <f>IF(EmployeeData[[#This Row],[Age]]&lt;25,"Under 25",IF(EmployeeData[[#This Row],[Age]]&lt;35,"25-34",IF(EmployeeData[[#This Row],[Age]]&lt;45,"35-44",IF(EmployeeData[[#This Row],[Age]]&lt;55,"45-54","55+"))))</f>
        <v>35-44</v>
      </c>
      <c r="AK1020" s="4" t="str">
        <f>IF(EmployeeData[[#This Row],[MonthlyIncome]]&lt;3000,"Below 3K",IF(EmployeeData[[#This Row],[MonthlyIncome]]&lt;6000,"3K-6K",IF(EmployeeData[[#This Row],[MonthlyIncome]]&lt;9000,"6K-9K",IF(EmployeeData[[#This Row],[MonthlyIncome]]&lt;12000,"9K-12K","12K+"))))</f>
        <v>3K-6K</v>
      </c>
    </row>
    <row r="1021" spans="1:37" x14ac:dyDescent="0.3">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c r="AJ1021" s="4" t="str">
        <f>IF(EmployeeData[[#This Row],[Age]]&lt;25,"Under 25",IF(EmployeeData[[#This Row],[Age]]&lt;35,"25-34",IF(EmployeeData[[#This Row],[Age]]&lt;45,"35-44",IF(EmployeeData[[#This Row],[Age]]&lt;55,"45-54","55+"))))</f>
        <v>35-44</v>
      </c>
      <c r="AK1021" s="4" t="str">
        <f>IF(EmployeeData[[#This Row],[MonthlyIncome]]&lt;3000,"Below 3K",IF(EmployeeData[[#This Row],[MonthlyIncome]]&lt;6000,"3K-6K",IF(EmployeeData[[#This Row],[MonthlyIncome]]&lt;9000,"6K-9K",IF(EmployeeData[[#This Row],[MonthlyIncome]]&lt;12000,"9K-12K","12K+"))))</f>
        <v>3K-6K</v>
      </c>
    </row>
    <row r="1022" spans="1:37" x14ac:dyDescent="0.3">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c r="AJ1022" s="4" t="str">
        <f>IF(EmployeeData[[#This Row],[Age]]&lt;25,"Under 25",IF(EmployeeData[[#This Row],[Age]]&lt;35,"25-34",IF(EmployeeData[[#This Row],[Age]]&lt;45,"35-44",IF(EmployeeData[[#This Row],[Age]]&lt;55,"45-54","55+"))))</f>
        <v>45-54</v>
      </c>
      <c r="AK1022" s="4" t="str">
        <f>IF(EmployeeData[[#This Row],[MonthlyIncome]]&lt;3000,"Below 3K",IF(EmployeeData[[#This Row],[MonthlyIncome]]&lt;6000,"3K-6K",IF(EmployeeData[[#This Row],[MonthlyIncome]]&lt;9000,"6K-9K",IF(EmployeeData[[#This Row],[MonthlyIncome]]&lt;12000,"9K-12K","12K+"))))</f>
        <v>3K-6K</v>
      </c>
    </row>
    <row r="1023" spans="1:37" x14ac:dyDescent="0.3">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c r="AJ1023" s="4" t="str">
        <f>IF(EmployeeData[[#This Row],[Age]]&lt;25,"Under 25",IF(EmployeeData[[#This Row],[Age]]&lt;35,"25-34",IF(EmployeeData[[#This Row],[Age]]&lt;45,"35-44",IF(EmployeeData[[#This Row],[Age]]&lt;55,"45-54","55+"))))</f>
        <v>25-34</v>
      </c>
      <c r="AK1023" s="4" t="str">
        <f>IF(EmployeeData[[#This Row],[MonthlyIncome]]&lt;3000,"Below 3K",IF(EmployeeData[[#This Row],[MonthlyIncome]]&lt;6000,"3K-6K",IF(EmployeeData[[#This Row],[MonthlyIncome]]&lt;9000,"6K-9K",IF(EmployeeData[[#This Row],[MonthlyIncome]]&lt;12000,"9K-12K","12K+"))))</f>
        <v>3K-6K</v>
      </c>
    </row>
    <row r="1024" spans="1:37" x14ac:dyDescent="0.3">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c r="AJ1024" s="4" t="str">
        <f>IF(EmployeeData[[#This Row],[Age]]&lt;25,"Under 25",IF(EmployeeData[[#This Row],[Age]]&lt;35,"25-34",IF(EmployeeData[[#This Row],[Age]]&lt;45,"35-44",IF(EmployeeData[[#This Row],[Age]]&lt;55,"45-54","55+"))))</f>
        <v>35-44</v>
      </c>
      <c r="AK1024" s="4" t="str">
        <f>IF(EmployeeData[[#This Row],[MonthlyIncome]]&lt;3000,"Below 3K",IF(EmployeeData[[#This Row],[MonthlyIncome]]&lt;6000,"3K-6K",IF(EmployeeData[[#This Row],[MonthlyIncome]]&lt;9000,"6K-9K",IF(EmployeeData[[#This Row],[MonthlyIncome]]&lt;12000,"9K-12K","12K+"))))</f>
        <v>3K-6K</v>
      </c>
    </row>
    <row r="1025" spans="1:37" x14ac:dyDescent="0.3">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c r="AJ1025" s="4" t="str">
        <f>IF(EmployeeData[[#This Row],[Age]]&lt;25,"Under 25",IF(EmployeeData[[#This Row],[Age]]&lt;35,"25-34",IF(EmployeeData[[#This Row],[Age]]&lt;45,"35-44",IF(EmployeeData[[#This Row],[Age]]&lt;55,"45-54","55+"))))</f>
        <v>55+</v>
      </c>
      <c r="AK1025" s="4" t="str">
        <f>IF(EmployeeData[[#This Row],[MonthlyIncome]]&lt;3000,"Below 3K",IF(EmployeeData[[#This Row],[MonthlyIncome]]&lt;6000,"3K-6K",IF(EmployeeData[[#This Row],[MonthlyIncome]]&lt;9000,"6K-9K",IF(EmployeeData[[#This Row],[MonthlyIncome]]&lt;12000,"9K-12K","12K+"))))</f>
        <v>Below 3K</v>
      </c>
    </row>
    <row r="1026" spans="1:37" x14ac:dyDescent="0.3">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c r="AJ1026" s="4" t="str">
        <f>IF(EmployeeData[[#This Row],[Age]]&lt;25,"Under 25",IF(EmployeeData[[#This Row],[Age]]&lt;35,"25-34",IF(EmployeeData[[#This Row],[Age]]&lt;45,"35-44",IF(EmployeeData[[#This Row],[Age]]&lt;55,"45-54","55+"))))</f>
        <v>45-54</v>
      </c>
      <c r="AK1026" s="4" t="str">
        <f>IF(EmployeeData[[#This Row],[MonthlyIncome]]&lt;3000,"Below 3K",IF(EmployeeData[[#This Row],[MonthlyIncome]]&lt;6000,"3K-6K",IF(EmployeeData[[#This Row],[MonthlyIncome]]&lt;9000,"6K-9K",IF(EmployeeData[[#This Row],[MonthlyIncome]]&lt;12000,"9K-12K","12K+"))))</f>
        <v>12K+</v>
      </c>
    </row>
    <row r="1027" spans="1:37" x14ac:dyDescent="0.3">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c r="AJ1027" s="4" t="str">
        <f>IF(EmployeeData[[#This Row],[Age]]&lt;25,"Under 25",IF(EmployeeData[[#This Row],[Age]]&lt;35,"25-34",IF(EmployeeData[[#This Row],[Age]]&lt;45,"35-44",IF(EmployeeData[[#This Row],[Age]]&lt;55,"45-54","55+"))))</f>
        <v>Under 25</v>
      </c>
      <c r="AK1027" s="4" t="str">
        <f>IF(EmployeeData[[#This Row],[MonthlyIncome]]&lt;3000,"Below 3K",IF(EmployeeData[[#This Row],[MonthlyIncome]]&lt;6000,"3K-6K",IF(EmployeeData[[#This Row],[MonthlyIncome]]&lt;9000,"6K-9K",IF(EmployeeData[[#This Row],[MonthlyIncome]]&lt;12000,"9K-12K","12K+"))))</f>
        <v>3K-6K</v>
      </c>
    </row>
    <row r="1028" spans="1:37" x14ac:dyDescent="0.3">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c r="AJ1028" s="4" t="str">
        <f>IF(EmployeeData[[#This Row],[Age]]&lt;25,"Under 25",IF(EmployeeData[[#This Row],[Age]]&lt;35,"25-34",IF(EmployeeData[[#This Row],[Age]]&lt;45,"35-44",IF(EmployeeData[[#This Row],[Age]]&lt;55,"45-54","55+"))))</f>
        <v>25-34</v>
      </c>
      <c r="AK1028" s="4" t="str">
        <f>IF(EmployeeData[[#This Row],[MonthlyIncome]]&lt;3000,"Below 3K",IF(EmployeeData[[#This Row],[MonthlyIncome]]&lt;6000,"3K-6K",IF(EmployeeData[[#This Row],[MonthlyIncome]]&lt;9000,"6K-9K",IF(EmployeeData[[#This Row],[MonthlyIncome]]&lt;12000,"9K-12K","12K+"))))</f>
        <v>9K-12K</v>
      </c>
    </row>
    <row r="1029" spans="1:37" x14ac:dyDescent="0.3">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c r="AJ1029" s="4" t="str">
        <f>IF(EmployeeData[[#This Row],[Age]]&lt;25,"Under 25",IF(EmployeeData[[#This Row],[Age]]&lt;35,"25-34",IF(EmployeeData[[#This Row],[Age]]&lt;45,"35-44",IF(EmployeeData[[#This Row],[Age]]&lt;55,"45-54","55+"))))</f>
        <v>25-34</v>
      </c>
      <c r="AK1029" s="4" t="str">
        <f>IF(EmployeeData[[#This Row],[MonthlyIncome]]&lt;3000,"Below 3K",IF(EmployeeData[[#This Row],[MonthlyIncome]]&lt;6000,"3K-6K",IF(EmployeeData[[#This Row],[MonthlyIncome]]&lt;9000,"6K-9K",IF(EmployeeData[[#This Row],[MonthlyIncome]]&lt;12000,"9K-12K","12K+"))))</f>
        <v>3K-6K</v>
      </c>
    </row>
    <row r="1030" spans="1:37" x14ac:dyDescent="0.3">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c r="AJ1030" s="4" t="str">
        <f>IF(EmployeeData[[#This Row],[Age]]&lt;25,"Under 25",IF(EmployeeData[[#This Row],[Age]]&lt;35,"25-34",IF(EmployeeData[[#This Row],[Age]]&lt;45,"35-44",IF(EmployeeData[[#This Row],[Age]]&lt;55,"45-54","55+"))))</f>
        <v>35-44</v>
      </c>
      <c r="AK1030" s="4" t="str">
        <f>IF(EmployeeData[[#This Row],[MonthlyIncome]]&lt;3000,"Below 3K",IF(EmployeeData[[#This Row],[MonthlyIncome]]&lt;6000,"3K-6K",IF(EmployeeData[[#This Row],[MonthlyIncome]]&lt;9000,"6K-9K",IF(EmployeeData[[#This Row],[MonthlyIncome]]&lt;12000,"9K-12K","12K+"))))</f>
        <v>Below 3K</v>
      </c>
    </row>
    <row r="1031" spans="1:37" x14ac:dyDescent="0.3">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c r="AJ1031" s="4" t="str">
        <f>IF(EmployeeData[[#This Row],[Age]]&lt;25,"Under 25",IF(EmployeeData[[#This Row],[Age]]&lt;35,"25-34",IF(EmployeeData[[#This Row],[Age]]&lt;45,"35-44",IF(EmployeeData[[#This Row],[Age]]&lt;55,"45-54","55+"))))</f>
        <v>35-44</v>
      </c>
      <c r="AK1031" s="4" t="str">
        <f>IF(EmployeeData[[#This Row],[MonthlyIncome]]&lt;3000,"Below 3K",IF(EmployeeData[[#This Row],[MonthlyIncome]]&lt;6000,"3K-6K",IF(EmployeeData[[#This Row],[MonthlyIncome]]&lt;9000,"6K-9K",IF(EmployeeData[[#This Row],[MonthlyIncome]]&lt;12000,"9K-12K","12K+"))))</f>
        <v>3K-6K</v>
      </c>
    </row>
    <row r="1032" spans="1:37" x14ac:dyDescent="0.3">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c r="AJ1032" s="4" t="str">
        <f>IF(EmployeeData[[#This Row],[Age]]&lt;25,"Under 25",IF(EmployeeData[[#This Row],[Age]]&lt;35,"25-34",IF(EmployeeData[[#This Row],[Age]]&lt;45,"35-44",IF(EmployeeData[[#This Row],[Age]]&lt;55,"45-54","55+"))))</f>
        <v>25-34</v>
      </c>
      <c r="AK1032" s="4" t="str">
        <f>IF(EmployeeData[[#This Row],[MonthlyIncome]]&lt;3000,"Below 3K",IF(EmployeeData[[#This Row],[MonthlyIncome]]&lt;6000,"3K-6K",IF(EmployeeData[[#This Row],[MonthlyIncome]]&lt;9000,"6K-9K",IF(EmployeeData[[#This Row],[MonthlyIncome]]&lt;12000,"9K-12K","12K+"))))</f>
        <v>9K-12K</v>
      </c>
    </row>
    <row r="1033" spans="1:37" x14ac:dyDescent="0.3">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c r="AJ1033" s="4" t="str">
        <f>IF(EmployeeData[[#This Row],[Age]]&lt;25,"Under 25",IF(EmployeeData[[#This Row],[Age]]&lt;35,"25-34",IF(EmployeeData[[#This Row],[Age]]&lt;45,"35-44",IF(EmployeeData[[#This Row],[Age]]&lt;55,"45-54","55+"))))</f>
        <v>45-54</v>
      </c>
      <c r="AK1033" s="4" t="str">
        <f>IF(EmployeeData[[#This Row],[MonthlyIncome]]&lt;3000,"Below 3K",IF(EmployeeData[[#This Row],[MonthlyIncome]]&lt;6000,"3K-6K",IF(EmployeeData[[#This Row],[MonthlyIncome]]&lt;9000,"6K-9K",IF(EmployeeData[[#This Row],[MonthlyIncome]]&lt;12000,"9K-12K","12K+"))))</f>
        <v>9K-12K</v>
      </c>
    </row>
    <row r="1034" spans="1:37" x14ac:dyDescent="0.3">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c r="AJ1034" s="4" t="str">
        <f>IF(EmployeeData[[#This Row],[Age]]&lt;25,"Under 25",IF(EmployeeData[[#This Row],[Age]]&lt;35,"25-34",IF(EmployeeData[[#This Row],[Age]]&lt;45,"35-44",IF(EmployeeData[[#This Row],[Age]]&lt;55,"45-54","55+"))))</f>
        <v>35-44</v>
      </c>
      <c r="AK1034" s="4" t="str">
        <f>IF(EmployeeData[[#This Row],[MonthlyIncome]]&lt;3000,"Below 3K",IF(EmployeeData[[#This Row],[MonthlyIncome]]&lt;6000,"3K-6K",IF(EmployeeData[[#This Row],[MonthlyIncome]]&lt;9000,"6K-9K",IF(EmployeeData[[#This Row],[MonthlyIncome]]&lt;12000,"9K-12K","12K+"))))</f>
        <v>3K-6K</v>
      </c>
    </row>
    <row r="1035" spans="1:37" x14ac:dyDescent="0.3">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c r="AJ1035" s="4" t="str">
        <f>IF(EmployeeData[[#This Row],[Age]]&lt;25,"Under 25",IF(EmployeeData[[#This Row],[Age]]&lt;35,"25-34",IF(EmployeeData[[#This Row],[Age]]&lt;45,"35-44",IF(EmployeeData[[#This Row],[Age]]&lt;55,"45-54","55+"))))</f>
        <v>25-34</v>
      </c>
      <c r="AK1035" s="4" t="str">
        <f>IF(EmployeeData[[#This Row],[MonthlyIncome]]&lt;3000,"Below 3K",IF(EmployeeData[[#This Row],[MonthlyIncome]]&lt;6000,"3K-6K",IF(EmployeeData[[#This Row],[MonthlyIncome]]&lt;9000,"6K-9K",IF(EmployeeData[[#This Row],[MonthlyIncome]]&lt;12000,"9K-12K","12K+"))))</f>
        <v>6K-9K</v>
      </c>
    </row>
    <row r="1036" spans="1:37" x14ac:dyDescent="0.3">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c r="AJ1036" s="4" t="str">
        <f>IF(EmployeeData[[#This Row],[Age]]&lt;25,"Under 25",IF(EmployeeData[[#This Row],[Age]]&lt;35,"25-34",IF(EmployeeData[[#This Row],[Age]]&lt;45,"35-44",IF(EmployeeData[[#This Row],[Age]]&lt;55,"45-54","55+"))))</f>
        <v>45-54</v>
      </c>
      <c r="AK1036" s="4" t="str">
        <f>IF(EmployeeData[[#This Row],[MonthlyIncome]]&lt;3000,"Below 3K",IF(EmployeeData[[#This Row],[MonthlyIncome]]&lt;6000,"3K-6K",IF(EmployeeData[[#This Row],[MonthlyIncome]]&lt;9000,"6K-9K",IF(EmployeeData[[#This Row],[MonthlyIncome]]&lt;12000,"9K-12K","12K+"))))</f>
        <v>9K-12K</v>
      </c>
    </row>
    <row r="1037" spans="1:37" x14ac:dyDescent="0.3">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c r="AJ1037" s="4" t="str">
        <f>IF(EmployeeData[[#This Row],[Age]]&lt;25,"Under 25",IF(EmployeeData[[#This Row],[Age]]&lt;35,"25-34",IF(EmployeeData[[#This Row],[Age]]&lt;45,"35-44",IF(EmployeeData[[#This Row],[Age]]&lt;55,"45-54","55+"))))</f>
        <v>25-34</v>
      </c>
      <c r="AK1037" s="4" t="str">
        <f>IF(EmployeeData[[#This Row],[MonthlyIncome]]&lt;3000,"Below 3K",IF(EmployeeData[[#This Row],[MonthlyIncome]]&lt;6000,"3K-6K",IF(EmployeeData[[#This Row],[MonthlyIncome]]&lt;9000,"6K-9K",IF(EmployeeData[[#This Row],[MonthlyIncome]]&lt;12000,"9K-12K","12K+"))))</f>
        <v>Below 3K</v>
      </c>
    </row>
    <row r="1038" spans="1:37" x14ac:dyDescent="0.3">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c r="AJ1038" s="4" t="str">
        <f>IF(EmployeeData[[#This Row],[Age]]&lt;25,"Under 25",IF(EmployeeData[[#This Row],[Age]]&lt;35,"25-34",IF(EmployeeData[[#This Row],[Age]]&lt;45,"35-44",IF(EmployeeData[[#This Row],[Age]]&lt;55,"45-54","55+"))))</f>
        <v>25-34</v>
      </c>
      <c r="AK1038" s="4" t="str">
        <f>IF(EmployeeData[[#This Row],[MonthlyIncome]]&lt;3000,"Below 3K",IF(EmployeeData[[#This Row],[MonthlyIncome]]&lt;6000,"3K-6K",IF(EmployeeData[[#This Row],[MonthlyIncome]]&lt;9000,"6K-9K",IF(EmployeeData[[#This Row],[MonthlyIncome]]&lt;12000,"9K-12K","12K+"))))</f>
        <v>3K-6K</v>
      </c>
    </row>
    <row r="1039" spans="1:37" x14ac:dyDescent="0.3">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c r="AJ1039" s="4" t="str">
        <f>IF(EmployeeData[[#This Row],[Age]]&lt;25,"Under 25",IF(EmployeeData[[#This Row],[Age]]&lt;35,"25-34",IF(EmployeeData[[#This Row],[Age]]&lt;45,"35-44",IF(EmployeeData[[#This Row],[Age]]&lt;55,"45-54","55+"))))</f>
        <v>45-54</v>
      </c>
      <c r="AK1039" s="4" t="str">
        <f>IF(EmployeeData[[#This Row],[MonthlyIncome]]&lt;3000,"Below 3K",IF(EmployeeData[[#This Row],[MonthlyIncome]]&lt;6000,"3K-6K",IF(EmployeeData[[#This Row],[MonthlyIncome]]&lt;9000,"6K-9K",IF(EmployeeData[[#This Row],[MonthlyIncome]]&lt;12000,"9K-12K","12K+"))))</f>
        <v>9K-12K</v>
      </c>
    </row>
    <row r="1040" spans="1:37" x14ac:dyDescent="0.3">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c r="AJ1040" s="4" t="str">
        <f>IF(EmployeeData[[#This Row],[Age]]&lt;25,"Under 25",IF(EmployeeData[[#This Row],[Age]]&lt;35,"25-34",IF(EmployeeData[[#This Row],[Age]]&lt;45,"35-44",IF(EmployeeData[[#This Row],[Age]]&lt;55,"45-54","55+"))))</f>
        <v>45-54</v>
      </c>
      <c r="AK1040" s="4" t="str">
        <f>IF(EmployeeData[[#This Row],[MonthlyIncome]]&lt;3000,"Below 3K",IF(EmployeeData[[#This Row],[MonthlyIncome]]&lt;6000,"3K-6K",IF(EmployeeData[[#This Row],[MonthlyIncome]]&lt;9000,"6K-9K",IF(EmployeeData[[#This Row],[MonthlyIncome]]&lt;12000,"9K-12K","12K+"))))</f>
        <v>3K-6K</v>
      </c>
    </row>
    <row r="1041" spans="1:37" x14ac:dyDescent="0.3">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c r="AJ1041" s="4" t="str">
        <f>IF(EmployeeData[[#This Row],[Age]]&lt;25,"Under 25",IF(EmployeeData[[#This Row],[Age]]&lt;35,"25-34",IF(EmployeeData[[#This Row],[Age]]&lt;45,"35-44",IF(EmployeeData[[#This Row],[Age]]&lt;55,"45-54","55+"))))</f>
        <v>25-34</v>
      </c>
      <c r="AK1041" s="4" t="str">
        <f>IF(EmployeeData[[#This Row],[MonthlyIncome]]&lt;3000,"Below 3K",IF(EmployeeData[[#This Row],[MonthlyIncome]]&lt;6000,"3K-6K",IF(EmployeeData[[#This Row],[MonthlyIncome]]&lt;9000,"6K-9K",IF(EmployeeData[[#This Row],[MonthlyIncome]]&lt;12000,"9K-12K","12K+"))))</f>
        <v>Below 3K</v>
      </c>
    </row>
    <row r="1042" spans="1:37" x14ac:dyDescent="0.3">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c r="AJ1042" s="4" t="str">
        <f>IF(EmployeeData[[#This Row],[Age]]&lt;25,"Under 25",IF(EmployeeData[[#This Row],[Age]]&lt;35,"25-34",IF(EmployeeData[[#This Row],[Age]]&lt;45,"35-44",IF(EmployeeData[[#This Row],[Age]]&lt;55,"45-54","55+"))))</f>
        <v>35-44</v>
      </c>
      <c r="AK1042" s="4" t="str">
        <f>IF(EmployeeData[[#This Row],[MonthlyIncome]]&lt;3000,"Below 3K",IF(EmployeeData[[#This Row],[MonthlyIncome]]&lt;6000,"3K-6K",IF(EmployeeData[[#This Row],[MonthlyIncome]]&lt;9000,"6K-9K",IF(EmployeeData[[#This Row],[MonthlyIncome]]&lt;12000,"9K-12K","12K+"))))</f>
        <v>12K+</v>
      </c>
    </row>
    <row r="1043" spans="1:37" x14ac:dyDescent="0.3">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c r="AJ1043" s="4" t="str">
        <f>IF(EmployeeData[[#This Row],[Age]]&lt;25,"Under 25",IF(EmployeeData[[#This Row],[Age]]&lt;35,"25-34",IF(EmployeeData[[#This Row],[Age]]&lt;45,"35-44",IF(EmployeeData[[#This Row],[Age]]&lt;55,"45-54","55+"))))</f>
        <v>25-34</v>
      </c>
      <c r="AK1043" s="4" t="str">
        <f>IF(EmployeeData[[#This Row],[MonthlyIncome]]&lt;3000,"Below 3K",IF(EmployeeData[[#This Row],[MonthlyIncome]]&lt;6000,"3K-6K",IF(EmployeeData[[#This Row],[MonthlyIncome]]&lt;9000,"6K-9K",IF(EmployeeData[[#This Row],[MonthlyIncome]]&lt;12000,"9K-12K","12K+"))))</f>
        <v>6K-9K</v>
      </c>
    </row>
    <row r="1044" spans="1:37" x14ac:dyDescent="0.3">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c r="AJ1044" s="4" t="str">
        <f>IF(EmployeeData[[#This Row],[Age]]&lt;25,"Under 25",IF(EmployeeData[[#This Row],[Age]]&lt;35,"25-34",IF(EmployeeData[[#This Row],[Age]]&lt;45,"35-44",IF(EmployeeData[[#This Row],[Age]]&lt;55,"45-54","55+"))))</f>
        <v>35-44</v>
      </c>
      <c r="AK1044" s="4" t="str">
        <f>IF(EmployeeData[[#This Row],[MonthlyIncome]]&lt;3000,"Below 3K",IF(EmployeeData[[#This Row],[MonthlyIncome]]&lt;6000,"3K-6K",IF(EmployeeData[[#This Row],[MonthlyIncome]]&lt;9000,"6K-9K",IF(EmployeeData[[#This Row],[MonthlyIncome]]&lt;12000,"9K-12K","12K+"))))</f>
        <v>3K-6K</v>
      </c>
    </row>
    <row r="1045" spans="1:37" x14ac:dyDescent="0.3">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c r="AJ1045" s="4" t="str">
        <f>IF(EmployeeData[[#This Row],[Age]]&lt;25,"Under 25",IF(EmployeeData[[#This Row],[Age]]&lt;35,"25-34",IF(EmployeeData[[#This Row],[Age]]&lt;45,"35-44",IF(EmployeeData[[#This Row],[Age]]&lt;55,"45-54","55+"))))</f>
        <v>45-54</v>
      </c>
      <c r="AK1045" s="4" t="str">
        <f>IF(EmployeeData[[#This Row],[MonthlyIncome]]&lt;3000,"Below 3K",IF(EmployeeData[[#This Row],[MonthlyIncome]]&lt;6000,"3K-6K",IF(EmployeeData[[#This Row],[MonthlyIncome]]&lt;9000,"6K-9K",IF(EmployeeData[[#This Row],[MonthlyIncome]]&lt;12000,"9K-12K","12K+"))))</f>
        <v>12K+</v>
      </c>
    </row>
    <row r="1046" spans="1:37" x14ac:dyDescent="0.3">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c r="AJ1046" s="4" t="str">
        <f>IF(EmployeeData[[#This Row],[Age]]&lt;25,"Under 25",IF(EmployeeData[[#This Row],[Age]]&lt;35,"25-34",IF(EmployeeData[[#This Row],[Age]]&lt;45,"35-44",IF(EmployeeData[[#This Row],[Age]]&lt;55,"45-54","55+"))))</f>
        <v>45-54</v>
      </c>
      <c r="AK1046" s="4" t="str">
        <f>IF(EmployeeData[[#This Row],[MonthlyIncome]]&lt;3000,"Below 3K",IF(EmployeeData[[#This Row],[MonthlyIncome]]&lt;6000,"3K-6K",IF(EmployeeData[[#This Row],[MonthlyIncome]]&lt;9000,"6K-9K",IF(EmployeeData[[#This Row],[MonthlyIncome]]&lt;12000,"9K-12K","12K+"))))</f>
        <v>6K-9K</v>
      </c>
    </row>
    <row r="1047" spans="1:37" x14ac:dyDescent="0.3">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c r="AJ1047" s="4" t="str">
        <f>IF(EmployeeData[[#This Row],[Age]]&lt;25,"Under 25",IF(EmployeeData[[#This Row],[Age]]&lt;35,"25-34",IF(EmployeeData[[#This Row],[Age]]&lt;45,"35-44",IF(EmployeeData[[#This Row],[Age]]&lt;55,"45-54","55+"))))</f>
        <v>35-44</v>
      </c>
      <c r="AK1047" s="4" t="str">
        <f>IF(EmployeeData[[#This Row],[MonthlyIncome]]&lt;3000,"Below 3K",IF(EmployeeData[[#This Row],[MonthlyIncome]]&lt;6000,"3K-6K",IF(EmployeeData[[#This Row],[MonthlyIncome]]&lt;9000,"6K-9K",IF(EmployeeData[[#This Row],[MonthlyIncome]]&lt;12000,"9K-12K","12K+"))))</f>
        <v>Below 3K</v>
      </c>
    </row>
    <row r="1048" spans="1:37" x14ac:dyDescent="0.3">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c r="AJ1048" s="4" t="str">
        <f>IF(EmployeeData[[#This Row],[Age]]&lt;25,"Under 25",IF(EmployeeData[[#This Row],[Age]]&lt;35,"25-34",IF(EmployeeData[[#This Row],[Age]]&lt;45,"35-44",IF(EmployeeData[[#This Row],[Age]]&lt;55,"45-54","55+"))))</f>
        <v>35-44</v>
      </c>
      <c r="AK1048" s="4" t="str">
        <f>IF(EmployeeData[[#This Row],[MonthlyIncome]]&lt;3000,"Below 3K",IF(EmployeeData[[#This Row],[MonthlyIncome]]&lt;6000,"3K-6K",IF(EmployeeData[[#This Row],[MonthlyIncome]]&lt;9000,"6K-9K",IF(EmployeeData[[#This Row],[MonthlyIncome]]&lt;12000,"9K-12K","12K+"))))</f>
        <v>3K-6K</v>
      </c>
    </row>
    <row r="1049" spans="1:37" x14ac:dyDescent="0.3">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c r="AJ1049" s="4" t="str">
        <f>IF(EmployeeData[[#This Row],[Age]]&lt;25,"Under 25",IF(EmployeeData[[#This Row],[Age]]&lt;35,"25-34",IF(EmployeeData[[#This Row],[Age]]&lt;45,"35-44",IF(EmployeeData[[#This Row],[Age]]&lt;55,"45-54","55+"))))</f>
        <v>25-34</v>
      </c>
      <c r="AK1049" s="4" t="str">
        <f>IF(EmployeeData[[#This Row],[MonthlyIncome]]&lt;3000,"Below 3K",IF(EmployeeData[[#This Row],[MonthlyIncome]]&lt;6000,"3K-6K",IF(EmployeeData[[#This Row],[MonthlyIncome]]&lt;9000,"6K-9K",IF(EmployeeData[[#This Row],[MonthlyIncome]]&lt;12000,"9K-12K","12K+"))))</f>
        <v>3K-6K</v>
      </c>
    </row>
    <row r="1050" spans="1:37" x14ac:dyDescent="0.3">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c r="AJ1050" s="4" t="str">
        <f>IF(EmployeeData[[#This Row],[Age]]&lt;25,"Under 25",IF(EmployeeData[[#This Row],[Age]]&lt;35,"25-34",IF(EmployeeData[[#This Row],[Age]]&lt;45,"35-44",IF(EmployeeData[[#This Row],[Age]]&lt;55,"45-54","55+"))))</f>
        <v>25-34</v>
      </c>
      <c r="AK1050" s="4" t="str">
        <f>IF(EmployeeData[[#This Row],[MonthlyIncome]]&lt;3000,"Below 3K",IF(EmployeeData[[#This Row],[MonthlyIncome]]&lt;6000,"3K-6K",IF(EmployeeData[[#This Row],[MonthlyIncome]]&lt;9000,"6K-9K",IF(EmployeeData[[#This Row],[MonthlyIncome]]&lt;12000,"9K-12K","12K+"))))</f>
        <v>3K-6K</v>
      </c>
    </row>
    <row r="1051" spans="1:37" x14ac:dyDescent="0.3">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c r="AJ1051" s="4" t="str">
        <f>IF(EmployeeData[[#This Row],[Age]]&lt;25,"Under 25",IF(EmployeeData[[#This Row],[Age]]&lt;35,"25-34",IF(EmployeeData[[#This Row],[Age]]&lt;45,"35-44",IF(EmployeeData[[#This Row],[Age]]&lt;55,"45-54","55+"))))</f>
        <v>25-34</v>
      </c>
      <c r="AK1051" s="4" t="str">
        <f>IF(EmployeeData[[#This Row],[MonthlyIncome]]&lt;3000,"Below 3K",IF(EmployeeData[[#This Row],[MonthlyIncome]]&lt;6000,"3K-6K",IF(EmployeeData[[#This Row],[MonthlyIncome]]&lt;9000,"6K-9K",IF(EmployeeData[[#This Row],[MonthlyIncome]]&lt;12000,"9K-12K","12K+"))))</f>
        <v>3K-6K</v>
      </c>
    </row>
    <row r="1052" spans="1:37" x14ac:dyDescent="0.3">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c r="AJ1052" s="4" t="str">
        <f>IF(EmployeeData[[#This Row],[Age]]&lt;25,"Under 25",IF(EmployeeData[[#This Row],[Age]]&lt;35,"25-34",IF(EmployeeData[[#This Row],[Age]]&lt;45,"35-44",IF(EmployeeData[[#This Row],[Age]]&lt;55,"45-54","55+"))))</f>
        <v>35-44</v>
      </c>
      <c r="AK1052" s="4" t="str">
        <f>IF(EmployeeData[[#This Row],[MonthlyIncome]]&lt;3000,"Below 3K",IF(EmployeeData[[#This Row],[MonthlyIncome]]&lt;6000,"3K-6K",IF(EmployeeData[[#This Row],[MonthlyIncome]]&lt;9000,"6K-9K",IF(EmployeeData[[#This Row],[MonthlyIncome]]&lt;12000,"9K-12K","12K+"))))</f>
        <v>3K-6K</v>
      </c>
    </row>
    <row r="1053" spans="1:37" x14ac:dyDescent="0.3">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c r="AJ1053" s="4" t="str">
        <f>IF(EmployeeData[[#This Row],[Age]]&lt;25,"Under 25",IF(EmployeeData[[#This Row],[Age]]&lt;35,"25-34",IF(EmployeeData[[#This Row],[Age]]&lt;45,"35-44",IF(EmployeeData[[#This Row],[Age]]&lt;55,"45-54","55+"))))</f>
        <v>35-44</v>
      </c>
      <c r="AK1053" s="4" t="str">
        <f>IF(EmployeeData[[#This Row],[MonthlyIncome]]&lt;3000,"Below 3K",IF(EmployeeData[[#This Row],[MonthlyIncome]]&lt;6000,"3K-6K",IF(EmployeeData[[#This Row],[MonthlyIncome]]&lt;9000,"6K-9K",IF(EmployeeData[[#This Row],[MonthlyIncome]]&lt;12000,"9K-12K","12K+"))))</f>
        <v>3K-6K</v>
      </c>
    </row>
    <row r="1054" spans="1:37" x14ac:dyDescent="0.3">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c r="AJ1054" s="4" t="str">
        <f>IF(EmployeeData[[#This Row],[Age]]&lt;25,"Under 25",IF(EmployeeData[[#This Row],[Age]]&lt;35,"25-34",IF(EmployeeData[[#This Row],[Age]]&lt;45,"35-44",IF(EmployeeData[[#This Row],[Age]]&lt;55,"45-54","55+"))))</f>
        <v>25-34</v>
      </c>
      <c r="AK1054" s="4" t="str">
        <f>IF(EmployeeData[[#This Row],[MonthlyIncome]]&lt;3000,"Below 3K",IF(EmployeeData[[#This Row],[MonthlyIncome]]&lt;6000,"3K-6K",IF(EmployeeData[[#This Row],[MonthlyIncome]]&lt;9000,"6K-9K",IF(EmployeeData[[#This Row],[MonthlyIncome]]&lt;12000,"9K-12K","12K+"))))</f>
        <v>Below 3K</v>
      </c>
    </row>
    <row r="1055" spans="1:37" x14ac:dyDescent="0.3">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c r="AJ1055" s="4" t="str">
        <f>IF(EmployeeData[[#This Row],[Age]]&lt;25,"Under 25",IF(EmployeeData[[#This Row],[Age]]&lt;35,"25-34",IF(EmployeeData[[#This Row],[Age]]&lt;45,"35-44",IF(EmployeeData[[#This Row],[Age]]&lt;55,"45-54","55+"))))</f>
        <v>55+</v>
      </c>
      <c r="AK1055" s="4" t="str">
        <f>IF(EmployeeData[[#This Row],[MonthlyIncome]]&lt;3000,"Below 3K",IF(EmployeeData[[#This Row],[MonthlyIncome]]&lt;6000,"3K-6K",IF(EmployeeData[[#This Row],[MonthlyIncome]]&lt;9000,"6K-9K",IF(EmployeeData[[#This Row],[MonthlyIncome]]&lt;12000,"9K-12K","12K+"))))</f>
        <v>3K-6K</v>
      </c>
    </row>
    <row r="1056" spans="1:37" x14ac:dyDescent="0.3">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c r="AJ1056" s="4" t="str">
        <f>IF(EmployeeData[[#This Row],[Age]]&lt;25,"Under 25",IF(EmployeeData[[#This Row],[Age]]&lt;35,"25-34",IF(EmployeeData[[#This Row],[Age]]&lt;45,"35-44",IF(EmployeeData[[#This Row],[Age]]&lt;55,"45-54","55+"))))</f>
        <v>45-54</v>
      </c>
      <c r="AK1056" s="4" t="str">
        <f>IF(EmployeeData[[#This Row],[MonthlyIncome]]&lt;3000,"Below 3K",IF(EmployeeData[[#This Row],[MonthlyIncome]]&lt;6000,"3K-6K",IF(EmployeeData[[#This Row],[MonthlyIncome]]&lt;9000,"6K-9K",IF(EmployeeData[[#This Row],[MonthlyIncome]]&lt;12000,"9K-12K","12K+"))))</f>
        <v>9K-12K</v>
      </c>
    </row>
    <row r="1057" spans="1:37" x14ac:dyDescent="0.3">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c r="AJ1057" s="4" t="str">
        <f>IF(EmployeeData[[#This Row],[Age]]&lt;25,"Under 25",IF(EmployeeData[[#This Row],[Age]]&lt;35,"25-34",IF(EmployeeData[[#This Row],[Age]]&lt;45,"35-44",IF(EmployeeData[[#This Row],[Age]]&lt;55,"45-54","55+"))))</f>
        <v>25-34</v>
      </c>
      <c r="AK1057" s="4" t="str">
        <f>IF(EmployeeData[[#This Row],[MonthlyIncome]]&lt;3000,"Below 3K",IF(EmployeeData[[#This Row],[MonthlyIncome]]&lt;6000,"3K-6K",IF(EmployeeData[[#This Row],[MonthlyIncome]]&lt;9000,"6K-9K",IF(EmployeeData[[#This Row],[MonthlyIncome]]&lt;12000,"9K-12K","12K+"))))</f>
        <v>12K+</v>
      </c>
    </row>
    <row r="1058" spans="1:37" x14ac:dyDescent="0.3">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c r="AJ1058" s="4" t="str">
        <f>IF(EmployeeData[[#This Row],[Age]]&lt;25,"Under 25",IF(EmployeeData[[#This Row],[Age]]&lt;35,"25-34",IF(EmployeeData[[#This Row],[Age]]&lt;45,"35-44",IF(EmployeeData[[#This Row],[Age]]&lt;55,"45-54","55+"))))</f>
        <v>25-34</v>
      </c>
      <c r="AK1058" s="4" t="str">
        <f>IF(EmployeeData[[#This Row],[MonthlyIncome]]&lt;3000,"Below 3K",IF(EmployeeData[[#This Row],[MonthlyIncome]]&lt;6000,"3K-6K",IF(EmployeeData[[#This Row],[MonthlyIncome]]&lt;9000,"6K-9K",IF(EmployeeData[[#This Row],[MonthlyIncome]]&lt;12000,"9K-12K","12K+"))))</f>
        <v>Below 3K</v>
      </c>
    </row>
    <row r="1059" spans="1:37" x14ac:dyDescent="0.3">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c r="AJ1059" s="4" t="str">
        <f>IF(EmployeeData[[#This Row],[Age]]&lt;25,"Under 25",IF(EmployeeData[[#This Row],[Age]]&lt;35,"25-34",IF(EmployeeData[[#This Row],[Age]]&lt;45,"35-44",IF(EmployeeData[[#This Row],[Age]]&lt;55,"45-54","55+"))))</f>
        <v>25-34</v>
      </c>
      <c r="AK1059" s="4" t="str">
        <f>IF(EmployeeData[[#This Row],[MonthlyIncome]]&lt;3000,"Below 3K",IF(EmployeeData[[#This Row],[MonthlyIncome]]&lt;6000,"3K-6K",IF(EmployeeData[[#This Row],[MonthlyIncome]]&lt;9000,"6K-9K",IF(EmployeeData[[#This Row],[MonthlyIncome]]&lt;12000,"9K-12K","12K+"))))</f>
        <v>3K-6K</v>
      </c>
    </row>
    <row r="1060" spans="1:37" x14ac:dyDescent="0.3">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c r="AJ1060" s="4" t="str">
        <f>IF(EmployeeData[[#This Row],[Age]]&lt;25,"Under 25",IF(EmployeeData[[#This Row],[Age]]&lt;35,"25-34",IF(EmployeeData[[#This Row],[Age]]&lt;45,"35-44",IF(EmployeeData[[#This Row],[Age]]&lt;55,"45-54","55+"))))</f>
        <v>25-34</v>
      </c>
      <c r="AK1060" s="4" t="str">
        <f>IF(EmployeeData[[#This Row],[MonthlyIncome]]&lt;3000,"Below 3K",IF(EmployeeData[[#This Row],[MonthlyIncome]]&lt;6000,"3K-6K",IF(EmployeeData[[#This Row],[MonthlyIncome]]&lt;9000,"6K-9K",IF(EmployeeData[[#This Row],[MonthlyIncome]]&lt;12000,"9K-12K","12K+"))))</f>
        <v>3K-6K</v>
      </c>
    </row>
    <row r="1061" spans="1:37" x14ac:dyDescent="0.3">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c r="AJ1061" s="4" t="str">
        <f>IF(EmployeeData[[#This Row],[Age]]&lt;25,"Under 25",IF(EmployeeData[[#This Row],[Age]]&lt;35,"25-34",IF(EmployeeData[[#This Row],[Age]]&lt;45,"35-44",IF(EmployeeData[[#This Row],[Age]]&lt;55,"45-54","55+"))))</f>
        <v>35-44</v>
      </c>
      <c r="AK1061" s="4" t="str">
        <f>IF(EmployeeData[[#This Row],[MonthlyIncome]]&lt;3000,"Below 3K",IF(EmployeeData[[#This Row],[MonthlyIncome]]&lt;6000,"3K-6K",IF(EmployeeData[[#This Row],[MonthlyIncome]]&lt;9000,"6K-9K",IF(EmployeeData[[#This Row],[MonthlyIncome]]&lt;12000,"9K-12K","12K+"))))</f>
        <v>Below 3K</v>
      </c>
    </row>
    <row r="1062" spans="1:37" x14ac:dyDescent="0.3">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c r="AJ1062" s="4" t="str">
        <f>IF(EmployeeData[[#This Row],[Age]]&lt;25,"Under 25",IF(EmployeeData[[#This Row],[Age]]&lt;35,"25-34",IF(EmployeeData[[#This Row],[Age]]&lt;45,"35-44",IF(EmployeeData[[#This Row],[Age]]&lt;55,"45-54","55+"))))</f>
        <v>Under 25</v>
      </c>
      <c r="AK1062" s="4" t="str">
        <f>IF(EmployeeData[[#This Row],[MonthlyIncome]]&lt;3000,"Below 3K",IF(EmployeeData[[#This Row],[MonthlyIncome]]&lt;6000,"3K-6K",IF(EmployeeData[[#This Row],[MonthlyIncome]]&lt;9000,"6K-9K",IF(EmployeeData[[#This Row],[MonthlyIncome]]&lt;12000,"9K-12K","12K+"))))</f>
        <v>3K-6K</v>
      </c>
    </row>
    <row r="1063" spans="1:37" x14ac:dyDescent="0.3">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c r="AJ1063" s="4" t="str">
        <f>IF(EmployeeData[[#This Row],[Age]]&lt;25,"Under 25",IF(EmployeeData[[#This Row],[Age]]&lt;35,"25-34",IF(EmployeeData[[#This Row],[Age]]&lt;45,"35-44",IF(EmployeeData[[#This Row],[Age]]&lt;55,"45-54","55+"))))</f>
        <v>Under 25</v>
      </c>
      <c r="AK1063" s="4" t="str">
        <f>IF(EmployeeData[[#This Row],[MonthlyIncome]]&lt;3000,"Below 3K",IF(EmployeeData[[#This Row],[MonthlyIncome]]&lt;6000,"3K-6K",IF(EmployeeData[[#This Row],[MonthlyIncome]]&lt;9000,"6K-9K",IF(EmployeeData[[#This Row],[MonthlyIncome]]&lt;12000,"9K-12K","12K+"))))</f>
        <v>Below 3K</v>
      </c>
    </row>
    <row r="1064" spans="1:37" x14ac:dyDescent="0.3">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c r="AJ1064" s="4" t="str">
        <f>IF(EmployeeData[[#This Row],[Age]]&lt;25,"Under 25",IF(EmployeeData[[#This Row],[Age]]&lt;35,"25-34",IF(EmployeeData[[#This Row],[Age]]&lt;45,"35-44",IF(EmployeeData[[#This Row],[Age]]&lt;55,"45-54","55+"))))</f>
        <v>35-44</v>
      </c>
      <c r="AK1064" s="4" t="str">
        <f>IF(EmployeeData[[#This Row],[MonthlyIncome]]&lt;3000,"Below 3K",IF(EmployeeData[[#This Row],[MonthlyIncome]]&lt;6000,"3K-6K",IF(EmployeeData[[#This Row],[MonthlyIncome]]&lt;9000,"6K-9K",IF(EmployeeData[[#This Row],[MonthlyIncome]]&lt;12000,"9K-12K","12K+"))))</f>
        <v>9K-12K</v>
      </c>
    </row>
    <row r="1065" spans="1:37" x14ac:dyDescent="0.3">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c r="AJ1065" s="4" t="str">
        <f>IF(EmployeeData[[#This Row],[Age]]&lt;25,"Under 25",IF(EmployeeData[[#This Row],[Age]]&lt;35,"25-34",IF(EmployeeData[[#This Row],[Age]]&lt;45,"35-44",IF(EmployeeData[[#This Row],[Age]]&lt;55,"45-54","55+"))))</f>
        <v>25-34</v>
      </c>
      <c r="AK1065" s="4" t="str">
        <f>IF(EmployeeData[[#This Row],[MonthlyIncome]]&lt;3000,"Below 3K",IF(EmployeeData[[#This Row],[MonthlyIncome]]&lt;6000,"3K-6K",IF(EmployeeData[[#This Row],[MonthlyIncome]]&lt;9000,"6K-9K",IF(EmployeeData[[#This Row],[MonthlyIncome]]&lt;12000,"9K-12K","12K+"))))</f>
        <v>6K-9K</v>
      </c>
    </row>
    <row r="1066" spans="1:37" x14ac:dyDescent="0.3">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c r="AJ1066" s="4" t="str">
        <f>IF(EmployeeData[[#This Row],[Age]]&lt;25,"Under 25",IF(EmployeeData[[#This Row],[Age]]&lt;35,"25-34",IF(EmployeeData[[#This Row],[Age]]&lt;45,"35-44",IF(EmployeeData[[#This Row],[Age]]&lt;55,"45-54","55+"))))</f>
        <v>25-34</v>
      </c>
      <c r="AK1066" s="4" t="str">
        <f>IF(EmployeeData[[#This Row],[MonthlyIncome]]&lt;3000,"Below 3K",IF(EmployeeData[[#This Row],[MonthlyIncome]]&lt;6000,"3K-6K",IF(EmployeeData[[#This Row],[MonthlyIncome]]&lt;9000,"6K-9K",IF(EmployeeData[[#This Row],[MonthlyIncome]]&lt;12000,"9K-12K","12K+"))))</f>
        <v>Below 3K</v>
      </c>
    </row>
    <row r="1067" spans="1:37" x14ac:dyDescent="0.3">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c r="AJ1067" s="4" t="str">
        <f>IF(EmployeeData[[#This Row],[Age]]&lt;25,"Under 25",IF(EmployeeData[[#This Row],[Age]]&lt;35,"25-34",IF(EmployeeData[[#This Row],[Age]]&lt;45,"35-44",IF(EmployeeData[[#This Row],[Age]]&lt;55,"45-54","55+"))))</f>
        <v>55+</v>
      </c>
      <c r="AK1067" s="4" t="str">
        <f>IF(EmployeeData[[#This Row],[MonthlyIncome]]&lt;3000,"Below 3K",IF(EmployeeData[[#This Row],[MonthlyIncome]]&lt;6000,"3K-6K",IF(EmployeeData[[#This Row],[MonthlyIncome]]&lt;9000,"6K-9K",IF(EmployeeData[[#This Row],[MonthlyIncome]]&lt;12000,"9K-12K","12K+"))))</f>
        <v>3K-6K</v>
      </c>
    </row>
    <row r="1068" spans="1:37" x14ac:dyDescent="0.3">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c r="AJ1068" s="4" t="str">
        <f>IF(EmployeeData[[#This Row],[Age]]&lt;25,"Under 25",IF(EmployeeData[[#This Row],[Age]]&lt;35,"25-34",IF(EmployeeData[[#This Row],[Age]]&lt;45,"35-44",IF(EmployeeData[[#This Row],[Age]]&lt;55,"45-54","55+"))))</f>
        <v>25-34</v>
      </c>
      <c r="AK1068" s="4" t="str">
        <f>IF(EmployeeData[[#This Row],[MonthlyIncome]]&lt;3000,"Below 3K",IF(EmployeeData[[#This Row],[MonthlyIncome]]&lt;6000,"3K-6K",IF(EmployeeData[[#This Row],[MonthlyIncome]]&lt;9000,"6K-9K",IF(EmployeeData[[#This Row],[MonthlyIncome]]&lt;12000,"9K-12K","12K+"))))</f>
        <v>3K-6K</v>
      </c>
    </row>
    <row r="1069" spans="1:37" x14ac:dyDescent="0.3">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c r="AJ1069" s="4" t="str">
        <f>IF(EmployeeData[[#This Row],[Age]]&lt;25,"Under 25",IF(EmployeeData[[#This Row],[Age]]&lt;35,"25-34",IF(EmployeeData[[#This Row],[Age]]&lt;45,"35-44",IF(EmployeeData[[#This Row],[Age]]&lt;55,"45-54","55+"))))</f>
        <v>45-54</v>
      </c>
      <c r="AK1069" s="4" t="str">
        <f>IF(EmployeeData[[#This Row],[MonthlyIncome]]&lt;3000,"Below 3K",IF(EmployeeData[[#This Row],[MonthlyIncome]]&lt;6000,"3K-6K",IF(EmployeeData[[#This Row],[MonthlyIncome]]&lt;9000,"6K-9K",IF(EmployeeData[[#This Row],[MonthlyIncome]]&lt;12000,"9K-12K","12K+"))))</f>
        <v>3K-6K</v>
      </c>
    </row>
    <row r="1070" spans="1:37" x14ac:dyDescent="0.3">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c r="AJ1070" s="4" t="str">
        <f>IF(EmployeeData[[#This Row],[Age]]&lt;25,"Under 25",IF(EmployeeData[[#This Row],[Age]]&lt;35,"25-34",IF(EmployeeData[[#This Row],[Age]]&lt;45,"35-44",IF(EmployeeData[[#This Row],[Age]]&lt;55,"45-54","55+"))))</f>
        <v>25-34</v>
      </c>
      <c r="AK1070" s="4" t="str">
        <f>IF(EmployeeData[[#This Row],[MonthlyIncome]]&lt;3000,"Below 3K",IF(EmployeeData[[#This Row],[MonthlyIncome]]&lt;6000,"3K-6K",IF(EmployeeData[[#This Row],[MonthlyIncome]]&lt;9000,"6K-9K",IF(EmployeeData[[#This Row],[MonthlyIncome]]&lt;12000,"9K-12K","12K+"))))</f>
        <v>Below 3K</v>
      </c>
    </row>
    <row r="1071" spans="1:37" x14ac:dyDescent="0.3">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c r="AJ1071" s="4" t="str">
        <f>IF(EmployeeData[[#This Row],[Age]]&lt;25,"Under 25",IF(EmployeeData[[#This Row],[Age]]&lt;35,"25-34",IF(EmployeeData[[#This Row],[Age]]&lt;45,"35-44",IF(EmployeeData[[#This Row],[Age]]&lt;55,"45-54","55+"))))</f>
        <v>25-34</v>
      </c>
      <c r="AK1071" s="4" t="str">
        <f>IF(EmployeeData[[#This Row],[MonthlyIncome]]&lt;3000,"Below 3K",IF(EmployeeData[[#This Row],[MonthlyIncome]]&lt;6000,"3K-6K",IF(EmployeeData[[#This Row],[MonthlyIncome]]&lt;9000,"6K-9K",IF(EmployeeData[[#This Row],[MonthlyIncome]]&lt;12000,"9K-12K","12K+"))))</f>
        <v>Below 3K</v>
      </c>
    </row>
    <row r="1072" spans="1:37" x14ac:dyDescent="0.3">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c r="AJ1072" s="4" t="str">
        <f>IF(EmployeeData[[#This Row],[Age]]&lt;25,"Under 25",IF(EmployeeData[[#This Row],[Age]]&lt;35,"25-34",IF(EmployeeData[[#This Row],[Age]]&lt;45,"35-44",IF(EmployeeData[[#This Row],[Age]]&lt;55,"45-54","55+"))))</f>
        <v>25-34</v>
      </c>
      <c r="AK1072" s="4" t="str">
        <f>IF(EmployeeData[[#This Row],[MonthlyIncome]]&lt;3000,"Below 3K",IF(EmployeeData[[#This Row],[MonthlyIncome]]&lt;6000,"3K-6K",IF(EmployeeData[[#This Row],[MonthlyIncome]]&lt;9000,"6K-9K",IF(EmployeeData[[#This Row],[MonthlyIncome]]&lt;12000,"9K-12K","12K+"))))</f>
        <v>3K-6K</v>
      </c>
    </row>
    <row r="1073" spans="1:37" x14ac:dyDescent="0.3">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c r="AJ1073" s="4" t="str">
        <f>IF(EmployeeData[[#This Row],[Age]]&lt;25,"Under 25",IF(EmployeeData[[#This Row],[Age]]&lt;35,"25-34",IF(EmployeeData[[#This Row],[Age]]&lt;45,"35-44",IF(EmployeeData[[#This Row],[Age]]&lt;55,"45-54","55+"))))</f>
        <v>45-54</v>
      </c>
      <c r="AK1073" s="4" t="str">
        <f>IF(EmployeeData[[#This Row],[MonthlyIncome]]&lt;3000,"Below 3K",IF(EmployeeData[[#This Row],[MonthlyIncome]]&lt;6000,"3K-6K",IF(EmployeeData[[#This Row],[MonthlyIncome]]&lt;9000,"6K-9K",IF(EmployeeData[[#This Row],[MonthlyIncome]]&lt;12000,"9K-12K","12K+"))))</f>
        <v>3K-6K</v>
      </c>
    </row>
    <row r="1074" spans="1:37" x14ac:dyDescent="0.3">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c r="AJ1074" s="4" t="str">
        <f>IF(EmployeeData[[#This Row],[Age]]&lt;25,"Under 25",IF(EmployeeData[[#This Row],[Age]]&lt;35,"25-34",IF(EmployeeData[[#This Row],[Age]]&lt;45,"35-44",IF(EmployeeData[[#This Row],[Age]]&lt;55,"45-54","55+"))))</f>
        <v>25-34</v>
      </c>
      <c r="AK1074" s="4" t="str">
        <f>IF(EmployeeData[[#This Row],[MonthlyIncome]]&lt;3000,"Below 3K",IF(EmployeeData[[#This Row],[MonthlyIncome]]&lt;6000,"3K-6K",IF(EmployeeData[[#This Row],[MonthlyIncome]]&lt;9000,"6K-9K",IF(EmployeeData[[#This Row],[MonthlyIncome]]&lt;12000,"9K-12K","12K+"))))</f>
        <v>3K-6K</v>
      </c>
    </row>
    <row r="1075" spans="1:37" x14ac:dyDescent="0.3">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c r="AJ1075" s="4" t="str">
        <f>IF(EmployeeData[[#This Row],[Age]]&lt;25,"Under 25",IF(EmployeeData[[#This Row],[Age]]&lt;35,"25-34",IF(EmployeeData[[#This Row],[Age]]&lt;45,"35-44",IF(EmployeeData[[#This Row],[Age]]&lt;55,"45-54","55+"))))</f>
        <v>25-34</v>
      </c>
      <c r="AK1075" s="4" t="str">
        <f>IF(EmployeeData[[#This Row],[MonthlyIncome]]&lt;3000,"Below 3K",IF(EmployeeData[[#This Row],[MonthlyIncome]]&lt;6000,"3K-6K",IF(EmployeeData[[#This Row],[MonthlyIncome]]&lt;9000,"6K-9K",IF(EmployeeData[[#This Row],[MonthlyIncome]]&lt;12000,"9K-12K","12K+"))))</f>
        <v>6K-9K</v>
      </c>
    </row>
    <row r="1076" spans="1:37" x14ac:dyDescent="0.3">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c r="AJ1076" s="4" t="str">
        <f>IF(EmployeeData[[#This Row],[Age]]&lt;25,"Under 25",IF(EmployeeData[[#This Row],[Age]]&lt;35,"25-34",IF(EmployeeData[[#This Row],[Age]]&lt;45,"35-44",IF(EmployeeData[[#This Row],[Age]]&lt;55,"45-54","55+"))))</f>
        <v>25-34</v>
      </c>
      <c r="AK1076" s="4" t="str">
        <f>IF(EmployeeData[[#This Row],[MonthlyIncome]]&lt;3000,"Below 3K",IF(EmployeeData[[#This Row],[MonthlyIncome]]&lt;6000,"3K-6K",IF(EmployeeData[[#This Row],[MonthlyIncome]]&lt;9000,"6K-9K",IF(EmployeeData[[#This Row],[MonthlyIncome]]&lt;12000,"9K-12K","12K+"))))</f>
        <v>6K-9K</v>
      </c>
    </row>
    <row r="1077" spans="1:37" x14ac:dyDescent="0.3">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c r="AJ1077" s="4" t="str">
        <f>IF(EmployeeData[[#This Row],[Age]]&lt;25,"Under 25",IF(EmployeeData[[#This Row],[Age]]&lt;35,"25-34",IF(EmployeeData[[#This Row],[Age]]&lt;45,"35-44",IF(EmployeeData[[#This Row],[Age]]&lt;55,"45-54","55+"))))</f>
        <v>25-34</v>
      </c>
      <c r="AK1077" s="4" t="str">
        <f>IF(EmployeeData[[#This Row],[MonthlyIncome]]&lt;3000,"Below 3K",IF(EmployeeData[[#This Row],[MonthlyIncome]]&lt;6000,"3K-6K",IF(EmployeeData[[#This Row],[MonthlyIncome]]&lt;9000,"6K-9K",IF(EmployeeData[[#This Row],[MonthlyIncome]]&lt;12000,"9K-12K","12K+"))))</f>
        <v>9K-12K</v>
      </c>
    </row>
    <row r="1078" spans="1:37" x14ac:dyDescent="0.3">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c r="AJ1078" s="4" t="str">
        <f>IF(EmployeeData[[#This Row],[Age]]&lt;25,"Under 25",IF(EmployeeData[[#This Row],[Age]]&lt;35,"25-34",IF(EmployeeData[[#This Row],[Age]]&lt;45,"35-44",IF(EmployeeData[[#This Row],[Age]]&lt;55,"45-54","55+"))))</f>
        <v>45-54</v>
      </c>
      <c r="AK1078" s="4" t="str">
        <f>IF(EmployeeData[[#This Row],[MonthlyIncome]]&lt;3000,"Below 3K",IF(EmployeeData[[#This Row],[MonthlyIncome]]&lt;6000,"3K-6K",IF(EmployeeData[[#This Row],[MonthlyIncome]]&lt;9000,"6K-9K",IF(EmployeeData[[#This Row],[MonthlyIncome]]&lt;12000,"9K-12K","12K+"))))</f>
        <v>12K+</v>
      </c>
    </row>
    <row r="1079" spans="1:37" x14ac:dyDescent="0.3">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c r="AJ1079" s="4" t="str">
        <f>IF(EmployeeData[[#This Row],[Age]]&lt;25,"Under 25",IF(EmployeeData[[#This Row],[Age]]&lt;35,"25-34",IF(EmployeeData[[#This Row],[Age]]&lt;45,"35-44",IF(EmployeeData[[#This Row],[Age]]&lt;55,"45-54","55+"))))</f>
        <v>25-34</v>
      </c>
      <c r="AK1079" s="4" t="str">
        <f>IF(EmployeeData[[#This Row],[MonthlyIncome]]&lt;3000,"Below 3K",IF(EmployeeData[[#This Row],[MonthlyIncome]]&lt;6000,"3K-6K",IF(EmployeeData[[#This Row],[MonthlyIncome]]&lt;9000,"6K-9K",IF(EmployeeData[[#This Row],[MonthlyIncome]]&lt;12000,"9K-12K","12K+"))))</f>
        <v>Below 3K</v>
      </c>
    </row>
    <row r="1080" spans="1:37" x14ac:dyDescent="0.3">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c r="AJ1080" s="4" t="str">
        <f>IF(EmployeeData[[#This Row],[Age]]&lt;25,"Under 25",IF(EmployeeData[[#This Row],[Age]]&lt;35,"25-34",IF(EmployeeData[[#This Row],[Age]]&lt;45,"35-44",IF(EmployeeData[[#This Row],[Age]]&lt;55,"45-54","55+"))))</f>
        <v>35-44</v>
      </c>
      <c r="AK1080" s="4" t="str">
        <f>IF(EmployeeData[[#This Row],[MonthlyIncome]]&lt;3000,"Below 3K",IF(EmployeeData[[#This Row],[MonthlyIncome]]&lt;6000,"3K-6K",IF(EmployeeData[[#This Row],[MonthlyIncome]]&lt;9000,"6K-9K",IF(EmployeeData[[#This Row],[MonthlyIncome]]&lt;12000,"9K-12K","12K+"))))</f>
        <v>12K+</v>
      </c>
    </row>
    <row r="1081" spans="1:37" x14ac:dyDescent="0.3">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c r="AJ1081" s="4" t="str">
        <f>IF(EmployeeData[[#This Row],[Age]]&lt;25,"Under 25",IF(EmployeeData[[#This Row],[Age]]&lt;35,"25-34",IF(EmployeeData[[#This Row],[Age]]&lt;45,"35-44",IF(EmployeeData[[#This Row],[Age]]&lt;55,"45-54","55+"))))</f>
        <v>35-44</v>
      </c>
      <c r="AK1081" s="4" t="str">
        <f>IF(EmployeeData[[#This Row],[MonthlyIncome]]&lt;3000,"Below 3K",IF(EmployeeData[[#This Row],[MonthlyIncome]]&lt;6000,"3K-6K",IF(EmployeeData[[#This Row],[MonthlyIncome]]&lt;9000,"6K-9K",IF(EmployeeData[[#This Row],[MonthlyIncome]]&lt;12000,"9K-12K","12K+"))))</f>
        <v>6K-9K</v>
      </c>
    </row>
    <row r="1082" spans="1:37" x14ac:dyDescent="0.3">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c r="AJ1082" s="4" t="str">
        <f>IF(EmployeeData[[#This Row],[Age]]&lt;25,"Under 25",IF(EmployeeData[[#This Row],[Age]]&lt;35,"25-34",IF(EmployeeData[[#This Row],[Age]]&lt;45,"35-44",IF(EmployeeData[[#This Row],[Age]]&lt;55,"45-54","55+"))))</f>
        <v>45-54</v>
      </c>
      <c r="AK1082" s="4" t="str">
        <f>IF(EmployeeData[[#This Row],[MonthlyIncome]]&lt;3000,"Below 3K",IF(EmployeeData[[#This Row],[MonthlyIncome]]&lt;6000,"3K-6K",IF(EmployeeData[[#This Row],[MonthlyIncome]]&lt;9000,"6K-9K",IF(EmployeeData[[#This Row],[MonthlyIncome]]&lt;12000,"9K-12K","12K+"))))</f>
        <v>12K+</v>
      </c>
    </row>
    <row r="1083" spans="1:37" x14ac:dyDescent="0.3">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c r="AJ1083" s="4" t="str">
        <f>IF(EmployeeData[[#This Row],[Age]]&lt;25,"Under 25",IF(EmployeeData[[#This Row],[Age]]&lt;35,"25-34",IF(EmployeeData[[#This Row],[Age]]&lt;45,"35-44",IF(EmployeeData[[#This Row],[Age]]&lt;55,"45-54","55+"))))</f>
        <v>35-44</v>
      </c>
      <c r="AK1083" s="4" t="str">
        <f>IF(EmployeeData[[#This Row],[MonthlyIncome]]&lt;3000,"Below 3K",IF(EmployeeData[[#This Row],[MonthlyIncome]]&lt;6000,"3K-6K",IF(EmployeeData[[#This Row],[MonthlyIncome]]&lt;9000,"6K-9K",IF(EmployeeData[[#This Row],[MonthlyIncome]]&lt;12000,"9K-12K","12K+"))))</f>
        <v>6K-9K</v>
      </c>
    </row>
    <row r="1084" spans="1:37" x14ac:dyDescent="0.3">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c r="AJ1084" s="4" t="str">
        <f>IF(EmployeeData[[#This Row],[Age]]&lt;25,"Under 25",IF(EmployeeData[[#This Row],[Age]]&lt;35,"25-34",IF(EmployeeData[[#This Row],[Age]]&lt;45,"35-44",IF(EmployeeData[[#This Row],[Age]]&lt;55,"45-54","55+"))))</f>
        <v>Under 25</v>
      </c>
      <c r="AK1084" s="4" t="str">
        <f>IF(EmployeeData[[#This Row],[MonthlyIncome]]&lt;3000,"Below 3K",IF(EmployeeData[[#This Row],[MonthlyIncome]]&lt;6000,"3K-6K",IF(EmployeeData[[#This Row],[MonthlyIncome]]&lt;9000,"6K-9K",IF(EmployeeData[[#This Row],[MonthlyIncome]]&lt;12000,"9K-12K","12K+"))))</f>
        <v>Below 3K</v>
      </c>
    </row>
    <row r="1085" spans="1:37" x14ac:dyDescent="0.3">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c r="AJ1085" s="4" t="str">
        <f>IF(EmployeeData[[#This Row],[Age]]&lt;25,"Under 25",IF(EmployeeData[[#This Row],[Age]]&lt;35,"25-34",IF(EmployeeData[[#This Row],[Age]]&lt;45,"35-44",IF(EmployeeData[[#This Row],[Age]]&lt;55,"45-54","55+"))))</f>
        <v>35-44</v>
      </c>
      <c r="AK1085" s="4" t="str">
        <f>IF(EmployeeData[[#This Row],[MonthlyIncome]]&lt;3000,"Below 3K",IF(EmployeeData[[#This Row],[MonthlyIncome]]&lt;6000,"3K-6K",IF(EmployeeData[[#This Row],[MonthlyIncome]]&lt;9000,"6K-9K",IF(EmployeeData[[#This Row],[MonthlyIncome]]&lt;12000,"9K-12K","12K+"))))</f>
        <v>Below 3K</v>
      </c>
    </row>
    <row r="1086" spans="1:37" x14ac:dyDescent="0.3">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c r="AJ1086" s="4" t="str">
        <f>IF(EmployeeData[[#This Row],[Age]]&lt;25,"Under 25",IF(EmployeeData[[#This Row],[Age]]&lt;35,"25-34",IF(EmployeeData[[#This Row],[Age]]&lt;45,"35-44",IF(EmployeeData[[#This Row],[Age]]&lt;55,"45-54","55+"))))</f>
        <v>25-34</v>
      </c>
      <c r="AK1086" s="4" t="str">
        <f>IF(EmployeeData[[#This Row],[MonthlyIncome]]&lt;3000,"Below 3K",IF(EmployeeData[[#This Row],[MonthlyIncome]]&lt;6000,"3K-6K",IF(EmployeeData[[#This Row],[MonthlyIncome]]&lt;9000,"6K-9K",IF(EmployeeData[[#This Row],[MonthlyIncome]]&lt;12000,"9K-12K","12K+"))))</f>
        <v>6K-9K</v>
      </c>
    </row>
    <row r="1087" spans="1:37" x14ac:dyDescent="0.3">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c r="AJ1087" s="4" t="str">
        <f>IF(EmployeeData[[#This Row],[Age]]&lt;25,"Under 25",IF(EmployeeData[[#This Row],[Age]]&lt;35,"25-34",IF(EmployeeData[[#This Row],[Age]]&lt;45,"35-44",IF(EmployeeData[[#This Row],[Age]]&lt;55,"45-54","55+"))))</f>
        <v>25-34</v>
      </c>
      <c r="AK1087" s="4" t="str">
        <f>IF(EmployeeData[[#This Row],[MonthlyIncome]]&lt;3000,"Below 3K",IF(EmployeeData[[#This Row],[MonthlyIncome]]&lt;6000,"3K-6K",IF(EmployeeData[[#This Row],[MonthlyIncome]]&lt;9000,"6K-9K",IF(EmployeeData[[#This Row],[MonthlyIncome]]&lt;12000,"9K-12K","12K+"))))</f>
        <v>3K-6K</v>
      </c>
    </row>
    <row r="1088" spans="1:37" x14ac:dyDescent="0.3">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c r="AJ1088" s="4" t="str">
        <f>IF(EmployeeData[[#This Row],[Age]]&lt;25,"Under 25",IF(EmployeeData[[#This Row],[Age]]&lt;35,"25-34",IF(EmployeeData[[#This Row],[Age]]&lt;45,"35-44",IF(EmployeeData[[#This Row],[Age]]&lt;55,"45-54","55+"))))</f>
        <v>45-54</v>
      </c>
      <c r="AK1088" s="4" t="str">
        <f>IF(EmployeeData[[#This Row],[MonthlyIncome]]&lt;3000,"Below 3K",IF(EmployeeData[[#This Row],[MonthlyIncome]]&lt;6000,"3K-6K",IF(EmployeeData[[#This Row],[MonthlyIncome]]&lt;9000,"6K-9K",IF(EmployeeData[[#This Row],[MonthlyIncome]]&lt;12000,"9K-12K","12K+"))))</f>
        <v>12K+</v>
      </c>
    </row>
    <row r="1089" spans="1:37" x14ac:dyDescent="0.3">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c r="AJ1089" s="4" t="str">
        <f>IF(EmployeeData[[#This Row],[Age]]&lt;25,"Under 25",IF(EmployeeData[[#This Row],[Age]]&lt;35,"25-34",IF(EmployeeData[[#This Row],[Age]]&lt;45,"35-44",IF(EmployeeData[[#This Row],[Age]]&lt;55,"45-54","55+"))))</f>
        <v>25-34</v>
      </c>
      <c r="AK1089" s="4" t="str">
        <f>IF(EmployeeData[[#This Row],[MonthlyIncome]]&lt;3000,"Below 3K",IF(EmployeeData[[#This Row],[MonthlyIncome]]&lt;6000,"3K-6K",IF(EmployeeData[[#This Row],[MonthlyIncome]]&lt;9000,"6K-9K",IF(EmployeeData[[#This Row],[MonthlyIncome]]&lt;12000,"9K-12K","12K+"))))</f>
        <v>Below 3K</v>
      </c>
    </row>
    <row r="1090" spans="1:37" x14ac:dyDescent="0.3">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c r="AJ1090" s="4" t="str">
        <f>IF(EmployeeData[[#This Row],[Age]]&lt;25,"Under 25",IF(EmployeeData[[#This Row],[Age]]&lt;35,"25-34",IF(EmployeeData[[#This Row],[Age]]&lt;45,"35-44",IF(EmployeeData[[#This Row],[Age]]&lt;55,"45-54","55+"))))</f>
        <v>35-44</v>
      </c>
      <c r="AK1090" s="4" t="str">
        <f>IF(EmployeeData[[#This Row],[MonthlyIncome]]&lt;3000,"Below 3K",IF(EmployeeData[[#This Row],[MonthlyIncome]]&lt;6000,"3K-6K",IF(EmployeeData[[#This Row],[MonthlyIncome]]&lt;9000,"6K-9K",IF(EmployeeData[[#This Row],[MonthlyIncome]]&lt;12000,"9K-12K","12K+"))))</f>
        <v>3K-6K</v>
      </c>
    </row>
    <row r="1091" spans="1:37" x14ac:dyDescent="0.3">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c r="AJ1091" s="4" t="str">
        <f>IF(EmployeeData[[#This Row],[Age]]&lt;25,"Under 25",IF(EmployeeData[[#This Row],[Age]]&lt;35,"25-34",IF(EmployeeData[[#This Row],[Age]]&lt;45,"35-44",IF(EmployeeData[[#This Row],[Age]]&lt;55,"45-54","55+"))))</f>
        <v>35-44</v>
      </c>
      <c r="AK1091" s="4" t="str">
        <f>IF(EmployeeData[[#This Row],[MonthlyIncome]]&lt;3000,"Below 3K",IF(EmployeeData[[#This Row],[MonthlyIncome]]&lt;6000,"3K-6K",IF(EmployeeData[[#This Row],[MonthlyIncome]]&lt;9000,"6K-9K",IF(EmployeeData[[#This Row],[MonthlyIncome]]&lt;12000,"9K-12K","12K+"))))</f>
        <v>3K-6K</v>
      </c>
    </row>
    <row r="1092" spans="1:37" x14ac:dyDescent="0.3">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c r="AJ1092" s="4" t="str">
        <f>IF(EmployeeData[[#This Row],[Age]]&lt;25,"Under 25",IF(EmployeeData[[#This Row],[Age]]&lt;35,"25-34",IF(EmployeeData[[#This Row],[Age]]&lt;45,"35-44",IF(EmployeeData[[#This Row],[Age]]&lt;55,"45-54","55+"))))</f>
        <v>25-34</v>
      </c>
      <c r="AK1092" s="4" t="str">
        <f>IF(EmployeeData[[#This Row],[MonthlyIncome]]&lt;3000,"Below 3K",IF(EmployeeData[[#This Row],[MonthlyIncome]]&lt;6000,"3K-6K",IF(EmployeeData[[#This Row],[MonthlyIncome]]&lt;9000,"6K-9K",IF(EmployeeData[[#This Row],[MonthlyIncome]]&lt;12000,"9K-12K","12K+"))))</f>
        <v>9K-12K</v>
      </c>
    </row>
    <row r="1093" spans="1:37" x14ac:dyDescent="0.3">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c r="AJ1093" s="4" t="str">
        <f>IF(EmployeeData[[#This Row],[Age]]&lt;25,"Under 25",IF(EmployeeData[[#This Row],[Age]]&lt;35,"25-34",IF(EmployeeData[[#This Row],[Age]]&lt;45,"35-44",IF(EmployeeData[[#This Row],[Age]]&lt;55,"45-54","55+"))))</f>
        <v>25-34</v>
      </c>
      <c r="AK1093" s="4" t="str">
        <f>IF(EmployeeData[[#This Row],[MonthlyIncome]]&lt;3000,"Below 3K",IF(EmployeeData[[#This Row],[MonthlyIncome]]&lt;6000,"3K-6K",IF(EmployeeData[[#This Row],[MonthlyIncome]]&lt;9000,"6K-9K",IF(EmployeeData[[#This Row],[MonthlyIncome]]&lt;12000,"9K-12K","12K+"))))</f>
        <v>3K-6K</v>
      </c>
    </row>
    <row r="1094" spans="1:37" x14ac:dyDescent="0.3">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c r="AJ1094" s="4" t="str">
        <f>IF(EmployeeData[[#This Row],[Age]]&lt;25,"Under 25",IF(EmployeeData[[#This Row],[Age]]&lt;35,"25-34",IF(EmployeeData[[#This Row],[Age]]&lt;45,"35-44",IF(EmployeeData[[#This Row],[Age]]&lt;55,"45-54","55+"))))</f>
        <v>45-54</v>
      </c>
      <c r="AK1094" s="4" t="str">
        <f>IF(EmployeeData[[#This Row],[MonthlyIncome]]&lt;3000,"Below 3K",IF(EmployeeData[[#This Row],[MonthlyIncome]]&lt;6000,"3K-6K",IF(EmployeeData[[#This Row],[MonthlyIncome]]&lt;9000,"6K-9K",IF(EmployeeData[[#This Row],[MonthlyIncome]]&lt;12000,"9K-12K","12K+"))))</f>
        <v>Below 3K</v>
      </c>
    </row>
    <row r="1095" spans="1:37" x14ac:dyDescent="0.3">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c r="AJ1095" s="4" t="str">
        <f>IF(EmployeeData[[#This Row],[Age]]&lt;25,"Under 25",IF(EmployeeData[[#This Row],[Age]]&lt;35,"25-34",IF(EmployeeData[[#This Row],[Age]]&lt;45,"35-44",IF(EmployeeData[[#This Row],[Age]]&lt;55,"45-54","55+"))))</f>
        <v>35-44</v>
      </c>
      <c r="AK1095" s="4" t="str">
        <f>IF(EmployeeData[[#This Row],[MonthlyIncome]]&lt;3000,"Below 3K",IF(EmployeeData[[#This Row],[MonthlyIncome]]&lt;6000,"3K-6K",IF(EmployeeData[[#This Row],[MonthlyIncome]]&lt;9000,"6K-9K",IF(EmployeeData[[#This Row],[MonthlyIncome]]&lt;12000,"9K-12K","12K+"))))</f>
        <v>9K-12K</v>
      </c>
    </row>
    <row r="1096" spans="1:37" x14ac:dyDescent="0.3">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c r="AJ1096" s="4" t="str">
        <f>IF(EmployeeData[[#This Row],[Age]]&lt;25,"Under 25",IF(EmployeeData[[#This Row],[Age]]&lt;35,"25-34",IF(EmployeeData[[#This Row],[Age]]&lt;45,"35-44",IF(EmployeeData[[#This Row],[Age]]&lt;55,"45-54","55+"))))</f>
        <v>35-44</v>
      </c>
      <c r="AK1096" s="4" t="str">
        <f>IF(EmployeeData[[#This Row],[MonthlyIncome]]&lt;3000,"Below 3K",IF(EmployeeData[[#This Row],[MonthlyIncome]]&lt;6000,"3K-6K",IF(EmployeeData[[#This Row],[MonthlyIncome]]&lt;9000,"6K-9K",IF(EmployeeData[[#This Row],[MonthlyIncome]]&lt;12000,"9K-12K","12K+"))))</f>
        <v>3K-6K</v>
      </c>
    </row>
    <row r="1097" spans="1:37" x14ac:dyDescent="0.3">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c r="AJ1097" s="4" t="str">
        <f>IF(EmployeeData[[#This Row],[Age]]&lt;25,"Under 25",IF(EmployeeData[[#This Row],[Age]]&lt;35,"25-34",IF(EmployeeData[[#This Row],[Age]]&lt;45,"35-44",IF(EmployeeData[[#This Row],[Age]]&lt;55,"45-54","55+"))))</f>
        <v>25-34</v>
      </c>
      <c r="AK1097" s="4" t="str">
        <f>IF(EmployeeData[[#This Row],[MonthlyIncome]]&lt;3000,"Below 3K",IF(EmployeeData[[#This Row],[MonthlyIncome]]&lt;6000,"3K-6K",IF(EmployeeData[[#This Row],[MonthlyIncome]]&lt;9000,"6K-9K",IF(EmployeeData[[#This Row],[MonthlyIncome]]&lt;12000,"9K-12K","12K+"))))</f>
        <v>3K-6K</v>
      </c>
    </row>
    <row r="1098" spans="1:37" x14ac:dyDescent="0.3">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c r="AJ1098" s="4" t="str">
        <f>IF(EmployeeData[[#This Row],[Age]]&lt;25,"Under 25",IF(EmployeeData[[#This Row],[Age]]&lt;35,"25-34",IF(EmployeeData[[#This Row],[Age]]&lt;45,"35-44",IF(EmployeeData[[#This Row],[Age]]&lt;55,"45-54","55+"))))</f>
        <v>35-44</v>
      </c>
      <c r="AK1098" s="4" t="str">
        <f>IF(EmployeeData[[#This Row],[MonthlyIncome]]&lt;3000,"Below 3K",IF(EmployeeData[[#This Row],[MonthlyIncome]]&lt;6000,"3K-6K",IF(EmployeeData[[#This Row],[MonthlyIncome]]&lt;9000,"6K-9K",IF(EmployeeData[[#This Row],[MonthlyIncome]]&lt;12000,"9K-12K","12K+"))))</f>
        <v>12K+</v>
      </c>
    </row>
    <row r="1099" spans="1:37" x14ac:dyDescent="0.3">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c r="AJ1099" s="4" t="str">
        <f>IF(EmployeeData[[#This Row],[Age]]&lt;25,"Under 25",IF(EmployeeData[[#This Row],[Age]]&lt;35,"25-34",IF(EmployeeData[[#This Row],[Age]]&lt;45,"35-44",IF(EmployeeData[[#This Row],[Age]]&lt;55,"45-54","55+"))))</f>
        <v>Under 25</v>
      </c>
      <c r="AK1099" s="4" t="str">
        <f>IF(EmployeeData[[#This Row],[MonthlyIncome]]&lt;3000,"Below 3K",IF(EmployeeData[[#This Row],[MonthlyIncome]]&lt;6000,"3K-6K",IF(EmployeeData[[#This Row],[MonthlyIncome]]&lt;9000,"6K-9K",IF(EmployeeData[[#This Row],[MonthlyIncome]]&lt;12000,"9K-12K","12K+"))))</f>
        <v>Below 3K</v>
      </c>
    </row>
    <row r="1100" spans="1:37" x14ac:dyDescent="0.3">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c r="AJ1100" s="4" t="str">
        <f>IF(EmployeeData[[#This Row],[Age]]&lt;25,"Under 25",IF(EmployeeData[[#This Row],[Age]]&lt;35,"25-34",IF(EmployeeData[[#This Row],[Age]]&lt;45,"35-44",IF(EmployeeData[[#This Row],[Age]]&lt;55,"45-54","55+"))))</f>
        <v>35-44</v>
      </c>
      <c r="AK1100" s="4" t="str">
        <f>IF(EmployeeData[[#This Row],[MonthlyIncome]]&lt;3000,"Below 3K",IF(EmployeeData[[#This Row],[MonthlyIncome]]&lt;6000,"3K-6K",IF(EmployeeData[[#This Row],[MonthlyIncome]]&lt;9000,"6K-9K",IF(EmployeeData[[#This Row],[MonthlyIncome]]&lt;12000,"9K-12K","12K+"))))</f>
        <v>3K-6K</v>
      </c>
    </row>
    <row r="1101" spans="1:37" x14ac:dyDescent="0.3">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c r="AJ1101" s="4" t="str">
        <f>IF(EmployeeData[[#This Row],[Age]]&lt;25,"Under 25",IF(EmployeeData[[#This Row],[Age]]&lt;35,"25-34",IF(EmployeeData[[#This Row],[Age]]&lt;45,"35-44",IF(EmployeeData[[#This Row],[Age]]&lt;55,"45-54","55+"))))</f>
        <v>45-54</v>
      </c>
      <c r="AK1101" s="4" t="str">
        <f>IF(EmployeeData[[#This Row],[MonthlyIncome]]&lt;3000,"Below 3K",IF(EmployeeData[[#This Row],[MonthlyIncome]]&lt;6000,"3K-6K",IF(EmployeeData[[#This Row],[MonthlyIncome]]&lt;9000,"6K-9K",IF(EmployeeData[[#This Row],[MonthlyIncome]]&lt;12000,"9K-12K","12K+"))))</f>
        <v>6K-9K</v>
      </c>
    </row>
    <row r="1102" spans="1:37" x14ac:dyDescent="0.3">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c r="AJ1102" s="4" t="str">
        <f>IF(EmployeeData[[#This Row],[Age]]&lt;25,"Under 25",IF(EmployeeData[[#This Row],[Age]]&lt;35,"25-34",IF(EmployeeData[[#This Row],[Age]]&lt;45,"35-44",IF(EmployeeData[[#This Row],[Age]]&lt;55,"45-54","55+"))))</f>
        <v>35-44</v>
      </c>
      <c r="AK1102" s="4" t="str">
        <f>IF(EmployeeData[[#This Row],[MonthlyIncome]]&lt;3000,"Below 3K",IF(EmployeeData[[#This Row],[MonthlyIncome]]&lt;6000,"3K-6K",IF(EmployeeData[[#This Row],[MonthlyIncome]]&lt;9000,"6K-9K",IF(EmployeeData[[#This Row],[MonthlyIncome]]&lt;12000,"9K-12K","12K+"))))</f>
        <v>Below 3K</v>
      </c>
    </row>
    <row r="1103" spans="1:37" x14ac:dyDescent="0.3">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c r="AJ1103" s="4" t="str">
        <f>IF(EmployeeData[[#This Row],[Age]]&lt;25,"Under 25",IF(EmployeeData[[#This Row],[Age]]&lt;35,"25-34",IF(EmployeeData[[#This Row],[Age]]&lt;45,"35-44",IF(EmployeeData[[#This Row],[Age]]&lt;55,"45-54","55+"))))</f>
        <v>25-34</v>
      </c>
      <c r="AK1103" s="4" t="str">
        <f>IF(EmployeeData[[#This Row],[MonthlyIncome]]&lt;3000,"Below 3K",IF(EmployeeData[[#This Row],[MonthlyIncome]]&lt;6000,"3K-6K",IF(EmployeeData[[#This Row],[MonthlyIncome]]&lt;9000,"6K-9K",IF(EmployeeData[[#This Row],[MonthlyIncome]]&lt;12000,"9K-12K","12K+"))))</f>
        <v>3K-6K</v>
      </c>
    </row>
    <row r="1104" spans="1:37" x14ac:dyDescent="0.3">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c r="AJ1104" s="4" t="str">
        <f>IF(EmployeeData[[#This Row],[Age]]&lt;25,"Under 25",IF(EmployeeData[[#This Row],[Age]]&lt;35,"25-34",IF(EmployeeData[[#This Row],[Age]]&lt;45,"35-44",IF(EmployeeData[[#This Row],[Age]]&lt;55,"45-54","55+"))))</f>
        <v>35-44</v>
      </c>
      <c r="AK1104" s="4" t="str">
        <f>IF(EmployeeData[[#This Row],[MonthlyIncome]]&lt;3000,"Below 3K",IF(EmployeeData[[#This Row],[MonthlyIncome]]&lt;6000,"3K-6K",IF(EmployeeData[[#This Row],[MonthlyIncome]]&lt;9000,"6K-9K",IF(EmployeeData[[#This Row],[MonthlyIncome]]&lt;12000,"9K-12K","12K+"))))</f>
        <v>Below 3K</v>
      </c>
    </row>
    <row r="1105" spans="1:37" x14ac:dyDescent="0.3">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c r="AJ1105" s="4" t="str">
        <f>IF(EmployeeData[[#This Row],[Age]]&lt;25,"Under 25",IF(EmployeeData[[#This Row],[Age]]&lt;35,"25-34",IF(EmployeeData[[#This Row],[Age]]&lt;45,"35-44",IF(EmployeeData[[#This Row],[Age]]&lt;55,"45-54","55+"))))</f>
        <v>45-54</v>
      </c>
      <c r="AK1105" s="4" t="str">
        <f>IF(EmployeeData[[#This Row],[MonthlyIncome]]&lt;3000,"Below 3K",IF(EmployeeData[[#This Row],[MonthlyIncome]]&lt;6000,"3K-6K",IF(EmployeeData[[#This Row],[MonthlyIncome]]&lt;9000,"6K-9K",IF(EmployeeData[[#This Row],[MonthlyIncome]]&lt;12000,"9K-12K","12K+"))))</f>
        <v>6K-9K</v>
      </c>
    </row>
    <row r="1106" spans="1:37" x14ac:dyDescent="0.3">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c r="AJ1106" s="4" t="str">
        <f>IF(EmployeeData[[#This Row],[Age]]&lt;25,"Under 25",IF(EmployeeData[[#This Row],[Age]]&lt;35,"25-34",IF(EmployeeData[[#This Row],[Age]]&lt;45,"35-44",IF(EmployeeData[[#This Row],[Age]]&lt;55,"45-54","55+"))))</f>
        <v>25-34</v>
      </c>
      <c r="AK1106" s="4" t="str">
        <f>IF(EmployeeData[[#This Row],[MonthlyIncome]]&lt;3000,"Below 3K",IF(EmployeeData[[#This Row],[MonthlyIncome]]&lt;6000,"3K-6K",IF(EmployeeData[[#This Row],[MonthlyIncome]]&lt;9000,"6K-9K",IF(EmployeeData[[#This Row],[MonthlyIncome]]&lt;12000,"9K-12K","12K+"))))</f>
        <v>Below 3K</v>
      </c>
    </row>
    <row r="1107" spans="1:37" x14ac:dyDescent="0.3">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c r="AJ1107" s="4" t="str">
        <f>IF(EmployeeData[[#This Row],[Age]]&lt;25,"Under 25",IF(EmployeeData[[#This Row],[Age]]&lt;35,"25-34",IF(EmployeeData[[#This Row],[Age]]&lt;45,"35-44",IF(EmployeeData[[#This Row],[Age]]&lt;55,"45-54","55+"))))</f>
        <v>25-34</v>
      </c>
      <c r="AK1107" s="4" t="str">
        <f>IF(EmployeeData[[#This Row],[MonthlyIncome]]&lt;3000,"Below 3K",IF(EmployeeData[[#This Row],[MonthlyIncome]]&lt;6000,"3K-6K",IF(EmployeeData[[#This Row],[MonthlyIncome]]&lt;9000,"6K-9K",IF(EmployeeData[[#This Row],[MonthlyIncome]]&lt;12000,"9K-12K","12K+"))))</f>
        <v>6K-9K</v>
      </c>
    </row>
    <row r="1108" spans="1:37" x14ac:dyDescent="0.3">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c r="AJ1108" s="4" t="str">
        <f>IF(EmployeeData[[#This Row],[Age]]&lt;25,"Under 25",IF(EmployeeData[[#This Row],[Age]]&lt;35,"25-34",IF(EmployeeData[[#This Row],[Age]]&lt;45,"35-44",IF(EmployeeData[[#This Row],[Age]]&lt;55,"45-54","55+"))))</f>
        <v>25-34</v>
      </c>
      <c r="AK1108" s="4" t="str">
        <f>IF(EmployeeData[[#This Row],[MonthlyIncome]]&lt;3000,"Below 3K",IF(EmployeeData[[#This Row],[MonthlyIncome]]&lt;6000,"3K-6K",IF(EmployeeData[[#This Row],[MonthlyIncome]]&lt;9000,"6K-9K",IF(EmployeeData[[#This Row],[MonthlyIncome]]&lt;12000,"9K-12K","12K+"))))</f>
        <v>9K-12K</v>
      </c>
    </row>
    <row r="1109" spans="1:37" x14ac:dyDescent="0.3">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c r="AJ1109" s="4" t="str">
        <f>IF(EmployeeData[[#This Row],[Age]]&lt;25,"Under 25",IF(EmployeeData[[#This Row],[Age]]&lt;35,"25-34",IF(EmployeeData[[#This Row],[Age]]&lt;45,"35-44",IF(EmployeeData[[#This Row],[Age]]&lt;55,"45-54","55+"))))</f>
        <v>35-44</v>
      </c>
      <c r="AK1109" s="4" t="str">
        <f>IF(EmployeeData[[#This Row],[MonthlyIncome]]&lt;3000,"Below 3K",IF(EmployeeData[[#This Row],[MonthlyIncome]]&lt;6000,"3K-6K",IF(EmployeeData[[#This Row],[MonthlyIncome]]&lt;9000,"6K-9K",IF(EmployeeData[[#This Row],[MonthlyIncome]]&lt;12000,"9K-12K","12K+"))))</f>
        <v>6K-9K</v>
      </c>
    </row>
    <row r="1110" spans="1:37" x14ac:dyDescent="0.3">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c r="AJ1110" s="4" t="str">
        <f>IF(EmployeeData[[#This Row],[Age]]&lt;25,"Under 25",IF(EmployeeData[[#This Row],[Age]]&lt;35,"25-34",IF(EmployeeData[[#This Row],[Age]]&lt;45,"35-44",IF(EmployeeData[[#This Row],[Age]]&lt;55,"45-54","55+"))))</f>
        <v>35-44</v>
      </c>
      <c r="AK1110" s="4" t="str">
        <f>IF(EmployeeData[[#This Row],[MonthlyIncome]]&lt;3000,"Below 3K",IF(EmployeeData[[#This Row],[MonthlyIncome]]&lt;6000,"3K-6K",IF(EmployeeData[[#This Row],[MonthlyIncome]]&lt;9000,"6K-9K",IF(EmployeeData[[#This Row],[MonthlyIncome]]&lt;12000,"9K-12K","12K+"))))</f>
        <v>Below 3K</v>
      </c>
    </row>
    <row r="1111" spans="1:37" x14ac:dyDescent="0.3">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c r="AJ1111" s="4" t="str">
        <f>IF(EmployeeData[[#This Row],[Age]]&lt;25,"Under 25",IF(EmployeeData[[#This Row],[Age]]&lt;35,"25-34",IF(EmployeeData[[#This Row],[Age]]&lt;45,"35-44",IF(EmployeeData[[#This Row],[Age]]&lt;55,"45-54","55+"))))</f>
        <v>25-34</v>
      </c>
      <c r="AK1111" s="4" t="str">
        <f>IF(EmployeeData[[#This Row],[MonthlyIncome]]&lt;3000,"Below 3K",IF(EmployeeData[[#This Row],[MonthlyIncome]]&lt;6000,"3K-6K",IF(EmployeeData[[#This Row],[MonthlyIncome]]&lt;9000,"6K-9K",IF(EmployeeData[[#This Row],[MonthlyIncome]]&lt;12000,"9K-12K","12K+"))))</f>
        <v>9K-12K</v>
      </c>
    </row>
    <row r="1112" spans="1:37" x14ac:dyDescent="0.3">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c r="AJ1112" s="4" t="str">
        <f>IF(EmployeeData[[#This Row],[Age]]&lt;25,"Under 25",IF(EmployeeData[[#This Row],[Age]]&lt;35,"25-34",IF(EmployeeData[[#This Row],[Age]]&lt;45,"35-44",IF(EmployeeData[[#This Row],[Age]]&lt;55,"45-54","55+"))))</f>
        <v>35-44</v>
      </c>
      <c r="AK1112" s="4" t="str">
        <f>IF(EmployeeData[[#This Row],[MonthlyIncome]]&lt;3000,"Below 3K",IF(EmployeeData[[#This Row],[MonthlyIncome]]&lt;6000,"3K-6K",IF(EmployeeData[[#This Row],[MonthlyIncome]]&lt;9000,"6K-9K",IF(EmployeeData[[#This Row],[MonthlyIncome]]&lt;12000,"9K-12K","12K+"))))</f>
        <v>Below 3K</v>
      </c>
    </row>
    <row r="1113" spans="1:37" x14ac:dyDescent="0.3">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c r="AJ1113" s="4" t="str">
        <f>IF(EmployeeData[[#This Row],[Age]]&lt;25,"Under 25",IF(EmployeeData[[#This Row],[Age]]&lt;35,"25-34",IF(EmployeeData[[#This Row],[Age]]&lt;45,"35-44",IF(EmployeeData[[#This Row],[Age]]&lt;55,"45-54","55+"))))</f>
        <v>45-54</v>
      </c>
      <c r="AK1113" s="4" t="str">
        <f>IF(EmployeeData[[#This Row],[MonthlyIncome]]&lt;3000,"Below 3K",IF(EmployeeData[[#This Row],[MonthlyIncome]]&lt;6000,"3K-6K",IF(EmployeeData[[#This Row],[MonthlyIncome]]&lt;9000,"6K-9K",IF(EmployeeData[[#This Row],[MonthlyIncome]]&lt;12000,"9K-12K","12K+"))))</f>
        <v>9K-12K</v>
      </c>
    </row>
    <row r="1114" spans="1:37" x14ac:dyDescent="0.3">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c r="AJ1114" s="4" t="str">
        <f>IF(EmployeeData[[#This Row],[Age]]&lt;25,"Under 25",IF(EmployeeData[[#This Row],[Age]]&lt;35,"25-34",IF(EmployeeData[[#This Row],[Age]]&lt;45,"35-44",IF(EmployeeData[[#This Row],[Age]]&lt;55,"45-54","55+"))))</f>
        <v>35-44</v>
      </c>
      <c r="AK1114" s="4" t="str">
        <f>IF(EmployeeData[[#This Row],[MonthlyIncome]]&lt;3000,"Below 3K",IF(EmployeeData[[#This Row],[MonthlyIncome]]&lt;6000,"3K-6K",IF(EmployeeData[[#This Row],[MonthlyIncome]]&lt;9000,"6K-9K",IF(EmployeeData[[#This Row],[MonthlyIncome]]&lt;12000,"9K-12K","12K+"))))</f>
        <v>3K-6K</v>
      </c>
    </row>
    <row r="1115" spans="1:37" x14ac:dyDescent="0.3">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c r="AJ1115" s="4" t="str">
        <f>IF(EmployeeData[[#This Row],[Age]]&lt;25,"Under 25",IF(EmployeeData[[#This Row],[Age]]&lt;35,"25-34",IF(EmployeeData[[#This Row],[Age]]&lt;45,"35-44",IF(EmployeeData[[#This Row],[Age]]&lt;55,"45-54","55+"))))</f>
        <v>25-34</v>
      </c>
      <c r="AK1115" s="4" t="str">
        <f>IF(EmployeeData[[#This Row],[MonthlyIncome]]&lt;3000,"Below 3K",IF(EmployeeData[[#This Row],[MonthlyIncome]]&lt;6000,"3K-6K",IF(EmployeeData[[#This Row],[MonthlyIncome]]&lt;9000,"6K-9K",IF(EmployeeData[[#This Row],[MonthlyIncome]]&lt;12000,"9K-12K","12K+"))))</f>
        <v>3K-6K</v>
      </c>
    </row>
    <row r="1116" spans="1:37" x14ac:dyDescent="0.3">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c r="AJ1116" s="4" t="str">
        <f>IF(EmployeeData[[#This Row],[Age]]&lt;25,"Under 25",IF(EmployeeData[[#This Row],[Age]]&lt;35,"25-34",IF(EmployeeData[[#This Row],[Age]]&lt;45,"35-44",IF(EmployeeData[[#This Row],[Age]]&lt;55,"45-54","55+"))))</f>
        <v>45-54</v>
      </c>
      <c r="AK1116" s="4" t="str">
        <f>IF(EmployeeData[[#This Row],[MonthlyIncome]]&lt;3000,"Below 3K",IF(EmployeeData[[#This Row],[MonthlyIncome]]&lt;6000,"3K-6K",IF(EmployeeData[[#This Row],[MonthlyIncome]]&lt;9000,"6K-9K",IF(EmployeeData[[#This Row],[MonthlyIncome]]&lt;12000,"9K-12K","12K+"))))</f>
        <v>Below 3K</v>
      </c>
    </row>
    <row r="1117" spans="1:37" x14ac:dyDescent="0.3">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c r="AJ1117" s="4" t="str">
        <f>IF(EmployeeData[[#This Row],[Age]]&lt;25,"Under 25",IF(EmployeeData[[#This Row],[Age]]&lt;35,"25-34",IF(EmployeeData[[#This Row],[Age]]&lt;45,"35-44",IF(EmployeeData[[#This Row],[Age]]&lt;55,"45-54","55+"))))</f>
        <v>25-34</v>
      </c>
      <c r="AK1117" s="4" t="str">
        <f>IF(EmployeeData[[#This Row],[MonthlyIncome]]&lt;3000,"Below 3K",IF(EmployeeData[[#This Row],[MonthlyIncome]]&lt;6000,"3K-6K",IF(EmployeeData[[#This Row],[MonthlyIncome]]&lt;9000,"6K-9K",IF(EmployeeData[[#This Row],[MonthlyIncome]]&lt;12000,"9K-12K","12K+"))))</f>
        <v>Below 3K</v>
      </c>
    </row>
    <row r="1118" spans="1:37" x14ac:dyDescent="0.3">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c r="AJ1118" s="4" t="str">
        <f>IF(EmployeeData[[#This Row],[Age]]&lt;25,"Under 25",IF(EmployeeData[[#This Row],[Age]]&lt;35,"25-34",IF(EmployeeData[[#This Row],[Age]]&lt;45,"35-44",IF(EmployeeData[[#This Row],[Age]]&lt;55,"45-54","55+"))))</f>
        <v>55+</v>
      </c>
      <c r="AK1118" s="4" t="str">
        <f>IF(EmployeeData[[#This Row],[MonthlyIncome]]&lt;3000,"Below 3K",IF(EmployeeData[[#This Row],[MonthlyIncome]]&lt;6000,"3K-6K",IF(EmployeeData[[#This Row],[MonthlyIncome]]&lt;9000,"6K-9K",IF(EmployeeData[[#This Row],[MonthlyIncome]]&lt;12000,"9K-12K","12K+"))))</f>
        <v>12K+</v>
      </c>
    </row>
    <row r="1119" spans="1:37" x14ac:dyDescent="0.3">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c r="AJ1119" s="4" t="str">
        <f>IF(EmployeeData[[#This Row],[Age]]&lt;25,"Under 25",IF(EmployeeData[[#This Row],[Age]]&lt;35,"25-34",IF(EmployeeData[[#This Row],[Age]]&lt;45,"35-44",IF(EmployeeData[[#This Row],[Age]]&lt;55,"45-54","55+"))))</f>
        <v>25-34</v>
      </c>
      <c r="AK1119" s="4" t="str">
        <f>IF(EmployeeData[[#This Row],[MonthlyIncome]]&lt;3000,"Below 3K",IF(EmployeeData[[#This Row],[MonthlyIncome]]&lt;6000,"3K-6K",IF(EmployeeData[[#This Row],[MonthlyIncome]]&lt;9000,"6K-9K",IF(EmployeeData[[#This Row],[MonthlyIncome]]&lt;12000,"9K-12K","12K+"))))</f>
        <v>3K-6K</v>
      </c>
    </row>
    <row r="1120" spans="1:37" x14ac:dyDescent="0.3">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c r="AJ1120" s="4" t="str">
        <f>IF(EmployeeData[[#This Row],[Age]]&lt;25,"Under 25",IF(EmployeeData[[#This Row],[Age]]&lt;35,"25-34",IF(EmployeeData[[#This Row],[Age]]&lt;45,"35-44",IF(EmployeeData[[#This Row],[Age]]&lt;55,"45-54","55+"))))</f>
        <v>25-34</v>
      </c>
      <c r="AK1120" s="4" t="str">
        <f>IF(EmployeeData[[#This Row],[MonthlyIncome]]&lt;3000,"Below 3K",IF(EmployeeData[[#This Row],[MonthlyIncome]]&lt;6000,"3K-6K",IF(EmployeeData[[#This Row],[MonthlyIncome]]&lt;9000,"6K-9K",IF(EmployeeData[[#This Row],[MonthlyIncome]]&lt;12000,"9K-12K","12K+"))))</f>
        <v>Below 3K</v>
      </c>
    </row>
    <row r="1121" spans="1:37" x14ac:dyDescent="0.3">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c r="AJ1121" s="4" t="str">
        <f>IF(EmployeeData[[#This Row],[Age]]&lt;25,"Under 25",IF(EmployeeData[[#This Row],[Age]]&lt;35,"25-34",IF(EmployeeData[[#This Row],[Age]]&lt;45,"35-44",IF(EmployeeData[[#This Row],[Age]]&lt;55,"45-54","55+"))))</f>
        <v>35-44</v>
      </c>
      <c r="AK1121" s="4" t="str">
        <f>IF(EmployeeData[[#This Row],[MonthlyIncome]]&lt;3000,"Below 3K",IF(EmployeeData[[#This Row],[MonthlyIncome]]&lt;6000,"3K-6K",IF(EmployeeData[[#This Row],[MonthlyIncome]]&lt;9000,"6K-9K",IF(EmployeeData[[#This Row],[MonthlyIncome]]&lt;12000,"9K-12K","12K+"))))</f>
        <v>9K-12K</v>
      </c>
    </row>
    <row r="1122" spans="1:37" x14ac:dyDescent="0.3">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c r="AJ1122" s="4" t="str">
        <f>IF(EmployeeData[[#This Row],[Age]]&lt;25,"Under 25",IF(EmployeeData[[#This Row],[Age]]&lt;35,"25-34",IF(EmployeeData[[#This Row],[Age]]&lt;45,"35-44",IF(EmployeeData[[#This Row],[Age]]&lt;55,"45-54","55+"))))</f>
        <v>35-44</v>
      </c>
      <c r="AK1122" s="4" t="str">
        <f>IF(EmployeeData[[#This Row],[MonthlyIncome]]&lt;3000,"Below 3K",IF(EmployeeData[[#This Row],[MonthlyIncome]]&lt;6000,"3K-6K",IF(EmployeeData[[#This Row],[MonthlyIncome]]&lt;9000,"6K-9K",IF(EmployeeData[[#This Row],[MonthlyIncome]]&lt;12000,"9K-12K","12K+"))))</f>
        <v>3K-6K</v>
      </c>
    </row>
    <row r="1123" spans="1:37" x14ac:dyDescent="0.3">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c r="AJ1123" s="4" t="str">
        <f>IF(EmployeeData[[#This Row],[Age]]&lt;25,"Under 25",IF(EmployeeData[[#This Row],[Age]]&lt;35,"25-34",IF(EmployeeData[[#This Row],[Age]]&lt;45,"35-44",IF(EmployeeData[[#This Row],[Age]]&lt;55,"45-54","55+"))))</f>
        <v>35-44</v>
      </c>
      <c r="AK1123" s="4" t="str">
        <f>IF(EmployeeData[[#This Row],[MonthlyIncome]]&lt;3000,"Below 3K",IF(EmployeeData[[#This Row],[MonthlyIncome]]&lt;6000,"3K-6K",IF(EmployeeData[[#This Row],[MonthlyIncome]]&lt;9000,"6K-9K",IF(EmployeeData[[#This Row],[MonthlyIncome]]&lt;12000,"9K-12K","12K+"))))</f>
        <v>6K-9K</v>
      </c>
    </row>
    <row r="1124" spans="1:37" x14ac:dyDescent="0.3">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c r="AJ1124" s="4" t="str">
        <f>IF(EmployeeData[[#This Row],[Age]]&lt;25,"Under 25",IF(EmployeeData[[#This Row],[Age]]&lt;35,"25-34",IF(EmployeeData[[#This Row],[Age]]&lt;45,"35-44",IF(EmployeeData[[#This Row],[Age]]&lt;55,"45-54","55+"))))</f>
        <v>25-34</v>
      </c>
      <c r="AK1124" s="4" t="str">
        <f>IF(EmployeeData[[#This Row],[MonthlyIncome]]&lt;3000,"Below 3K",IF(EmployeeData[[#This Row],[MonthlyIncome]]&lt;6000,"3K-6K",IF(EmployeeData[[#This Row],[MonthlyIncome]]&lt;9000,"6K-9K",IF(EmployeeData[[#This Row],[MonthlyIncome]]&lt;12000,"9K-12K","12K+"))))</f>
        <v>3K-6K</v>
      </c>
    </row>
    <row r="1125" spans="1:37" x14ac:dyDescent="0.3">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c r="AJ1125" s="4" t="str">
        <f>IF(EmployeeData[[#This Row],[Age]]&lt;25,"Under 25",IF(EmployeeData[[#This Row],[Age]]&lt;35,"25-34",IF(EmployeeData[[#This Row],[Age]]&lt;45,"35-44",IF(EmployeeData[[#This Row],[Age]]&lt;55,"45-54","55+"))))</f>
        <v>35-44</v>
      </c>
      <c r="AK1125" s="4" t="str">
        <f>IF(EmployeeData[[#This Row],[MonthlyIncome]]&lt;3000,"Below 3K",IF(EmployeeData[[#This Row],[MonthlyIncome]]&lt;6000,"3K-6K",IF(EmployeeData[[#This Row],[MonthlyIncome]]&lt;9000,"6K-9K",IF(EmployeeData[[#This Row],[MonthlyIncome]]&lt;12000,"9K-12K","12K+"))))</f>
        <v>6K-9K</v>
      </c>
    </row>
    <row r="1126" spans="1:37" x14ac:dyDescent="0.3">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c r="AJ1126" s="4" t="str">
        <f>IF(EmployeeData[[#This Row],[Age]]&lt;25,"Under 25",IF(EmployeeData[[#This Row],[Age]]&lt;35,"25-34",IF(EmployeeData[[#This Row],[Age]]&lt;45,"35-44",IF(EmployeeData[[#This Row],[Age]]&lt;55,"45-54","55+"))))</f>
        <v>35-44</v>
      </c>
      <c r="AK1126" s="4" t="str">
        <f>IF(EmployeeData[[#This Row],[MonthlyIncome]]&lt;3000,"Below 3K",IF(EmployeeData[[#This Row],[MonthlyIncome]]&lt;6000,"3K-6K",IF(EmployeeData[[#This Row],[MonthlyIncome]]&lt;9000,"6K-9K",IF(EmployeeData[[#This Row],[MonthlyIncome]]&lt;12000,"9K-12K","12K+"))))</f>
        <v>6K-9K</v>
      </c>
    </row>
    <row r="1127" spans="1:37" x14ac:dyDescent="0.3">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c r="AJ1127" s="4" t="str">
        <f>IF(EmployeeData[[#This Row],[Age]]&lt;25,"Under 25",IF(EmployeeData[[#This Row],[Age]]&lt;35,"25-34",IF(EmployeeData[[#This Row],[Age]]&lt;45,"35-44",IF(EmployeeData[[#This Row],[Age]]&lt;55,"45-54","55+"))))</f>
        <v>25-34</v>
      </c>
      <c r="AK1127" s="4" t="str">
        <f>IF(EmployeeData[[#This Row],[MonthlyIncome]]&lt;3000,"Below 3K",IF(EmployeeData[[#This Row],[MonthlyIncome]]&lt;6000,"3K-6K",IF(EmployeeData[[#This Row],[MonthlyIncome]]&lt;9000,"6K-9K",IF(EmployeeData[[#This Row],[MonthlyIncome]]&lt;12000,"9K-12K","12K+"))))</f>
        <v>6K-9K</v>
      </c>
    </row>
    <row r="1128" spans="1:37" x14ac:dyDescent="0.3">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c r="AJ1128" s="4" t="str">
        <f>IF(EmployeeData[[#This Row],[Age]]&lt;25,"Under 25",IF(EmployeeData[[#This Row],[Age]]&lt;35,"25-34",IF(EmployeeData[[#This Row],[Age]]&lt;45,"35-44",IF(EmployeeData[[#This Row],[Age]]&lt;55,"45-54","55+"))))</f>
        <v>45-54</v>
      </c>
      <c r="AK1128" s="4" t="str">
        <f>IF(EmployeeData[[#This Row],[MonthlyIncome]]&lt;3000,"Below 3K",IF(EmployeeData[[#This Row],[MonthlyIncome]]&lt;6000,"3K-6K",IF(EmployeeData[[#This Row],[MonthlyIncome]]&lt;9000,"6K-9K",IF(EmployeeData[[#This Row],[MonthlyIncome]]&lt;12000,"9K-12K","12K+"))))</f>
        <v>12K+</v>
      </c>
    </row>
    <row r="1129" spans="1:37" x14ac:dyDescent="0.3">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c r="AJ1129" s="4" t="str">
        <f>IF(EmployeeData[[#This Row],[Age]]&lt;25,"Under 25",IF(EmployeeData[[#This Row],[Age]]&lt;35,"25-34",IF(EmployeeData[[#This Row],[Age]]&lt;45,"35-44",IF(EmployeeData[[#This Row],[Age]]&lt;55,"45-54","55+"))))</f>
        <v>Under 25</v>
      </c>
      <c r="AK1129" s="4" t="str">
        <f>IF(EmployeeData[[#This Row],[MonthlyIncome]]&lt;3000,"Below 3K",IF(EmployeeData[[#This Row],[MonthlyIncome]]&lt;6000,"3K-6K",IF(EmployeeData[[#This Row],[MonthlyIncome]]&lt;9000,"6K-9K",IF(EmployeeData[[#This Row],[MonthlyIncome]]&lt;12000,"9K-12K","12K+"))))</f>
        <v>Below 3K</v>
      </c>
    </row>
    <row r="1130" spans="1:37" x14ac:dyDescent="0.3">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c r="AJ1130" s="4" t="str">
        <f>IF(EmployeeData[[#This Row],[Age]]&lt;25,"Under 25",IF(EmployeeData[[#This Row],[Age]]&lt;35,"25-34",IF(EmployeeData[[#This Row],[Age]]&lt;45,"35-44",IF(EmployeeData[[#This Row],[Age]]&lt;55,"45-54","55+"))))</f>
        <v>35-44</v>
      </c>
      <c r="AK1130" s="4" t="str">
        <f>IF(EmployeeData[[#This Row],[MonthlyIncome]]&lt;3000,"Below 3K",IF(EmployeeData[[#This Row],[MonthlyIncome]]&lt;6000,"3K-6K",IF(EmployeeData[[#This Row],[MonthlyIncome]]&lt;9000,"6K-9K",IF(EmployeeData[[#This Row],[MonthlyIncome]]&lt;12000,"9K-12K","12K+"))))</f>
        <v>3K-6K</v>
      </c>
    </row>
    <row r="1131" spans="1:37" x14ac:dyDescent="0.3">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c r="AJ1131" s="4" t="str">
        <f>IF(EmployeeData[[#This Row],[Age]]&lt;25,"Under 25",IF(EmployeeData[[#This Row],[Age]]&lt;35,"25-34",IF(EmployeeData[[#This Row],[Age]]&lt;45,"35-44",IF(EmployeeData[[#This Row],[Age]]&lt;55,"45-54","55+"))))</f>
        <v>35-44</v>
      </c>
      <c r="AK1131" s="4" t="str">
        <f>IF(EmployeeData[[#This Row],[MonthlyIncome]]&lt;3000,"Below 3K",IF(EmployeeData[[#This Row],[MonthlyIncome]]&lt;6000,"3K-6K",IF(EmployeeData[[#This Row],[MonthlyIncome]]&lt;9000,"6K-9K",IF(EmployeeData[[#This Row],[MonthlyIncome]]&lt;12000,"9K-12K","12K+"))))</f>
        <v>12K+</v>
      </c>
    </row>
    <row r="1132" spans="1:37" x14ac:dyDescent="0.3">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c r="AJ1132" s="4" t="str">
        <f>IF(EmployeeData[[#This Row],[Age]]&lt;25,"Under 25",IF(EmployeeData[[#This Row],[Age]]&lt;35,"25-34",IF(EmployeeData[[#This Row],[Age]]&lt;45,"35-44",IF(EmployeeData[[#This Row],[Age]]&lt;55,"45-54","55+"))))</f>
        <v>35-44</v>
      </c>
      <c r="AK1132" s="4" t="str">
        <f>IF(EmployeeData[[#This Row],[MonthlyIncome]]&lt;3000,"Below 3K",IF(EmployeeData[[#This Row],[MonthlyIncome]]&lt;6000,"3K-6K",IF(EmployeeData[[#This Row],[MonthlyIncome]]&lt;9000,"6K-9K",IF(EmployeeData[[#This Row],[MonthlyIncome]]&lt;12000,"9K-12K","12K+"))))</f>
        <v>3K-6K</v>
      </c>
    </row>
    <row r="1133" spans="1:37" x14ac:dyDescent="0.3">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c r="AJ1133" s="4" t="str">
        <f>IF(EmployeeData[[#This Row],[Age]]&lt;25,"Under 25",IF(EmployeeData[[#This Row],[Age]]&lt;35,"25-34",IF(EmployeeData[[#This Row],[Age]]&lt;45,"35-44",IF(EmployeeData[[#This Row],[Age]]&lt;55,"45-54","55+"))))</f>
        <v>25-34</v>
      </c>
      <c r="AK1133" s="4" t="str">
        <f>IF(EmployeeData[[#This Row],[MonthlyIncome]]&lt;3000,"Below 3K",IF(EmployeeData[[#This Row],[MonthlyIncome]]&lt;6000,"3K-6K",IF(EmployeeData[[#This Row],[MonthlyIncome]]&lt;9000,"6K-9K",IF(EmployeeData[[#This Row],[MonthlyIncome]]&lt;12000,"9K-12K","12K+"))))</f>
        <v>3K-6K</v>
      </c>
    </row>
    <row r="1134" spans="1:37" x14ac:dyDescent="0.3">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c r="AJ1134" s="4" t="str">
        <f>IF(EmployeeData[[#This Row],[Age]]&lt;25,"Under 25",IF(EmployeeData[[#This Row],[Age]]&lt;35,"25-34",IF(EmployeeData[[#This Row],[Age]]&lt;45,"35-44",IF(EmployeeData[[#This Row],[Age]]&lt;55,"45-54","55+"))))</f>
        <v>35-44</v>
      </c>
      <c r="AK1134" s="4" t="str">
        <f>IF(EmployeeData[[#This Row],[MonthlyIncome]]&lt;3000,"Below 3K",IF(EmployeeData[[#This Row],[MonthlyIncome]]&lt;6000,"3K-6K",IF(EmployeeData[[#This Row],[MonthlyIncome]]&lt;9000,"6K-9K",IF(EmployeeData[[#This Row],[MonthlyIncome]]&lt;12000,"9K-12K","12K+"))))</f>
        <v>3K-6K</v>
      </c>
    </row>
    <row r="1135" spans="1:37" x14ac:dyDescent="0.3">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c r="AJ1135" s="4" t="str">
        <f>IF(EmployeeData[[#This Row],[Age]]&lt;25,"Under 25",IF(EmployeeData[[#This Row],[Age]]&lt;35,"25-34",IF(EmployeeData[[#This Row],[Age]]&lt;45,"35-44",IF(EmployeeData[[#This Row],[Age]]&lt;55,"45-54","55+"))))</f>
        <v>35-44</v>
      </c>
      <c r="AK1135" s="4" t="str">
        <f>IF(EmployeeData[[#This Row],[MonthlyIncome]]&lt;3000,"Below 3K",IF(EmployeeData[[#This Row],[MonthlyIncome]]&lt;6000,"3K-6K",IF(EmployeeData[[#This Row],[MonthlyIncome]]&lt;9000,"6K-9K",IF(EmployeeData[[#This Row],[MonthlyIncome]]&lt;12000,"9K-12K","12K+"))))</f>
        <v>3K-6K</v>
      </c>
    </row>
    <row r="1136" spans="1:37" x14ac:dyDescent="0.3">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c r="AJ1136" s="4" t="str">
        <f>IF(EmployeeData[[#This Row],[Age]]&lt;25,"Under 25",IF(EmployeeData[[#This Row],[Age]]&lt;35,"25-34",IF(EmployeeData[[#This Row],[Age]]&lt;45,"35-44",IF(EmployeeData[[#This Row],[Age]]&lt;55,"45-54","55+"))))</f>
        <v>35-44</v>
      </c>
      <c r="AK1136" s="4" t="str">
        <f>IF(EmployeeData[[#This Row],[MonthlyIncome]]&lt;3000,"Below 3K",IF(EmployeeData[[#This Row],[MonthlyIncome]]&lt;6000,"3K-6K",IF(EmployeeData[[#This Row],[MonthlyIncome]]&lt;9000,"6K-9K",IF(EmployeeData[[#This Row],[MonthlyIncome]]&lt;12000,"9K-12K","12K+"))))</f>
        <v>Below 3K</v>
      </c>
    </row>
    <row r="1137" spans="1:37" x14ac:dyDescent="0.3">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c r="AJ1137" s="4" t="str">
        <f>IF(EmployeeData[[#This Row],[Age]]&lt;25,"Under 25",IF(EmployeeData[[#This Row],[Age]]&lt;35,"25-34",IF(EmployeeData[[#This Row],[Age]]&lt;45,"35-44",IF(EmployeeData[[#This Row],[Age]]&lt;55,"45-54","55+"))))</f>
        <v>45-54</v>
      </c>
      <c r="AK1137" s="4" t="str">
        <f>IF(EmployeeData[[#This Row],[MonthlyIncome]]&lt;3000,"Below 3K",IF(EmployeeData[[#This Row],[MonthlyIncome]]&lt;6000,"3K-6K",IF(EmployeeData[[#This Row],[MonthlyIncome]]&lt;9000,"6K-9K",IF(EmployeeData[[#This Row],[MonthlyIncome]]&lt;12000,"9K-12K","12K+"))))</f>
        <v>12K+</v>
      </c>
    </row>
    <row r="1138" spans="1:37" x14ac:dyDescent="0.3">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c r="AJ1138" s="4" t="str">
        <f>IF(EmployeeData[[#This Row],[Age]]&lt;25,"Under 25",IF(EmployeeData[[#This Row],[Age]]&lt;35,"25-34",IF(EmployeeData[[#This Row],[Age]]&lt;45,"35-44",IF(EmployeeData[[#This Row],[Age]]&lt;55,"45-54","55+"))))</f>
        <v>25-34</v>
      </c>
      <c r="AK1138" s="4" t="str">
        <f>IF(EmployeeData[[#This Row],[MonthlyIncome]]&lt;3000,"Below 3K",IF(EmployeeData[[#This Row],[MonthlyIncome]]&lt;6000,"3K-6K",IF(EmployeeData[[#This Row],[MonthlyIncome]]&lt;9000,"6K-9K",IF(EmployeeData[[#This Row],[MonthlyIncome]]&lt;12000,"9K-12K","12K+"))))</f>
        <v>Below 3K</v>
      </c>
    </row>
    <row r="1139" spans="1:37" x14ac:dyDescent="0.3">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c r="AJ1139" s="4" t="str">
        <f>IF(EmployeeData[[#This Row],[Age]]&lt;25,"Under 25",IF(EmployeeData[[#This Row],[Age]]&lt;35,"25-34",IF(EmployeeData[[#This Row],[Age]]&lt;45,"35-44",IF(EmployeeData[[#This Row],[Age]]&lt;55,"45-54","55+"))))</f>
        <v>Under 25</v>
      </c>
      <c r="AK1139" s="4" t="str">
        <f>IF(EmployeeData[[#This Row],[MonthlyIncome]]&lt;3000,"Below 3K",IF(EmployeeData[[#This Row],[MonthlyIncome]]&lt;6000,"3K-6K",IF(EmployeeData[[#This Row],[MonthlyIncome]]&lt;9000,"6K-9K",IF(EmployeeData[[#This Row],[MonthlyIncome]]&lt;12000,"9K-12K","12K+"))))</f>
        <v>Below 3K</v>
      </c>
    </row>
    <row r="1140" spans="1:37" x14ac:dyDescent="0.3">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c r="AJ1140" s="4" t="str">
        <f>IF(EmployeeData[[#This Row],[Age]]&lt;25,"Under 25",IF(EmployeeData[[#This Row],[Age]]&lt;35,"25-34",IF(EmployeeData[[#This Row],[Age]]&lt;45,"35-44",IF(EmployeeData[[#This Row],[Age]]&lt;55,"45-54","55+"))))</f>
        <v>45-54</v>
      </c>
      <c r="AK1140" s="4" t="str">
        <f>IF(EmployeeData[[#This Row],[MonthlyIncome]]&lt;3000,"Below 3K",IF(EmployeeData[[#This Row],[MonthlyIncome]]&lt;6000,"3K-6K",IF(EmployeeData[[#This Row],[MonthlyIncome]]&lt;9000,"6K-9K",IF(EmployeeData[[#This Row],[MonthlyIncome]]&lt;12000,"9K-12K","12K+"))))</f>
        <v>9K-12K</v>
      </c>
    </row>
    <row r="1141" spans="1:37" x14ac:dyDescent="0.3">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c r="AJ1141" s="4" t="str">
        <f>IF(EmployeeData[[#This Row],[Age]]&lt;25,"Under 25",IF(EmployeeData[[#This Row],[Age]]&lt;35,"25-34",IF(EmployeeData[[#This Row],[Age]]&lt;45,"35-44",IF(EmployeeData[[#This Row],[Age]]&lt;55,"45-54","55+"))))</f>
        <v>25-34</v>
      </c>
      <c r="AK1141" s="4" t="str">
        <f>IF(EmployeeData[[#This Row],[MonthlyIncome]]&lt;3000,"Below 3K",IF(EmployeeData[[#This Row],[MonthlyIncome]]&lt;6000,"3K-6K",IF(EmployeeData[[#This Row],[MonthlyIncome]]&lt;9000,"6K-9K",IF(EmployeeData[[#This Row],[MonthlyIncome]]&lt;12000,"9K-12K","12K+"))))</f>
        <v>3K-6K</v>
      </c>
    </row>
    <row r="1142" spans="1:37" x14ac:dyDescent="0.3">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c r="AJ1142" s="4" t="str">
        <f>IF(EmployeeData[[#This Row],[Age]]&lt;25,"Under 25",IF(EmployeeData[[#This Row],[Age]]&lt;35,"25-34",IF(EmployeeData[[#This Row],[Age]]&lt;45,"35-44",IF(EmployeeData[[#This Row],[Age]]&lt;55,"45-54","55+"))))</f>
        <v>35-44</v>
      </c>
      <c r="AK1142" s="4" t="str">
        <f>IF(EmployeeData[[#This Row],[MonthlyIncome]]&lt;3000,"Below 3K",IF(EmployeeData[[#This Row],[MonthlyIncome]]&lt;6000,"3K-6K",IF(EmployeeData[[#This Row],[MonthlyIncome]]&lt;9000,"6K-9K",IF(EmployeeData[[#This Row],[MonthlyIncome]]&lt;12000,"9K-12K","12K+"))))</f>
        <v>12K+</v>
      </c>
    </row>
    <row r="1143" spans="1:37" x14ac:dyDescent="0.3">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c r="AJ1143" s="4" t="str">
        <f>IF(EmployeeData[[#This Row],[Age]]&lt;25,"Under 25",IF(EmployeeData[[#This Row],[Age]]&lt;35,"25-34",IF(EmployeeData[[#This Row],[Age]]&lt;45,"35-44",IF(EmployeeData[[#This Row],[Age]]&lt;55,"45-54","55+"))))</f>
        <v>25-34</v>
      </c>
      <c r="AK1143" s="4" t="str">
        <f>IF(EmployeeData[[#This Row],[MonthlyIncome]]&lt;3000,"Below 3K",IF(EmployeeData[[#This Row],[MonthlyIncome]]&lt;6000,"3K-6K",IF(EmployeeData[[#This Row],[MonthlyIncome]]&lt;9000,"6K-9K",IF(EmployeeData[[#This Row],[MonthlyIncome]]&lt;12000,"9K-12K","12K+"))))</f>
        <v>Below 3K</v>
      </c>
    </row>
    <row r="1144" spans="1:37" x14ac:dyDescent="0.3">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c r="AJ1144" s="4" t="str">
        <f>IF(EmployeeData[[#This Row],[Age]]&lt;25,"Under 25",IF(EmployeeData[[#This Row],[Age]]&lt;35,"25-34",IF(EmployeeData[[#This Row],[Age]]&lt;45,"35-44",IF(EmployeeData[[#This Row],[Age]]&lt;55,"45-54","55+"))))</f>
        <v>45-54</v>
      </c>
      <c r="AK1144" s="4" t="str">
        <f>IF(EmployeeData[[#This Row],[MonthlyIncome]]&lt;3000,"Below 3K",IF(EmployeeData[[#This Row],[MonthlyIncome]]&lt;6000,"3K-6K",IF(EmployeeData[[#This Row],[MonthlyIncome]]&lt;9000,"6K-9K",IF(EmployeeData[[#This Row],[MonthlyIncome]]&lt;12000,"9K-12K","12K+"))))</f>
        <v>3K-6K</v>
      </c>
    </row>
    <row r="1145" spans="1:37" x14ac:dyDescent="0.3">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c r="AJ1145" s="4" t="str">
        <f>IF(EmployeeData[[#This Row],[Age]]&lt;25,"Under 25",IF(EmployeeData[[#This Row],[Age]]&lt;35,"25-34",IF(EmployeeData[[#This Row],[Age]]&lt;45,"35-44",IF(EmployeeData[[#This Row],[Age]]&lt;55,"45-54","55+"))))</f>
        <v>45-54</v>
      </c>
      <c r="AK1145" s="4" t="str">
        <f>IF(EmployeeData[[#This Row],[MonthlyIncome]]&lt;3000,"Below 3K",IF(EmployeeData[[#This Row],[MonthlyIncome]]&lt;6000,"3K-6K",IF(EmployeeData[[#This Row],[MonthlyIncome]]&lt;9000,"6K-9K",IF(EmployeeData[[#This Row],[MonthlyIncome]]&lt;12000,"9K-12K","12K+"))))</f>
        <v>3K-6K</v>
      </c>
    </row>
    <row r="1146" spans="1:37" x14ac:dyDescent="0.3">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c r="AJ1146" s="4" t="str">
        <f>IF(EmployeeData[[#This Row],[Age]]&lt;25,"Under 25",IF(EmployeeData[[#This Row],[Age]]&lt;35,"25-34",IF(EmployeeData[[#This Row],[Age]]&lt;45,"35-44",IF(EmployeeData[[#This Row],[Age]]&lt;55,"45-54","55+"))))</f>
        <v>25-34</v>
      </c>
      <c r="AK1146" s="4" t="str">
        <f>IF(EmployeeData[[#This Row],[MonthlyIncome]]&lt;3000,"Below 3K",IF(EmployeeData[[#This Row],[MonthlyIncome]]&lt;6000,"3K-6K",IF(EmployeeData[[#This Row],[MonthlyIncome]]&lt;9000,"6K-9K",IF(EmployeeData[[#This Row],[MonthlyIncome]]&lt;12000,"9K-12K","12K+"))))</f>
        <v>3K-6K</v>
      </c>
    </row>
    <row r="1147" spans="1:37" x14ac:dyDescent="0.3">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c r="AJ1147" s="4" t="str">
        <f>IF(EmployeeData[[#This Row],[Age]]&lt;25,"Under 25",IF(EmployeeData[[#This Row],[Age]]&lt;35,"25-34",IF(EmployeeData[[#This Row],[Age]]&lt;45,"35-44",IF(EmployeeData[[#This Row],[Age]]&lt;55,"45-54","55+"))))</f>
        <v>35-44</v>
      </c>
      <c r="AK1147" s="4" t="str">
        <f>IF(EmployeeData[[#This Row],[MonthlyIncome]]&lt;3000,"Below 3K",IF(EmployeeData[[#This Row],[MonthlyIncome]]&lt;6000,"3K-6K",IF(EmployeeData[[#This Row],[MonthlyIncome]]&lt;9000,"6K-9K",IF(EmployeeData[[#This Row],[MonthlyIncome]]&lt;12000,"9K-12K","12K+"))))</f>
        <v>3K-6K</v>
      </c>
    </row>
    <row r="1148" spans="1:37" x14ac:dyDescent="0.3">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c r="AJ1148" s="4" t="str">
        <f>IF(EmployeeData[[#This Row],[Age]]&lt;25,"Under 25",IF(EmployeeData[[#This Row],[Age]]&lt;35,"25-34",IF(EmployeeData[[#This Row],[Age]]&lt;45,"35-44",IF(EmployeeData[[#This Row],[Age]]&lt;55,"45-54","55+"))))</f>
        <v>25-34</v>
      </c>
      <c r="AK1148" s="4" t="str">
        <f>IF(EmployeeData[[#This Row],[MonthlyIncome]]&lt;3000,"Below 3K",IF(EmployeeData[[#This Row],[MonthlyIncome]]&lt;6000,"3K-6K",IF(EmployeeData[[#This Row],[MonthlyIncome]]&lt;9000,"6K-9K",IF(EmployeeData[[#This Row],[MonthlyIncome]]&lt;12000,"9K-12K","12K+"))))</f>
        <v>3K-6K</v>
      </c>
    </row>
    <row r="1149" spans="1:37" x14ac:dyDescent="0.3">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c r="AJ1149" s="4" t="str">
        <f>IF(EmployeeData[[#This Row],[Age]]&lt;25,"Under 25",IF(EmployeeData[[#This Row],[Age]]&lt;35,"25-34",IF(EmployeeData[[#This Row],[Age]]&lt;45,"35-44",IF(EmployeeData[[#This Row],[Age]]&lt;55,"45-54","55+"))))</f>
        <v>45-54</v>
      </c>
      <c r="AK1149" s="4" t="str">
        <f>IF(EmployeeData[[#This Row],[MonthlyIncome]]&lt;3000,"Below 3K",IF(EmployeeData[[#This Row],[MonthlyIncome]]&lt;6000,"3K-6K",IF(EmployeeData[[#This Row],[MonthlyIncome]]&lt;9000,"6K-9K",IF(EmployeeData[[#This Row],[MonthlyIncome]]&lt;12000,"9K-12K","12K+"))))</f>
        <v>3K-6K</v>
      </c>
    </row>
    <row r="1150" spans="1:37" x14ac:dyDescent="0.3">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c r="AJ1150" s="4" t="str">
        <f>IF(EmployeeData[[#This Row],[Age]]&lt;25,"Under 25",IF(EmployeeData[[#This Row],[Age]]&lt;35,"25-34",IF(EmployeeData[[#This Row],[Age]]&lt;45,"35-44",IF(EmployeeData[[#This Row],[Age]]&lt;55,"45-54","55+"))))</f>
        <v>35-44</v>
      </c>
      <c r="AK1150" s="4" t="str">
        <f>IF(EmployeeData[[#This Row],[MonthlyIncome]]&lt;3000,"Below 3K",IF(EmployeeData[[#This Row],[MonthlyIncome]]&lt;6000,"3K-6K",IF(EmployeeData[[#This Row],[MonthlyIncome]]&lt;9000,"6K-9K",IF(EmployeeData[[#This Row],[MonthlyIncome]]&lt;12000,"9K-12K","12K+"))))</f>
        <v>3K-6K</v>
      </c>
    </row>
    <row r="1151" spans="1:37" x14ac:dyDescent="0.3">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c r="AJ1151" s="4" t="str">
        <f>IF(EmployeeData[[#This Row],[Age]]&lt;25,"Under 25",IF(EmployeeData[[#This Row],[Age]]&lt;35,"25-34",IF(EmployeeData[[#This Row],[Age]]&lt;45,"35-44",IF(EmployeeData[[#This Row],[Age]]&lt;55,"45-54","55+"))))</f>
        <v>25-34</v>
      </c>
      <c r="AK1151" s="4" t="str">
        <f>IF(EmployeeData[[#This Row],[MonthlyIncome]]&lt;3000,"Below 3K",IF(EmployeeData[[#This Row],[MonthlyIncome]]&lt;6000,"3K-6K",IF(EmployeeData[[#This Row],[MonthlyIncome]]&lt;9000,"6K-9K",IF(EmployeeData[[#This Row],[MonthlyIncome]]&lt;12000,"9K-12K","12K+"))))</f>
        <v>3K-6K</v>
      </c>
    </row>
    <row r="1152" spans="1:37" x14ac:dyDescent="0.3">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c r="AJ1152" s="4" t="str">
        <f>IF(EmployeeData[[#This Row],[Age]]&lt;25,"Under 25",IF(EmployeeData[[#This Row],[Age]]&lt;35,"25-34",IF(EmployeeData[[#This Row],[Age]]&lt;45,"35-44",IF(EmployeeData[[#This Row],[Age]]&lt;55,"45-54","55+"))))</f>
        <v>35-44</v>
      </c>
      <c r="AK1152" s="4" t="str">
        <f>IF(EmployeeData[[#This Row],[MonthlyIncome]]&lt;3000,"Below 3K",IF(EmployeeData[[#This Row],[MonthlyIncome]]&lt;6000,"3K-6K",IF(EmployeeData[[#This Row],[MonthlyIncome]]&lt;9000,"6K-9K",IF(EmployeeData[[#This Row],[MonthlyIncome]]&lt;12000,"9K-12K","12K+"))))</f>
        <v>3K-6K</v>
      </c>
    </row>
    <row r="1153" spans="1:37" x14ac:dyDescent="0.3">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c r="AJ1153" s="4" t="str">
        <f>IF(EmployeeData[[#This Row],[Age]]&lt;25,"Under 25",IF(EmployeeData[[#This Row],[Age]]&lt;35,"25-34",IF(EmployeeData[[#This Row],[Age]]&lt;45,"35-44",IF(EmployeeData[[#This Row],[Age]]&lt;55,"45-54","55+"))))</f>
        <v>25-34</v>
      </c>
      <c r="AK1153" s="4" t="str">
        <f>IF(EmployeeData[[#This Row],[MonthlyIncome]]&lt;3000,"Below 3K",IF(EmployeeData[[#This Row],[MonthlyIncome]]&lt;6000,"3K-6K",IF(EmployeeData[[#This Row],[MonthlyIncome]]&lt;9000,"6K-9K",IF(EmployeeData[[#This Row],[MonthlyIncome]]&lt;12000,"9K-12K","12K+"))))</f>
        <v>3K-6K</v>
      </c>
    </row>
    <row r="1154" spans="1:37" x14ac:dyDescent="0.3">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c r="AJ1154" s="4" t="str">
        <f>IF(EmployeeData[[#This Row],[Age]]&lt;25,"Under 25",IF(EmployeeData[[#This Row],[Age]]&lt;35,"25-34",IF(EmployeeData[[#This Row],[Age]]&lt;45,"35-44",IF(EmployeeData[[#This Row],[Age]]&lt;55,"45-54","55+"))))</f>
        <v>Under 25</v>
      </c>
      <c r="AK1154" s="4" t="str">
        <f>IF(EmployeeData[[#This Row],[MonthlyIncome]]&lt;3000,"Below 3K",IF(EmployeeData[[#This Row],[MonthlyIncome]]&lt;6000,"3K-6K",IF(EmployeeData[[#This Row],[MonthlyIncome]]&lt;9000,"6K-9K",IF(EmployeeData[[#This Row],[MonthlyIncome]]&lt;12000,"9K-12K","12K+"))))</f>
        <v>3K-6K</v>
      </c>
    </row>
    <row r="1155" spans="1:37" x14ac:dyDescent="0.3">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c r="AJ1155" s="4" t="str">
        <f>IF(EmployeeData[[#This Row],[Age]]&lt;25,"Under 25",IF(EmployeeData[[#This Row],[Age]]&lt;35,"25-34",IF(EmployeeData[[#This Row],[Age]]&lt;45,"35-44",IF(EmployeeData[[#This Row],[Age]]&lt;55,"45-54","55+"))))</f>
        <v>Under 25</v>
      </c>
      <c r="AK1155" s="4" t="str">
        <f>IF(EmployeeData[[#This Row],[MonthlyIncome]]&lt;3000,"Below 3K",IF(EmployeeData[[#This Row],[MonthlyIncome]]&lt;6000,"3K-6K",IF(EmployeeData[[#This Row],[MonthlyIncome]]&lt;9000,"6K-9K",IF(EmployeeData[[#This Row],[MonthlyIncome]]&lt;12000,"9K-12K","12K+"))))</f>
        <v>Below 3K</v>
      </c>
    </row>
    <row r="1156" spans="1:37" x14ac:dyDescent="0.3">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c r="AJ1156" s="4" t="str">
        <f>IF(EmployeeData[[#This Row],[Age]]&lt;25,"Under 25",IF(EmployeeData[[#This Row],[Age]]&lt;35,"25-34",IF(EmployeeData[[#This Row],[Age]]&lt;45,"35-44",IF(EmployeeData[[#This Row],[Age]]&lt;55,"45-54","55+"))))</f>
        <v>45-54</v>
      </c>
      <c r="AK1156" s="4" t="str">
        <f>IF(EmployeeData[[#This Row],[MonthlyIncome]]&lt;3000,"Below 3K",IF(EmployeeData[[#This Row],[MonthlyIncome]]&lt;6000,"3K-6K",IF(EmployeeData[[#This Row],[MonthlyIncome]]&lt;9000,"6K-9K",IF(EmployeeData[[#This Row],[MonthlyIncome]]&lt;12000,"9K-12K","12K+"))))</f>
        <v>12K+</v>
      </c>
    </row>
    <row r="1157" spans="1:37" x14ac:dyDescent="0.3">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c r="AJ1157" s="4" t="str">
        <f>IF(EmployeeData[[#This Row],[Age]]&lt;25,"Under 25",IF(EmployeeData[[#This Row],[Age]]&lt;35,"25-34",IF(EmployeeData[[#This Row],[Age]]&lt;45,"35-44",IF(EmployeeData[[#This Row],[Age]]&lt;55,"45-54","55+"))))</f>
        <v>35-44</v>
      </c>
      <c r="AK1157" s="4" t="str">
        <f>IF(EmployeeData[[#This Row],[MonthlyIncome]]&lt;3000,"Below 3K",IF(EmployeeData[[#This Row],[MonthlyIncome]]&lt;6000,"3K-6K",IF(EmployeeData[[#This Row],[MonthlyIncome]]&lt;9000,"6K-9K",IF(EmployeeData[[#This Row],[MonthlyIncome]]&lt;12000,"9K-12K","12K+"))))</f>
        <v>3K-6K</v>
      </c>
    </row>
    <row r="1158" spans="1:37" x14ac:dyDescent="0.3">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c r="AJ1158" s="4" t="str">
        <f>IF(EmployeeData[[#This Row],[Age]]&lt;25,"Under 25",IF(EmployeeData[[#This Row],[Age]]&lt;35,"25-34",IF(EmployeeData[[#This Row],[Age]]&lt;45,"35-44",IF(EmployeeData[[#This Row],[Age]]&lt;55,"45-54","55+"))))</f>
        <v>35-44</v>
      </c>
      <c r="AK1158" s="4" t="str">
        <f>IF(EmployeeData[[#This Row],[MonthlyIncome]]&lt;3000,"Below 3K",IF(EmployeeData[[#This Row],[MonthlyIncome]]&lt;6000,"3K-6K",IF(EmployeeData[[#This Row],[MonthlyIncome]]&lt;9000,"6K-9K",IF(EmployeeData[[#This Row],[MonthlyIncome]]&lt;12000,"9K-12K","12K+"))))</f>
        <v>9K-12K</v>
      </c>
    </row>
    <row r="1159" spans="1:37" x14ac:dyDescent="0.3">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c r="AJ1159" s="4" t="str">
        <f>IF(EmployeeData[[#This Row],[Age]]&lt;25,"Under 25",IF(EmployeeData[[#This Row],[Age]]&lt;35,"25-34",IF(EmployeeData[[#This Row],[Age]]&lt;45,"35-44",IF(EmployeeData[[#This Row],[Age]]&lt;55,"45-54","55+"))))</f>
        <v>35-44</v>
      </c>
      <c r="AK1159" s="4" t="str">
        <f>IF(EmployeeData[[#This Row],[MonthlyIncome]]&lt;3000,"Below 3K",IF(EmployeeData[[#This Row],[MonthlyIncome]]&lt;6000,"3K-6K",IF(EmployeeData[[#This Row],[MonthlyIncome]]&lt;9000,"6K-9K",IF(EmployeeData[[#This Row],[MonthlyIncome]]&lt;12000,"9K-12K","12K+"))))</f>
        <v>3K-6K</v>
      </c>
    </row>
    <row r="1160" spans="1:37" x14ac:dyDescent="0.3">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c r="AJ1160" s="4" t="str">
        <f>IF(EmployeeData[[#This Row],[Age]]&lt;25,"Under 25",IF(EmployeeData[[#This Row],[Age]]&lt;35,"25-34",IF(EmployeeData[[#This Row],[Age]]&lt;45,"35-44",IF(EmployeeData[[#This Row],[Age]]&lt;55,"45-54","55+"))))</f>
        <v>35-44</v>
      </c>
      <c r="AK1160" s="4" t="str">
        <f>IF(EmployeeData[[#This Row],[MonthlyIncome]]&lt;3000,"Below 3K",IF(EmployeeData[[#This Row],[MonthlyIncome]]&lt;6000,"3K-6K",IF(EmployeeData[[#This Row],[MonthlyIncome]]&lt;9000,"6K-9K",IF(EmployeeData[[#This Row],[MonthlyIncome]]&lt;12000,"9K-12K","12K+"))))</f>
        <v>3K-6K</v>
      </c>
    </row>
    <row r="1161" spans="1:37" x14ac:dyDescent="0.3">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c r="AJ1161" s="4" t="str">
        <f>IF(EmployeeData[[#This Row],[Age]]&lt;25,"Under 25",IF(EmployeeData[[#This Row],[Age]]&lt;35,"25-34",IF(EmployeeData[[#This Row],[Age]]&lt;45,"35-44",IF(EmployeeData[[#This Row],[Age]]&lt;55,"45-54","55+"))))</f>
        <v>35-44</v>
      </c>
      <c r="AK1161" s="4" t="str">
        <f>IF(EmployeeData[[#This Row],[MonthlyIncome]]&lt;3000,"Below 3K",IF(EmployeeData[[#This Row],[MonthlyIncome]]&lt;6000,"3K-6K",IF(EmployeeData[[#This Row],[MonthlyIncome]]&lt;9000,"6K-9K",IF(EmployeeData[[#This Row],[MonthlyIncome]]&lt;12000,"9K-12K","12K+"))))</f>
        <v>3K-6K</v>
      </c>
    </row>
    <row r="1162" spans="1:37" x14ac:dyDescent="0.3">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c r="AJ1162" s="4" t="str">
        <f>IF(EmployeeData[[#This Row],[Age]]&lt;25,"Under 25",IF(EmployeeData[[#This Row],[Age]]&lt;35,"25-34",IF(EmployeeData[[#This Row],[Age]]&lt;45,"35-44",IF(EmployeeData[[#This Row],[Age]]&lt;55,"45-54","55+"))))</f>
        <v>45-54</v>
      </c>
      <c r="AK1162" s="4" t="str">
        <f>IF(EmployeeData[[#This Row],[MonthlyIncome]]&lt;3000,"Below 3K",IF(EmployeeData[[#This Row],[MonthlyIncome]]&lt;6000,"3K-6K",IF(EmployeeData[[#This Row],[MonthlyIncome]]&lt;9000,"6K-9K",IF(EmployeeData[[#This Row],[MonthlyIncome]]&lt;12000,"9K-12K","12K+"))))</f>
        <v>3K-6K</v>
      </c>
    </row>
    <row r="1163" spans="1:37" x14ac:dyDescent="0.3">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c r="AJ1163" s="4" t="str">
        <f>IF(EmployeeData[[#This Row],[Age]]&lt;25,"Under 25",IF(EmployeeData[[#This Row],[Age]]&lt;35,"25-34",IF(EmployeeData[[#This Row],[Age]]&lt;45,"35-44",IF(EmployeeData[[#This Row],[Age]]&lt;55,"45-54","55+"))))</f>
        <v>35-44</v>
      </c>
      <c r="AK1163" s="4" t="str">
        <f>IF(EmployeeData[[#This Row],[MonthlyIncome]]&lt;3000,"Below 3K",IF(EmployeeData[[#This Row],[MonthlyIncome]]&lt;6000,"3K-6K",IF(EmployeeData[[#This Row],[MonthlyIncome]]&lt;9000,"6K-9K",IF(EmployeeData[[#This Row],[MonthlyIncome]]&lt;12000,"9K-12K","12K+"))))</f>
        <v>6K-9K</v>
      </c>
    </row>
    <row r="1164" spans="1:37" x14ac:dyDescent="0.3">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c r="AJ1164" s="4" t="str">
        <f>IF(EmployeeData[[#This Row],[Age]]&lt;25,"Under 25",IF(EmployeeData[[#This Row],[Age]]&lt;35,"25-34",IF(EmployeeData[[#This Row],[Age]]&lt;45,"35-44",IF(EmployeeData[[#This Row],[Age]]&lt;55,"45-54","55+"))))</f>
        <v>35-44</v>
      </c>
      <c r="AK1164" s="4" t="str">
        <f>IF(EmployeeData[[#This Row],[MonthlyIncome]]&lt;3000,"Below 3K",IF(EmployeeData[[#This Row],[MonthlyIncome]]&lt;6000,"3K-6K",IF(EmployeeData[[#This Row],[MonthlyIncome]]&lt;9000,"6K-9K",IF(EmployeeData[[#This Row],[MonthlyIncome]]&lt;12000,"9K-12K","12K+"))))</f>
        <v>9K-12K</v>
      </c>
    </row>
    <row r="1165" spans="1:37" x14ac:dyDescent="0.3">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c r="AJ1165" s="4" t="str">
        <f>IF(EmployeeData[[#This Row],[Age]]&lt;25,"Under 25",IF(EmployeeData[[#This Row],[Age]]&lt;35,"25-34",IF(EmployeeData[[#This Row],[Age]]&lt;45,"35-44",IF(EmployeeData[[#This Row],[Age]]&lt;55,"45-54","55+"))))</f>
        <v>35-44</v>
      </c>
      <c r="AK1165" s="4" t="str">
        <f>IF(EmployeeData[[#This Row],[MonthlyIncome]]&lt;3000,"Below 3K",IF(EmployeeData[[#This Row],[MonthlyIncome]]&lt;6000,"3K-6K",IF(EmployeeData[[#This Row],[MonthlyIncome]]&lt;9000,"6K-9K",IF(EmployeeData[[#This Row],[MonthlyIncome]]&lt;12000,"9K-12K","12K+"))))</f>
        <v>3K-6K</v>
      </c>
    </row>
    <row r="1166" spans="1:37" x14ac:dyDescent="0.3">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c r="AJ1166" s="4" t="str">
        <f>IF(EmployeeData[[#This Row],[Age]]&lt;25,"Under 25",IF(EmployeeData[[#This Row],[Age]]&lt;35,"25-34",IF(EmployeeData[[#This Row],[Age]]&lt;45,"35-44",IF(EmployeeData[[#This Row],[Age]]&lt;55,"45-54","55+"))))</f>
        <v>35-44</v>
      </c>
      <c r="AK1166" s="4" t="str">
        <f>IF(EmployeeData[[#This Row],[MonthlyIncome]]&lt;3000,"Below 3K",IF(EmployeeData[[#This Row],[MonthlyIncome]]&lt;6000,"3K-6K",IF(EmployeeData[[#This Row],[MonthlyIncome]]&lt;9000,"6K-9K",IF(EmployeeData[[#This Row],[MonthlyIncome]]&lt;12000,"9K-12K","12K+"))))</f>
        <v>6K-9K</v>
      </c>
    </row>
    <row r="1167" spans="1:37" x14ac:dyDescent="0.3">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c r="AJ1167" s="4" t="str">
        <f>IF(EmployeeData[[#This Row],[Age]]&lt;25,"Under 25",IF(EmployeeData[[#This Row],[Age]]&lt;35,"25-34",IF(EmployeeData[[#This Row],[Age]]&lt;45,"35-44",IF(EmployeeData[[#This Row],[Age]]&lt;55,"45-54","55+"))))</f>
        <v>35-44</v>
      </c>
      <c r="AK1167" s="4" t="str">
        <f>IF(EmployeeData[[#This Row],[MonthlyIncome]]&lt;3000,"Below 3K",IF(EmployeeData[[#This Row],[MonthlyIncome]]&lt;6000,"3K-6K",IF(EmployeeData[[#This Row],[MonthlyIncome]]&lt;9000,"6K-9K",IF(EmployeeData[[#This Row],[MonthlyIncome]]&lt;12000,"9K-12K","12K+"))))</f>
        <v>3K-6K</v>
      </c>
    </row>
    <row r="1168" spans="1:37" x14ac:dyDescent="0.3">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c r="AJ1168" s="4" t="str">
        <f>IF(EmployeeData[[#This Row],[Age]]&lt;25,"Under 25",IF(EmployeeData[[#This Row],[Age]]&lt;35,"25-34",IF(EmployeeData[[#This Row],[Age]]&lt;45,"35-44",IF(EmployeeData[[#This Row],[Age]]&lt;55,"45-54","55+"))))</f>
        <v>45-54</v>
      </c>
      <c r="AK1168" s="4" t="str">
        <f>IF(EmployeeData[[#This Row],[MonthlyIncome]]&lt;3000,"Below 3K",IF(EmployeeData[[#This Row],[MonthlyIncome]]&lt;6000,"3K-6K",IF(EmployeeData[[#This Row],[MonthlyIncome]]&lt;9000,"6K-9K",IF(EmployeeData[[#This Row],[MonthlyIncome]]&lt;12000,"9K-12K","12K+"))))</f>
        <v>12K+</v>
      </c>
    </row>
    <row r="1169" spans="1:37" x14ac:dyDescent="0.3">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c r="AJ1169" s="4" t="str">
        <f>IF(EmployeeData[[#This Row],[Age]]&lt;25,"Under 25",IF(EmployeeData[[#This Row],[Age]]&lt;35,"25-34",IF(EmployeeData[[#This Row],[Age]]&lt;45,"35-44",IF(EmployeeData[[#This Row],[Age]]&lt;55,"45-54","55+"))))</f>
        <v>35-44</v>
      </c>
      <c r="AK1169" s="4" t="str">
        <f>IF(EmployeeData[[#This Row],[MonthlyIncome]]&lt;3000,"Below 3K",IF(EmployeeData[[#This Row],[MonthlyIncome]]&lt;6000,"3K-6K",IF(EmployeeData[[#This Row],[MonthlyIncome]]&lt;9000,"6K-9K",IF(EmployeeData[[#This Row],[MonthlyIncome]]&lt;12000,"9K-12K","12K+"))))</f>
        <v>3K-6K</v>
      </c>
    </row>
    <row r="1170" spans="1:37" x14ac:dyDescent="0.3">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c r="AJ1170" s="4" t="str">
        <f>IF(EmployeeData[[#This Row],[Age]]&lt;25,"Under 25",IF(EmployeeData[[#This Row],[Age]]&lt;35,"25-34",IF(EmployeeData[[#This Row],[Age]]&lt;45,"35-44",IF(EmployeeData[[#This Row],[Age]]&lt;55,"45-54","55+"))))</f>
        <v>Under 25</v>
      </c>
      <c r="AK1170" s="4" t="str">
        <f>IF(EmployeeData[[#This Row],[MonthlyIncome]]&lt;3000,"Below 3K",IF(EmployeeData[[#This Row],[MonthlyIncome]]&lt;6000,"3K-6K",IF(EmployeeData[[#This Row],[MonthlyIncome]]&lt;9000,"6K-9K",IF(EmployeeData[[#This Row],[MonthlyIncome]]&lt;12000,"9K-12K","12K+"))))</f>
        <v>3K-6K</v>
      </c>
    </row>
    <row r="1171" spans="1:37" x14ac:dyDescent="0.3">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c r="AJ1171" s="4" t="str">
        <f>IF(EmployeeData[[#This Row],[Age]]&lt;25,"Under 25",IF(EmployeeData[[#This Row],[Age]]&lt;35,"25-34",IF(EmployeeData[[#This Row],[Age]]&lt;45,"35-44",IF(EmployeeData[[#This Row],[Age]]&lt;55,"45-54","55+"))))</f>
        <v>25-34</v>
      </c>
      <c r="AK1171" s="4" t="str">
        <f>IF(EmployeeData[[#This Row],[MonthlyIncome]]&lt;3000,"Below 3K",IF(EmployeeData[[#This Row],[MonthlyIncome]]&lt;6000,"3K-6K",IF(EmployeeData[[#This Row],[MonthlyIncome]]&lt;9000,"6K-9K",IF(EmployeeData[[#This Row],[MonthlyIncome]]&lt;12000,"9K-12K","12K+"))))</f>
        <v>3K-6K</v>
      </c>
    </row>
    <row r="1172" spans="1:37" x14ac:dyDescent="0.3">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c r="AJ1172" s="4" t="str">
        <f>IF(EmployeeData[[#This Row],[Age]]&lt;25,"Under 25",IF(EmployeeData[[#This Row],[Age]]&lt;35,"25-34",IF(EmployeeData[[#This Row],[Age]]&lt;45,"35-44",IF(EmployeeData[[#This Row],[Age]]&lt;55,"45-54","55+"))))</f>
        <v>25-34</v>
      </c>
      <c r="AK1172" s="4" t="str">
        <f>IF(EmployeeData[[#This Row],[MonthlyIncome]]&lt;3000,"Below 3K",IF(EmployeeData[[#This Row],[MonthlyIncome]]&lt;6000,"3K-6K",IF(EmployeeData[[#This Row],[MonthlyIncome]]&lt;9000,"6K-9K",IF(EmployeeData[[#This Row],[MonthlyIncome]]&lt;12000,"9K-12K","12K+"))))</f>
        <v>Below 3K</v>
      </c>
    </row>
    <row r="1173" spans="1:37" x14ac:dyDescent="0.3">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c r="AJ1173" s="4" t="str">
        <f>IF(EmployeeData[[#This Row],[Age]]&lt;25,"Under 25",IF(EmployeeData[[#This Row],[Age]]&lt;35,"25-34",IF(EmployeeData[[#This Row],[Age]]&lt;45,"35-44",IF(EmployeeData[[#This Row],[Age]]&lt;55,"45-54","55+"))))</f>
        <v>35-44</v>
      </c>
      <c r="AK1173" s="4" t="str">
        <f>IF(EmployeeData[[#This Row],[MonthlyIncome]]&lt;3000,"Below 3K",IF(EmployeeData[[#This Row],[MonthlyIncome]]&lt;6000,"3K-6K",IF(EmployeeData[[#This Row],[MonthlyIncome]]&lt;9000,"6K-9K",IF(EmployeeData[[#This Row],[MonthlyIncome]]&lt;12000,"9K-12K","12K+"))))</f>
        <v>Below 3K</v>
      </c>
    </row>
    <row r="1174" spans="1:37" x14ac:dyDescent="0.3">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c r="AJ1174" s="4" t="str">
        <f>IF(EmployeeData[[#This Row],[Age]]&lt;25,"Under 25",IF(EmployeeData[[#This Row],[Age]]&lt;35,"25-34",IF(EmployeeData[[#This Row],[Age]]&lt;45,"35-44",IF(EmployeeData[[#This Row],[Age]]&lt;55,"45-54","55+"))))</f>
        <v>25-34</v>
      </c>
      <c r="AK1174" s="4" t="str">
        <f>IF(EmployeeData[[#This Row],[MonthlyIncome]]&lt;3000,"Below 3K",IF(EmployeeData[[#This Row],[MonthlyIncome]]&lt;6000,"3K-6K",IF(EmployeeData[[#This Row],[MonthlyIncome]]&lt;9000,"6K-9K",IF(EmployeeData[[#This Row],[MonthlyIncome]]&lt;12000,"9K-12K","12K+"))))</f>
        <v>3K-6K</v>
      </c>
    </row>
    <row r="1175" spans="1:37" x14ac:dyDescent="0.3">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c r="AJ1175" s="4" t="str">
        <f>IF(EmployeeData[[#This Row],[Age]]&lt;25,"Under 25",IF(EmployeeData[[#This Row],[Age]]&lt;35,"25-34",IF(EmployeeData[[#This Row],[Age]]&lt;45,"35-44",IF(EmployeeData[[#This Row],[Age]]&lt;55,"45-54","55+"))))</f>
        <v>35-44</v>
      </c>
      <c r="AK1175" s="4" t="str">
        <f>IF(EmployeeData[[#This Row],[MonthlyIncome]]&lt;3000,"Below 3K",IF(EmployeeData[[#This Row],[MonthlyIncome]]&lt;6000,"3K-6K",IF(EmployeeData[[#This Row],[MonthlyIncome]]&lt;9000,"6K-9K",IF(EmployeeData[[#This Row],[MonthlyIncome]]&lt;12000,"9K-12K","12K+"))))</f>
        <v>6K-9K</v>
      </c>
    </row>
    <row r="1176" spans="1:37" x14ac:dyDescent="0.3">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c r="AJ1176" s="4" t="str">
        <f>IF(EmployeeData[[#This Row],[Age]]&lt;25,"Under 25",IF(EmployeeData[[#This Row],[Age]]&lt;35,"25-34",IF(EmployeeData[[#This Row],[Age]]&lt;45,"35-44",IF(EmployeeData[[#This Row],[Age]]&lt;55,"45-54","55+"))))</f>
        <v>25-34</v>
      </c>
      <c r="AK1176" s="4" t="str">
        <f>IF(EmployeeData[[#This Row],[MonthlyIncome]]&lt;3000,"Below 3K",IF(EmployeeData[[#This Row],[MonthlyIncome]]&lt;6000,"3K-6K",IF(EmployeeData[[#This Row],[MonthlyIncome]]&lt;9000,"6K-9K",IF(EmployeeData[[#This Row],[MonthlyIncome]]&lt;12000,"9K-12K","12K+"))))</f>
        <v>3K-6K</v>
      </c>
    </row>
    <row r="1177" spans="1:37" x14ac:dyDescent="0.3">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c r="AJ1177" s="4" t="str">
        <f>IF(EmployeeData[[#This Row],[Age]]&lt;25,"Under 25",IF(EmployeeData[[#This Row],[Age]]&lt;35,"25-34",IF(EmployeeData[[#This Row],[Age]]&lt;45,"35-44",IF(EmployeeData[[#This Row],[Age]]&lt;55,"45-54","55+"))))</f>
        <v>35-44</v>
      </c>
      <c r="AK1177" s="4" t="str">
        <f>IF(EmployeeData[[#This Row],[MonthlyIncome]]&lt;3000,"Below 3K",IF(EmployeeData[[#This Row],[MonthlyIncome]]&lt;6000,"3K-6K",IF(EmployeeData[[#This Row],[MonthlyIncome]]&lt;9000,"6K-9K",IF(EmployeeData[[#This Row],[MonthlyIncome]]&lt;12000,"9K-12K","12K+"))))</f>
        <v>3K-6K</v>
      </c>
    </row>
    <row r="1178" spans="1:37" x14ac:dyDescent="0.3">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c r="AJ1178" s="4" t="str">
        <f>IF(EmployeeData[[#This Row],[Age]]&lt;25,"Under 25",IF(EmployeeData[[#This Row],[Age]]&lt;35,"25-34",IF(EmployeeData[[#This Row],[Age]]&lt;45,"35-44",IF(EmployeeData[[#This Row],[Age]]&lt;55,"45-54","55+"))))</f>
        <v>45-54</v>
      </c>
      <c r="AK1178" s="4" t="str">
        <f>IF(EmployeeData[[#This Row],[MonthlyIncome]]&lt;3000,"Below 3K",IF(EmployeeData[[#This Row],[MonthlyIncome]]&lt;6000,"3K-6K",IF(EmployeeData[[#This Row],[MonthlyIncome]]&lt;9000,"6K-9K",IF(EmployeeData[[#This Row],[MonthlyIncome]]&lt;12000,"9K-12K","12K+"))))</f>
        <v>12K+</v>
      </c>
    </row>
    <row r="1179" spans="1:37" x14ac:dyDescent="0.3">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c r="AJ1179" s="4" t="str">
        <f>IF(EmployeeData[[#This Row],[Age]]&lt;25,"Under 25",IF(EmployeeData[[#This Row],[Age]]&lt;35,"25-34",IF(EmployeeData[[#This Row],[Age]]&lt;45,"35-44",IF(EmployeeData[[#This Row],[Age]]&lt;55,"45-54","55+"))))</f>
        <v>45-54</v>
      </c>
      <c r="AK1179" s="4" t="str">
        <f>IF(EmployeeData[[#This Row],[MonthlyIncome]]&lt;3000,"Below 3K",IF(EmployeeData[[#This Row],[MonthlyIncome]]&lt;6000,"3K-6K",IF(EmployeeData[[#This Row],[MonthlyIncome]]&lt;9000,"6K-9K",IF(EmployeeData[[#This Row],[MonthlyIncome]]&lt;12000,"9K-12K","12K+"))))</f>
        <v>12K+</v>
      </c>
    </row>
    <row r="1180" spans="1:37" x14ac:dyDescent="0.3">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c r="AJ1180" s="4" t="str">
        <f>IF(EmployeeData[[#This Row],[Age]]&lt;25,"Under 25",IF(EmployeeData[[#This Row],[Age]]&lt;35,"25-34",IF(EmployeeData[[#This Row],[Age]]&lt;45,"35-44",IF(EmployeeData[[#This Row],[Age]]&lt;55,"45-54","55+"))))</f>
        <v>Under 25</v>
      </c>
      <c r="AK1180" s="4" t="str">
        <f>IF(EmployeeData[[#This Row],[MonthlyIncome]]&lt;3000,"Below 3K",IF(EmployeeData[[#This Row],[MonthlyIncome]]&lt;6000,"3K-6K",IF(EmployeeData[[#This Row],[MonthlyIncome]]&lt;9000,"6K-9K",IF(EmployeeData[[#This Row],[MonthlyIncome]]&lt;12000,"9K-12K","12K+"))))</f>
        <v>Below 3K</v>
      </c>
    </row>
    <row r="1181" spans="1:37" x14ac:dyDescent="0.3">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c r="AJ1181" s="4" t="str">
        <f>IF(EmployeeData[[#This Row],[Age]]&lt;25,"Under 25",IF(EmployeeData[[#This Row],[Age]]&lt;35,"25-34",IF(EmployeeData[[#This Row],[Age]]&lt;45,"35-44",IF(EmployeeData[[#This Row],[Age]]&lt;55,"45-54","55+"))))</f>
        <v>25-34</v>
      </c>
      <c r="AK1181" s="4" t="str">
        <f>IF(EmployeeData[[#This Row],[MonthlyIncome]]&lt;3000,"Below 3K",IF(EmployeeData[[#This Row],[MonthlyIncome]]&lt;6000,"3K-6K",IF(EmployeeData[[#This Row],[MonthlyIncome]]&lt;9000,"6K-9K",IF(EmployeeData[[#This Row],[MonthlyIncome]]&lt;12000,"9K-12K","12K+"))))</f>
        <v>3K-6K</v>
      </c>
    </row>
    <row r="1182" spans="1:37" x14ac:dyDescent="0.3">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c r="AJ1182" s="4" t="str">
        <f>IF(EmployeeData[[#This Row],[Age]]&lt;25,"Under 25",IF(EmployeeData[[#This Row],[Age]]&lt;35,"25-34",IF(EmployeeData[[#This Row],[Age]]&lt;45,"35-44",IF(EmployeeData[[#This Row],[Age]]&lt;55,"45-54","55+"))))</f>
        <v>35-44</v>
      </c>
      <c r="AK1182" s="4" t="str">
        <f>IF(EmployeeData[[#This Row],[MonthlyIncome]]&lt;3000,"Below 3K",IF(EmployeeData[[#This Row],[MonthlyIncome]]&lt;6000,"3K-6K",IF(EmployeeData[[#This Row],[MonthlyIncome]]&lt;9000,"6K-9K",IF(EmployeeData[[#This Row],[MonthlyIncome]]&lt;12000,"9K-12K","12K+"))))</f>
        <v>Below 3K</v>
      </c>
    </row>
    <row r="1183" spans="1:37" x14ac:dyDescent="0.3">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c r="AJ1183" s="4" t="str">
        <f>IF(EmployeeData[[#This Row],[Age]]&lt;25,"Under 25",IF(EmployeeData[[#This Row],[Age]]&lt;35,"25-34",IF(EmployeeData[[#This Row],[Age]]&lt;45,"35-44",IF(EmployeeData[[#This Row],[Age]]&lt;55,"45-54","55+"))))</f>
        <v>45-54</v>
      </c>
      <c r="AK1183" s="4" t="str">
        <f>IF(EmployeeData[[#This Row],[MonthlyIncome]]&lt;3000,"Below 3K",IF(EmployeeData[[#This Row],[MonthlyIncome]]&lt;6000,"3K-6K",IF(EmployeeData[[#This Row],[MonthlyIncome]]&lt;9000,"6K-9K",IF(EmployeeData[[#This Row],[MonthlyIncome]]&lt;12000,"9K-12K","12K+"))))</f>
        <v>12K+</v>
      </c>
    </row>
    <row r="1184" spans="1:37" x14ac:dyDescent="0.3">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c r="AJ1184" s="4" t="str">
        <f>IF(EmployeeData[[#This Row],[Age]]&lt;25,"Under 25",IF(EmployeeData[[#This Row],[Age]]&lt;35,"25-34",IF(EmployeeData[[#This Row],[Age]]&lt;45,"35-44",IF(EmployeeData[[#This Row],[Age]]&lt;55,"45-54","55+"))))</f>
        <v>35-44</v>
      </c>
      <c r="AK1184" s="4" t="str">
        <f>IF(EmployeeData[[#This Row],[MonthlyIncome]]&lt;3000,"Below 3K",IF(EmployeeData[[#This Row],[MonthlyIncome]]&lt;6000,"3K-6K",IF(EmployeeData[[#This Row],[MonthlyIncome]]&lt;9000,"6K-9K",IF(EmployeeData[[#This Row],[MonthlyIncome]]&lt;12000,"9K-12K","12K+"))))</f>
        <v>3K-6K</v>
      </c>
    </row>
    <row r="1185" spans="1:37" x14ac:dyDescent="0.3">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c r="AJ1185" s="4" t="str">
        <f>IF(EmployeeData[[#This Row],[Age]]&lt;25,"Under 25",IF(EmployeeData[[#This Row],[Age]]&lt;35,"25-34",IF(EmployeeData[[#This Row],[Age]]&lt;45,"35-44",IF(EmployeeData[[#This Row],[Age]]&lt;55,"45-54","55+"))))</f>
        <v>35-44</v>
      </c>
      <c r="AK1185" s="4" t="str">
        <f>IF(EmployeeData[[#This Row],[MonthlyIncome]]&lt;3000,"Below 3K",IF(EmployeeData[[#This Row],[MonthlyIncome]]&lt;6000,"3K-6K",IF(EmployeeData[[#This Row],[MonthlyIncome]]&lt;9000,"6K-9K",IF(EmployeeData[[#This Row],[MonthlyIncome]]&lt;12000,"9K-12K","12K+"))))</f>
        <v>6K-9K</v>
      </c>
    </row>
    <row r="1186" spans="1:37" x14ac:dyDescent="0.3">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c r="AJ1186" s="4" t="str">
        <f>IF(EmployeeData[[#This Row],[Age]]&lt;25,"Under 25",IF(EmployeeData[[#This Row],[Age]]&lt;35,"25-34",IF(EmployeeData[[#This Row],[Age]]&lt;45,"35-44",IF(EmployeeData[[#This Row],[Age]]&lt;55,"45-54","55+"))))</f>
        <v>45-54</v>
      </c>
      <c r="AK1186" s="4" t="str">
        <f>IF(EmployeeData[[#This Row],[MonthlyIncome]]&lt;3000,"Below 3K",IF(EmployeeData[[#This Row],[MonthlyIncome]]&lt;6000,"3K-6K",IF(EmployeeData[[#This Row],[MonthlyIncome]]&lt;9000,"6K-9K",IF(EmployeeData[[#This Row],[MonthlyIncome]]&lt;12000,"9K-12K","12K+"))))</f>
        <v>12K+</v>
      </c>
    </row>
    <row r="1187" spans="1:37" x14ac:dyDescent="0.3">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c r="AJ1187" s="4" t="str">
        <f>IF(EmployeeData[[#This Row],[Age]]&lt;25,"Under 25",IF(EmployeeData[[#This Row],[Age]]&lt;35,"25-34",IF(EmployeeData[[#This Row],[Age]]&lt;45,"35-44",IF(EmployeeData[[#This Row],[Age]]&lt;55,"45-54","55+"))))</f>
        <v>35-44</v>
      </c>
      <c r="AK1187" s="4" t="str">
        <f>IF(EmployeeData[[#This Row],[MonthlyIncome]]&lt;3000,"Below 3K",IF(EmployeeData[[#This Row],[MonthlyIncome]]&lt;6000,"3K-6K",IF(EmployeeData[[#This Row],[MonthlyIncome]]&lt;9000,"6K-9K",IF(EmployeeData[[#This Row],[MonthlyIncome]]&lt;12000,"9K-12K","12K+"))))</f>
        <v>12K+</v>
      </c>
    </row>
    <row r="1188" spans="1:37" x14ac:dyDescent="0.3">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c r="AJ1188" s="4" t="str">
        <f>IF(EmployeeData[[#This Row],[Age]]&lt;25,"Under 25",IF(EmployeeData[[#This Row],[Age]]&lt;35,"25-34",IF(EmployeeData[[#This Row],[Age]]&lt;45,"35-44",IF(EmployeeData[[#This Row],[Age]]&lt;55,"45-54","55+"))))</f>
        <v>35-44</v>
      </c>
      <c r="AK1188" s="4" t="str">
        <f>IF(EmployeeData[[#This Row],[MonthlyIncome]]&lt;3000,"Below 3K",IF(EmployeeData[[#This Row],[MonthlyIncome]]&lt;6000,"3K-6K",IF(EmployeeData[[#This Row],[MonthlyIncome]]&lt;9000,"6K-9K",IF(EmployeeData[[#This Row],[MonthlyIncome]]&lt;12000,"9K-12K","12K+"))))</f>
        <v>3K-6K</v>
      </c>
    </row>
    <row r="1189" spans="1:37" x14ac:dyDescent="0.3">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c r="AJ1189" s="4" t="str">
        <f>IF(EmployeeData[[#This Row],[Age]]&lt;25,"Under 25",IF(EmployeeData[[#This Row],[Age]]&lt;35,"25-34",IF(EmployeeData[[#This Row],[Age]]&lt;45,"35-44",IF(EmployeeData[[#This Row],[Age]]&lt;55,"45-54","55+"))))</f>
        <v>35-44</v>
      </c>
      <c r="AK1189" s="4" t="str">
        <f>IF(EmployeeData[[#This Row],[MonthlyIncome]]&lt;3000,"Below 3K",IF(EmployeeData[[#This Row],[MonthlyIncome]]&lt;6000,"3K-6K",IF(EmployeeData[[#This Row],[MonthlyIncome]]&lt;9000,"6K-9K",IF(EmployeeData[[#This Row],[MonthlyIncome]]&lt;12000,"9K-12K","12K+"))))</f>
        <v>3K-6K</v>
      </c>
    </row>
    <row r="1190" spans="1:37" x14ac:dyDescent="0.3">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c r="AJ1190" s="4" t="str">
        <f>IF(EmployeeData[[#This Row],[Age]]&lt;25,"Under 25",IF(EmployeeData[[#This Row],[Age]]&lt;35,"25-34",IF(EmployeeData[[#This Row],[Age]]&lt;45,"35-44",IF(EmployeeData[[#This Row],[Age]]&lt;55,"45-54","55+"))))</f>
        <v>25-34</v>
      </c>
      <c r="AK1190" s="4" t="str">
        <f>IF(EmployeeData[[#This Row],[MonthlyIncome]]&lt;3000,"Below 3K",IF(EmployeeData[[#This Row],[MonthlyIncome]]&lt;6000,"3K-6K",IF(EmployeeData[[#This Row],[MonthlyIncome]]&lt;9000,"6K-9K",IF(EmployeeData[[#This Row],[MonthlyIncome]]&lt;12000,"9K-12K","12K+"))))</f>
        <v>3K-6K</v>
      </c>
    </row>
    <row r="1191" spans="1:37" x14ac:dyDescent="0.3">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c r="AJ1191" s="4" t="str">
        <f>IF(EmployeeData[[#This Row],[Age]]&lt;25,"Under 25",IF(EmployeeData[[#This Row],[Age]]&lt;35,"25-34",IF(EmployeeData[[#This Row],[Age]]&lt;45,"35-44",IF(EmployeeData[[#This Row],[Age]]&lt;55,"45-54","55+"))))</f>
        <v>25-34</v>
      </c>
      <c r="AK1191" s="4" t="str">
        <f>IF(EmployeeData[[#This Row],[MonthlyIncome]]&lt;3000,"Below 3K",IF(EmployeeData[[#This Row],[MonthlyIncome]]&lt;6000,"3K-6K",IF(EmployeeData[[#This Row],[MonthlyIncome]]&lt;9000,"6K-9K",IF(EmployeeData[[#This Row],[MonthlyIncome]]&lt;12000,"9K-12K","12K+"))))</f>
        <v>3K-6K</v>
      </c>
    </row>
    <row r="1192" spans="1:37" x14ac:dyDescent="0.3">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c r="AJ1192" s="4" t="str">
        <f>IF(EmployeeData[[#This Row],[Age]]&lt;25,"Under 25",IF(EmployeeData[[#This Row],[Age]]&lt;35,"25-34",IF(EmployeeData[[#This Row],[Age]]&lt;45,"35-44",IF(EmployeeData[[#This Row],[Age]]&lt;55,"45-54","55+"))))</f>
        <v>25-34</v>
      </c>
      <c r="AK1192" s="4" t="str">
        <f>IF(EmployeeData[[#This Row],[MonthlyIncome]]&lt;3000,"Below 3K",IF(EmployeeData[[#This Row],[MonthlyIncome]]&lt;6000,"3K-6K",IF(EmployeeData[[#This Row],[MonthlyIncome]]&lt;9000,"6K-9K",IF(EmployeeData[[#This Row],[MonthlyIncome]]&lt;12000,"9K-12K","12K+"))))</f>
        <v>3K-6K</v>
      </c>
    </row>
    <row r="1193" spans="1:37" x14ac:dyDescent="0.3">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c r="AJ1193" s="4" t="str">
        <f>IF(EmployeeData[[#This Row],[Age]]&lt;25,"Under 25",IF(EmployeeData[[#This Row],[Age]]&lt;35,"25-34",IF(EmployeeData[[#This Row],[Age]]&lt;45,"35-44",IF(EmployeeData[[#This Row],[Age]]&lt;55,"45-54","55+"))))</f>
        <v>25-34</v>
      </c>
      <c r="AK1193" s="4" t="str">
        <f>IF(EmployeeData[[#This Row],[MonthlyIncome]]&lt;3000,"Below 3K",IF(EmployeeData[[#This Row],[MonthlyIncome]]&lt;6000,"3K-6K",IF(EmployeeData[[#This Row],[MonthlyIncome]]&lt;9000,"6K-9K",IF(EmployeeData[[#This Row],[MonthlyIncome]]&lt;12000,"9K-12K","12K+"))))</f>
        <v>3K-6K</v>
      </c>
    </row>
    <row r="1194" spans="1:37" x14ac:dyDescent="0.3">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c r="AJ1194" s="4" t="str">
        <f>IF(EmployeeData[[#This Row],[Age]]&lt;25,"Under 25",IF(EmployeeData[[#This Row],[Age]]&lt;35,"25-34",IF(EmployeeData[[#This Row],[Age]]&lt;45,"35-44",IF(EmployeeData[[#This Row],[Age]]&lt;55,"45-54","55+"))))</f>
        <v>45-54</v>
      </c>
      <c r="AK1194" s="4" t="str">
        <f>IF(EmployeeData[[#This Row],[MonthlyIncome]]&lt;3000,"Below 3K",IF(EmployeeData[[#This Row],[MonthlyIncome]]&lt;6000,"3K-6K",IF(EmployeeData[[#This Row],[MonthlyIncome]]&lt;9000,"6K-9K",IF(EmployeeData[[#This Row],[MonthlyIncome]]&lt;12000,"9K-12K","12K+"))))</f>
        <v>Below 3K</v>
      </c>
    </row>
    <row r="1195" spans="1:37" x14ac:dyDescent="0.3">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c r="AJ1195" s="4" t="str">
        <f>IF(EmployeeData[[#This Row],[Age]]&lt;25,"Under 25",IF(EmployeeData[[#This Row],[Age]]&lt;35,"25-34",IF(EmployeeData[[#This Row],[Age]]&lt;45,"35-44",IF(EmployeeData[[#This Row],[Age]]&lt;55,"45-54","55+"))))</f>
        <v>35-44</v>
      </c>
      <c r="AK1195" s="4" t="str">
        <f>IF(EmployeeData[[#This Row],[MonthlyIncome]]&lt;3000,"Below 3K",IF(EmployeeData[[#This Row],[MonthlyIncome]]&lt;6000,"3K-6K",IF(EmployeeData[[#This Row],[MonthlyIncome]]&lt;9000,"6K-9K",IF(EmployeeData[[#This Row],[MonthlyIncome]]&lt;12000,"9K-12K","12K+"))))</f>
        <v>Below 3K</v>
      </c>
    </row>
    <row r="1196" spans="1:37" x14ac:dyDescent="0.3">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c r="AJ1196" s="4" t="str">
        <f>IF(EmployeeData[[#This Row],[Age]]&lt;25,"Under 25",IF(EmployeeData[[#This Row],[Age]]&lt;35,"25-34",IF(EmployeeData[[#This Row],[Age]]&lt;45,"35-44",IF(EmployeeData[[#This Row],[Age]]&lt;55,"45-54","55+"))))</f>
        <v>45-54</v>
      </c>
      <c r="AK1196" s="4" t="str">
        <f>IF(EmployeeData[[#This Row],[MonthlyIncome]]&lt;3000,"Below 3K",IF(EmployeeData[[#This Row],[MonthlyIncome]]&lt;6000,"3K-6K",IF(EmployeeData[[#This Row],[MonthlyIncome]]&lt;9000,"6K-9K",IF(EmployeeData[[#This Row],[MonthlyIncome]]&lt;12000,"9K-12K","12K+"))))</f>
        <v>12K+</v>
      </c>
    </row>
    <row r="1197" spans="1:37" x14ac:dyDescent="0.3">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c r="AJ1197" s="4" t="str">
        <f>IF(EmployeeData[[#This Row],[Age]]&lt;25,"Under 25",IF(EmployeeData[[#This Row],[Age]]&lt;35,"25-34",IF(EmployeeData[[#This Row],[Age]]&lt;45,"35-44",IF(EmployeeData[[#This Row],[Age]]&lt;55,"45-54","55+"))))</f>
        <v>45-54</v>
      </c>
      <c r="AK1197" s="4" t="str">
        <f>IF(EmployeeData[[#This Row],[MonthlyIncome]]&lt;3000,"Below 3K",IF(EmployeeData[[#This Row],[MonthlyIncome]]&lt;6000,"3K-6K",IF(EmployeeData[[#This Row],[MonthlyIncome]]&lt;9000,"6K-9K",IF(EmployeeData[[#This Row],[MonthlyIncome]]&lt;12000,"9K-12K","12K+"))))</f>
        <v>12K+</v>
      </c>
    </row>
    <row r="1198" spans="1:37" x14ac:dyDescent="0.3">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c r="AJ1198" s="4" t="str">
        <f>IF(EmployeeData[[#This Row],[Age]]&lt;25,"Under 25",IF(EmployeeData[[#This Row],[Age]]&lt;35,"25-34",IF(EmployeeData[[#This Row],[Age]]&lt;45,"35-44",IF(EmployeeData[[#This Row],[Age]]&lt;55,"45-54","55+"))))</f>
        <v>35-44</v>
      </c>
      <c r="AK1198" s="4" t="str">
        <f>IF(EmployeeData[[#This Row],[MonthlyIncome]]&lt;3000,"Below 3K",IF(EmployeeData[[#This Row],[MonthlyIncome]]&lt;6000,"3K-6K",IF(EmployeeData[[#This Row],[MonthlyIncome]]&lt;9000,"6K-9K",IF(EmployeeData[[#This Row],[MonthlyIncome]]&lt;12000,"9K-12K","12K+"))))</f>
        <v>6K-9K</v>
      </c>
    </row>
    <row r="1199" spans="1:37" x14ac:dyDescent="0.3">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c r="AJ1199" s="4" t="str">
        <f>IF(EmployeeData[[#This Row],[Age]]&lt;25,"Under 25",IF(EmployeeData[[#This Row],[Age]]&lt;35,"25-34",IF(EmployeeData[[#This Row],[Age]]&lt;45,"35-44",IF(EmployeeData[[#This Row],[Age]]&lt;55,"45-54","55+"))))</f>
        <v>Under 25</v>
      </c>
      <c r="AK1199" s="4" t="str">
        <f>IF(EmployeeData[[#This Row],[MonthlyIncome]]&lt;3000,"Below 3K",IF(EmployeeData[[#This Row],[MonthlyIncome]]&lt;6000,"3K-6K",IF(EmployeeData[[#This Row],[MonthlyIncome]]&lt;9000,"6K-9K",IF(EmployeeData[[#This Row],[MonthlyIncome]]&lt;12000,"9K-12K","12K+"))))</f>
        <v>Below 3K</v>
      </c>
    </row>
    <row r="1200" spans="1:37" x14ac:dyDescent="0.3">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c r="AJ1200" s="4" t="str">
        <f>IF(EmployeeData[[#This Row],[Age]]&lt;25,"Under 25",IF(EmployeeData[[#This Row],[Age]]&lt;35,"25-34",IF(EmployeeData[[#This Row],[Age]]&lt;45,"35-44",IF(EmployeeData[[#This Row],[Age]]&lt;55,"45-54","55+"))))</f>
        <v>25-34</v>
      </c>
      <c r="AK1200" s="4" t="str">
        <f>IF(EmployeeData[[#This Row],[MonthlyIncome]]&lt;3000,"Below 3K",IF(EmployeeData[[#This Row],[MonthlyIncome]]&lt;6000,"3K-6K",IF(EmployeeData[[#This Row],[MonthlyIncome]]&lt;9000,"6K-9K",IF(EmployeeData[[#This Row],[MonthlyIncome]]&lt;12000,"9K-12K","12K+"))))</f>
        <v>3K-6K</v>
      </c>
    </row>
    <row r="1201" spans="1:37" x14ac:dyDescent="0.3">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c r="AJ1201" s="4" t="str">
        <f>IF(EmployeeData[[#This Row],[Age]]&lt;25,"Under 25",IF(EmployeeData[[#This Row],[Age]]&lt;35,"25-34",IF(EmployeeData[[#This Row],[Age]]&lt;45,"35-44",IF(EmployeeData[[#This Row],[Age]]&lt;55,"45-54","55+"))))</f>
        <v>35-44</v>
      </c>
      <c r="AK1201" s="4" t="str">
        <f>IF(EmployeeData[[#This Row],[MonthlyIncome]]&lt;3000,"Below 3K",IF(EmployeeData[[#This Row],[MonthlyIncome]]&lt;6000,"3K-6K",IF(EmployeeData[[#This Row],[MonthlyIncome]]&lt;9000,"6K-9K",IF(EmployeeData[[#This Row],[MonthlyIncome]]&lt;12000,"9K-12K","12K+"))))</f>
        <v>3K-6K</v>
      </c>
    </row>
    <row r="1202" spans="1:37" x14ac:dyDescent="0.3">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c r="AJ1202" s="4" t="str">
        <f>IF(EmployeeData[[#This Row],[Age]]&lt;25,"Under 25",IF(EmployeeData[[#This Row],[Age]]&lt;35,"25-34",IF(EmployeeData[[#This Row],[Age]]&lt;45,"35-44",IF(EmployeeData[[#This Row],[Age]]&lt;55,"45-54","55+"))))</f>
        <v>35-44</v>
      </c>
      <c r="AK1202" s="4" t="str">
        <f>IF(EmployeeData[[#This Row],[MonthlyIncome]]&lt;3000,"Below 3K",IF(EmployeeData[[#This Row],[MonthlyIncome]]&lt;6000,"3K-6K",IF(EmployeeData[[#This Row],[MonthlyIncome]]&lt;9000,"6K-9K",IF(EmployeeData[[#This Row],[MonthlyIncome]]&lt;12000,"9K-12K","12K+"))))</f>
        <v>3K-6K</v>
      </c>
    </row>
    <row r="1203" spans="1:37" x14ac:dyDescent="0.3">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c r="AJ1203" s="4" t="str">
        <f>IF(EmployeeData[[#This Row],[Age]]&lt;25,"Under 25",IF(EmployeeData[[#This Row],[Age]]&lt;35,"25-34",IF(EmployeeData[[#This Row],[Age]]&lt;45,"35-44",IF(EmployeeData[[#This Row],[Age]]&lt;55,"45-54","55+"))))</f>
        <v>Under 25</v>
      </c>
      <c r="AK1203" s="4" t="str">
        <f>IF(EmployeeData[[#This Row],[MonthlyIncome]]&lt;3000,"Below 3K",IF(EmployeeData[[#This Row],[MonthlyIncome]]&lt;6000,"3K-6K",IF(EmployeeData[[#This Row],[MonthlyIncome]]&lt;9000,"6K-9K",IF(EmployeeData[[#This Row],[MonthlyIncome]]&lt;12000,"9K-12K","12K+"))))</f>
        <v>3K-6K</v>
      </c>
    </row>
    <row r="1204" spans="1:37" x14ac:dyDescent="0.3">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c r="AJ1204" s="4" t="str">
        <f>IF(EmployeeData[[#This Row],[Age]]&lt;25,"Under 25",IF(EmployeeData[[#This Row],[Age]]&lt;35,"25-34",IF(EmployeeData[[#This Row],[Age]]&lt;45,"35-44",IF(EmployeeData[[#This Row],[Age]]&lt;55,"45-54","55+"))))</f>
        <v>35-44</v>
      </c>
      <c r="AK1204" s="4" t="str">
        <f>IF(EmployeeData[[#This Row],[MonthlyIncome]]&lt;3000,"Below 3K",IF(EmployeeData[[#This Row],[MonthlyIncome]]&lt;6000,"3K-6K",IF(EmployeeData[[#This Row],[MonthlyIncome]]&lt;9000,"6K-9K",IF(EmployeeData[[#This Row],[MonthlyIncome]]&lt;12000,"9K-12K","12K+"))))</f>
        <v>3K-6K</v>
      </c>
    </row>
    <row r="1205" spans="1:37" x14ac:dyDescent="0.3">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c r="AJ1205" s="4" t="str">
        <f>IF(EmployeeData[[#This Row],[Age]]&lt;25,"Under 25",IF(EmployeeData[[#This Row],[Age]]&lt;35,"25-34",IF(EmployeeData[[#This Row],[Age]]&lt;45,"35-44",IF(EmployeeData[[#This Row],[Age]]&lt;55,"45-54","55+"))))</f>
        <v>45-54</v>
      </c>
      <c r="AK1205" s="4" t="str">
        <f>IF(EmployeeData[[#This Row],[MonthlyIncome]]&lt;3000,"Below 3K",IF(EmployeeData[[#This Row],[MonthlyIncome]]&lt;6000,"3K-6K",IF(EmployeeData[[#This Row],[MonthlyIncome]]&lt;9000,"6K-9K",IF(EmployeeData[[#This Row],[MonthlyIncome]]&lt;12000,"9K-12K","12K+"))))</f>
        <v>6K-9K</v>
      </c>
    </row>
    <row r="1206" spans="1:37" x14ac:dyDescent="0.3">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c r="AJ1206" s="4" t="str">
        <f>IF(EmployeeData[[#This Row],[Age]]&lt;25,"Under 25",IF(EmployeeData[[#This Row],[Age]]&lt;35,"25-34",IF(EmployeeData[[#This Row],[Age]]&lt;45,"35-44",IF(EmployeeData[[#This Row],[Age]]&lt;55,"45-54","55+"))))</f>
        <v>45-54</v>
      </c>
      <c r="AK1206" s="4" t="str">
        <f>IF(EmployeeData[[#This Row],[MonthlyIncome]]&lt;3000,"Below 3K",IF(EmployeeData[[#This Row],[MonthlyIncome]]&lt;6000,"3K-6K",IF(EmployeeData[[#This Row],[MonthlyIncome]]&lt;9000,"6K-9K",IF(EmployeeData[[#This Row],[MonthlyIncome]]&lt;12000,"9K-12K","12K+"))))</f>
        <v>Below 3K</v>
      </c>
    </row>
    <row r="1207" spans="1:37" x14ac:dyDescent="0.3">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c r="AJ1207" s="4" t="str">
        <f>IF(EmployeeData[[#This Row],[Age]]&lt;25,"Under 25",IF(EmployeeData[[#This Row],[Age]]&lt;35,"25-34",IF(EmployeeData[[#This Row],[Age]]&lt;45,"35-44",IF(EmployeeData[[#This Row],[Age]]&lt;55,"45-54","55+"))))</f>
        <v>25-34</v>
      </c>
      <c r="AK1207" s="4" t="str">
        <f>IF(EmployeeData[[#This Row],[MonthlyIncome]]&lt;3000,"Below 3K",IF(EmployeeData[[#This Row],[MonthlyIncome]]&lt;6000,"3K-6K",IF(EmployeeData[[#This Row],[MonthlyIncome]]&lt;9000,"6K-9K",IF(EmployeeData[[#This Row],[MonthlyIncome]]&lt;12000,"9K-12K","12K+"))))</f>
        <v>Below 3K</v>
      </c>
    </row>
    <row r="1208" spans="1:37" x14ac:dyDescent="0.3">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c r="AJ1208" s="4" t="str">
        <f>IF(EmployeeData[[#This Row],[Age]]&lt;25,"Under 25",IF(EmployeeData[[#This Row],[Age]]&lt;35,"25-34",IF(EmployeeData[[#This Row],[Age]]&lt;45,"35-44",IF(EmployeeData[[#This Row],[Age]]&lt;55,"45-54","55+"))))</f>
        <v>25-34</v>
      </c>
      <c r="AK1208" s="4" t="str">
        <f>IF(EmployeeData[[#This Row],[MonthlyIncome]]&lt;3000,"Below 3K",IF(EmployeeData[[#This Row],[MonthlyIncome]]&lt;6000,"3K-6K",IF(EmployeeData[[#This Row],[MonthlyIncome]]&lt;9000,"6K-9K",IF(EmployeeData[[#This Row],[MonthlyIncome]]&lt;12000,"9K-12K","12K+"))))</f>
        <v>Below 3K</v>
      </c>
    </row>
    <row r="1209" spans="1:37" x14ac:dyDescent="0.3">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c r="AJ1209" s="4" t="str">
        <f>IF(EmployeeData[[#This Row],[Age]]&lt;25,"Under 25",IF(EmployeeData[[#This Row],[Age]]&lt;35,"25-34",IF(EmployeeData[[#This Row],[Age]]&lt;45,"35-44",IF(EmployeeData[[#This Row],[Age]]&lt;55,"45-54","55+"))))</f>
        <v>55+</v>
      </c>
      <c r="AK1209" s="4" t="str">
        <f>IF(EmployeeData[[#This Row],[MonthlyIncome]]&lt;3000,"Below 3K",IF(EmployeeData[[#This Row],[MonthlyIncome]]&lt;6000,"3K-6K",IF(EmployeeData[[#This Row],[MonthlyIncome]]&lt;9000,"6K-9K",IF(EmployeeData[[#This Row],[MonthlyIncome]]&lt;12000,"9K-12K","12K+"))))</f>
        <v>3K-6K</v>
      </c>
    </row>
    <row r="1210" spans="1:37" x14ac:dyDescent="0.3">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c r="AJ1210" s="4" t="str">
        <f>IF(EmployeeData[[#This Row],[Age]]&lt;25,"Under 25",IF(EmployeeData[[#This Row],[Age]]&lt;35,"25-34",IF(EmployeeData[[#This Row],[Age]]&lt;45,"35-44",IF(EmployeeData[[#This Row],[Age]]&lt;55,"45-54","55+"))))</f>
        <v>25-34</v>
      </c>
      <c r="AK1210" s="4" t="str">
        <f>IF(EmployeeData[[#This Row],[MonthlyIncome]]&lt;3000,"Below 3K",IF(EmployeeData[[#This Row],[MonthlyIncome]]&lt;6000,"3K-6K",IF(EmployeeData[[#This Row],[MonthlyIncome]]&lt;9000,"6K-9K",IF(EmployeeData[[#This Row],[MonthlyIncome]]&lt;12000,"9K-12K","12K+"))))</f>
        <v>3K-6K</v>
      </c>
    </row>
    <row r="1211" spans="1:37" x14ac:dyDescent="0.3">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c r="AJ1211" s="4" t="str">
        <f>IF(EmployeeData[[#This Row],[Age]]&lt;25,"Under 25",IF(EmployeeData[[#This Row],[Age]]&lt;35,"25-34",IF(EmployeeData[[#This Row],[Age]]&lt;45,"35-44",IF(EmployeeData[[#This Row],[Age]]&lt;55,"45-54","55+"))))</f>
        <v>55+</v>
      </c>
      <c r="AK1211" s="4" t="str">
        <f>IF(EmployeeData[[#This Row],[MonthlyIncome]]&lt;3000,"Below 3K",IF(EmployeeData[[#This Row],[MonthlyIncome]]&lt;6000,"3K-6K",IF(EmployeeData[[#This Row],[MonthlyIncome]]&lt;9000,"6K-9K",IF(EmployeeData[[#This Row],[MonthlyIncome]]&lt;12000,"9K-12K","12K+"))))</f>
        <v>9K-12K</v>
      </c>
    </row>
    <row r="1212" spans="1:37" x14ac:dyDescent="0.3">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c r="AJ1212" s="4" t="str">
        <f>IF(EmployeeData[[#This Row],[Age]]&lt;25,"Under 25",IF(EmployeeData[[#This Row],[Age]]&lt;35,"25-34",IF(EmployeeData[[#This Row],[Age]]&lt;45,"35-44",IF(EmployeeData[[#This Row],[Age]]&lt;55,"45-54","55+"))))</f>
        <v>25-34</v>
      </c>
      <c r="AK1212" s="4" t="str">
        <f>IF(EmployeeData[[#This Row],[MonthlyIncome]]&lt;3000,"Below 3K",IF(EmployeeData[[#This Row],[MonthlyIncome]]&lt;6000,"3K-6K",IF(EmployeeData[[#This Row],[MonthlyIncome]]&lt;9000,"6K-9K",IF(EmployeeData[[#This Row],[MonthlyIncome]]&lt;12000,"9K-12K","12K+"))))</f>
        <v>Below 3K</v>
      </c>
    </row>
    <row r="1213" spans="1:37" x14ac:dyDescent="0.3">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c r="AJ1213" s="4" t="str">
        <f>IF(EmployeeData[[#This Row],[Age]]&lt;25,"Under 25",IF(EmployeeData[[#This Row],[Age]]&lt;35,"25-34",IF(EmployeeData[[#This Row],[Age]]&lt;45,"35-44",IF(EmployeeData[[#This Row],[Age]]&lt;55,"45-54","55+"))))</f>
        <v>35-44</v>
      </c>
      <c r="AK1213" s="4" t="str">
        <f>IF(EmployeeData[[#This Row],[MonthlyIncome]]&lt;3000,"Below 3K",IF(EmployeeData[[#This Row],[MonthlyIncome]]&lt;6000,"3K-6K",IF(EmployeeData[[#This Row],[MonthlyIncome]]&lt;9000,"6K-9K",IF(EmployeeData[[#This Row],[MonthlyIncome]]&lt;12000,"9K-12K","12K+"))))</f>
        <v>9K-12K</v>
      </c>
    </row>
    <row r="1214" spans="1:37" x14ac:dyDescent="0.3">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c r="AJ1214" s="4" t="str">
        <f>IF(EmployeeData[[#This Row],[Age]]&lt;25,"Under 25",IF(EmployeeData[[#This Row],[Age]]&lt;35,"25-34",IF(EmployeeData[[#This Row],[Age]]&lt;45,"35-44",IF(EmployeeData[[#This Row],[Age]]&lt;55,"45-54","55+"))))</f>
        <v>25-34</v>
      </c>
      <c r="AK1214" s="4" t="str">
        <f>IF(EmployeeData[[#This Row],[MonthlyIncome]]&lt;3000,"Below 3K",IF(EmployeeData[[#This Row],[MonthlyIncome]]&lt;6000,"3K-6K",IF(EmployeeData[[#This Row],[MonthlyIncome]]&lt;9000,"6K-9K",IF(EmployeeData[[#This Row],[MonthlyIncome]]&lt;12000,"9K-12K","12K+"))))</f>
        <v>Below 3K</v>
      </c>
    </row>
    <row r="1215" spans="1:37" x14ac:dyDescent="0.3">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c r="AJ1215" s="4" t="str">
        <f>IF(EmployeeData[[#This Row],[Age]]&lt;25,"Under 25",IF(EmployeeData[[#This Row],[Age]]&lt;35,"25-34",IF(EmployeeData[[#This Row],[Age]]&lt;45,"35-44",IF(EmployeeData[[#This Row],[Age]]&lt;55,"45-54","55+"))))</f>
        <v>Under 25</v>
      </c>
      <c r="AK1215" s="4" t="str">
        <f>IF(EmployeeData[[#This Row],[MonthlyIncome]]&lt;3000,"Below 3K",IF(EmployeeData[[#This Row],[MonthlyIncome]]&lt;6000,"3K-6K",IF(EmployeeData[[#This Row],[MonthlyIncome]]&lt;9000,"6K-9K",IF(EmployeeData[[#This Row],[MonthlyIncome]]&lt;12000,"9K-12K","12K+"))))</f>
        <v>Below 3K</v>
      </c>
    </row>
    <row r="1216" spans="1:37" x14ac:dyDescent="0.3">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c r="AJ1216" s="4" t="str">
        <f>IF(EmployeeData[[#This Row],[Age]]&lt;25,"Under 25",IF(EmployeeData[[#This Row],[Age]]&lt;35,"25-34",IF(EmployeeData[[#This Row],[Age]]&lt;45,"35-44",IF(EmployeeData[[#This Row],[Age]]&lt;55,"45-54","55+"))))</f>
        <v>35-44</v>
      </c>
      <c r="AK1216" s="4" t="str">
        <f>IF(EmployeeData[[#This Row],[MonthlyIncome]]&lt;3000,"Below 3K",IF(EmployeeData[[#This Row],[MonthlyIncome]]&lt;6000,"3K-6K",IF(EmployeeData[[#This Row],[MonthlyIncome]]&lt;9000,"6K-9K",IF(EmployeeData[[#This Row],[MonthlyIncome]]&lt;12000,"9K-12K","12K+"))))</f>
        <v>6K-9K</v>
      </c>
    </row>
    <row r="1217" spans="1:37" x14ac:dyDescent="0.3">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c r="AJ1217" s="4" t="str">
        <f>IF(EmployeeData[[#This Row],[Age]]&lt;25,"Under 25",IF(EmployeeData[[#This Row],[Age]]&lt;35,"25-34",IF(EmployeeData[[#This Row],[Age]]&lt;45,"35-44",IF(EmployeeData[[#This Row],[Age]]&lt;55,"45-54","55+"))))</f>
        <v>35-44</v>
      </c>
      <c r="AK1217" s="4" t="str">
        <f>IF(EmployeeData[[#This Row],[MonthlyIncome]]&lt;3000,"Below 3K",IF(EmployeeData[[#This Row],[MonthlyIncome]]&lt;6000,"3K-6K",IF(EmployeeData[[#This Row],[MonthlyIncome]]&lt;9000,"6K-9K",IF(EmployeeData[[#This Row],[MonthlyIncome]]&lt;12000,"9K-12K","12K+"))))</f>
        <v>3K-6K</v>
      </c>
    </row>
    <row r="1218" spans="1:37" x14ac:dyDescent="0.3">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c r="AJ1218" s="4" t="str">
        <f>IF(EmployeeData[[#This Row],[Age]]&lt;25,"Under 25",IF(EmployeeData[[#This Row],[Age]]&lt;35,"25-34",IF(EmployeeData[[#This Row],[Age]]&lt;45,"35-44",IF(EmployeeData[[#This Row],[Age]]&lt;55,"45-54","55+"))))</f>
        <v>35-44</v>
      </c>
      <c r="AK1218" s="4" t="str">
        <f>IF(EmployeeData[[#This Row],[MonthlyIncome]]&lt;3000,"Below 3K",IF(EmployeeData[[#This Row],[MonthlyIncome]]&lt;6000,"3K-6K",IF(EmployeeData[[#This Row],[MonthlyIncome]]&lt;9000,"6K-9K",IF(EmployeeData[[#This Row],[MonthlyIncome]]&lt;12000,"9K-12K","12K+"))))</f>
        <v>6K-9K</v>
      </c>
    </row>
    <row r="1219" spans="1:37" x14ac:dyDescent="0.3">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c r="AJ1219" s="4" t="str">
        <f>IF(EmployeeData[[#This Row],[Age]]&lt;25,"Under 25",IF(EmployeeData[[#This Row],[Age]]&lt;35,"25-34",IF(EmployeeData[[#This Row],[Age]]&lt;45,"35-44",IF(EmployeeData[[#This Row],[Age]]&lt;55,"45-54","55+"))))</f>
        <v>Under 25</v>
      </c>
      <c r="AK1219" s="4" t="str">
        <f>IF(EmployeeData[[#This Row],[MonthlyIncome]]&lt;3000,"Below 3K",IF(EmployeeData[[#This Row],[MonthlyIncome]]&lt;6000,"3K-6K",IF(EmployeeData[[#This Row],[MonthlyIncome]]&lt;9000,"6K-9K",IF(EmployeeData[[#This Row],[MonthlyIncome]]&lt;12000,"9K-12K","12K+"))))</f>
        <v>3K-6K</v>
      </c>
    </row>
    <row r="1220" spans="1:37" x14ac:dyDescent="0.3">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c r="AJ1220" s="4" t="str">
        <f>IF(EmployeeData[[#This Row],[Age]]&lt;25,"Under 25",IF(EmployeeData[[#This Row],[Age]]&lt;35,"25-34",IF(EmployeeData[[#This Row],[Age]]&lt;45,"35-44",IF(EmployeeData[[#This Row],[Age]]&lt;55,"45-54","55+"))))</f>
        <v>35-44</v>
      </c>
      <c r="AK1220" s="4" t="str">
        <f>IF(EmployeeData[[#This Row],[MonthlyIncome]]&lt;3000,"Below 3K",IF(EmployeeData[[#This Row],[MonthlyIncome]]&lt;6000,"3K-6K",IF(EmployeeData[[#This Row],[MonthlyIncome]]&lt;9000,"6K-9K",IF(EmployeeData[[#This Row],[MonthlyIncome]]&lt;12000,"9K-12K","12K+"))))</f>
        <v>9K-12K</v>
      </c>
    </row>
    <row r="1221" spans="1:37" x14ac:dyDescent="0.3">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c r="AJ1221" s="4" t="str">
        <f>IF(EmployeeData[[#This Row],[Age]]&lt;25,"Under 25",IF(EmployeeData[[#This Row],[Age]]&lt;35,"25-34",IF(EmployeeData[[#This Row],[Age]]&lt;45,"35-44",IF(EmployeeData[[#This Row],[Age]]&lt;55,"45-54","55+"))))</f>
        <v>25-34</v>
      </c>
      <c r="AK1221" s="4" t="str">
        <f>IF(EmployeeData[[#This Row],[MonthlyIncome]]&lt;3000,"Below 3K",IF(EmployeeData[[#This Row],[MonthlyIncome]]&lt;6000,"3K-6K",IF(EmployeeData[[#This Row],[MonthlyIncome]]&lt;9000,"6K-9K",IF(EmployeeData[[#This Row],[MonthlyIncome]]&lt;12000,"9K-12K","12K+"))))</f>
        <v>Below 3K</v>
      </c>
    </row>
    <row r="1222" spans="1:37" x14ac:dyDescent="0.3">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c r="AJ1222" s="4" t="str">
        <f>IF(EmployeeData[[#This Row],[Age]]&lt;25,"Under 25",IF(EmployeeData[[#This Row],[Age]]&lt;35,"25-34",IF(EmployeeData[[#This Row],[Age]]&lt;45,"35-44",IF(EmployeeData[[#This Row],[Age]]&lt;55,"45-54","55+"))))</f>
        <v>35-44</v>
      </c>
      <c r="AK1222" s="4" t="str">
        <f>IF(EmployeeData[[#This Row],[MonthlyIncome]]&lt;3000,"Below 3K",IF(EmployeeData[[#This Row],[MonthlyIncome]]&lt;6000,"3K-6K",IF(EmployeeData[[#This Row],[MonthlyIncome]]&lt;9000,"6K-9K",IF(EmployeeData[[#This Row],[MonthlyIncome]]&lt;12000,"9K-12K","12K+"))))</f>
        <v>3K-6K</v>
      </c>
    </row>
    <row r="1223" spans="1:37" x14ac:dyDescent="0.3">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c r="AJ1223" s="4" t="str">
        <f>IF(EmployeeData[[#This Row],[Age]]&lt;25,"Under 25",IF(EmployeeData[[#This Row],[Age]]&lt;35,"25-34",IF(EmployeeData[[#This Row],[Age]]&lt;45,"35-44",IF(EmployeeData[[#This Row],[Age]]&lt;55,"45-54","55+"))))</f>
        <v>45-54</v>
      </c>
      <c r="AK1223" s="4" t="str">
        <f>IF(EmployeeData[[#This Row],[MonthlyIncome]]&lt;3000,"Below 3K",IF(EmployeeData[[#This Row],[MonthlyIncome]]&lt;6000,"3K-6K",IF(EmployeeData[[#This Row],[MonthlyIncome]]&lt;9000,"6K-9K",IF(EmployeeData[[#This Row],[MonthlyIncome]]&lt;12000,"9K-12K","12K+"))))</f>
        <v>9K-12K</v>
      </c>
    </row>
    <row r="1224" spans="1:37" x14ac:dyDescent="0.3">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c r="AJ1224" s="4" t="str">
        <f>IF(EmployeeData[[#This Row],[Age]]&lt;25,"Under 25",IF(EmployeeData[[#This Row],[Age]]&lt;35,"25-34",IF(EmployeeData[[#This Row],[Age]]&lt;45,"35-44",IF(EmployeeData[[#This Row],[Age]]&lt;55,"45-54","55+"))))</f>
        <v>Under 25</v>
      </c>
      <c r="AK1224" s="4" t="str">
        <f>IF(EmployeeData[[#This Row],[MonthlyIncome]]&lt;3000,"Below 3K",IF(EmployeeData[[#This Row],[MonthlyIncome]]&lt;6000,"3K-6K",IF(EmployeeData[[#This Row],[MonthlyIncome]]&lt;9000,"6K-9K",IF(EmployeeData[[#This Row],[MonthlyIncome]]&lt;12000,"9K-12K","12K+"))))</f>
        <v>Below 3K</v>
      </c>
    </row>
    <row r="1225" spans="1:37" x14ac:dyDescent="0.3">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c r="AJ1225" s="4" t="str">
        <f>IF(EmployeeData[[#This Row],[Age]]&lt;25,"Under 25",IF(EmployeeData[[#This Row],[Age]]&lt;35,"25-34",IF(EmployeeData[[#This Row],[Age]]&lt;45,"35-44",IF(EmployeeData[[#This Row],[Age]]&lt;55,"45-54","55+"))))</f>
        <v>45-54</v>
      </c>
      <c r="AK1225" s="4" t="str">
        <f>IF(EmployeeData[[#This Row],[MonthlyIncome]]&lt;3000,"Below 3K",IF(EmployeeData[[#This Row],[MonthlyIncome]]&lt;6000,"3K-6K",IF(EmployeeData[[#This Row],[MonthlyIncome]]&lt;9000,"6K-9K",IF(EmployeeData[[#This Row],[MonthlyIncome]]&lt;12000,"9K-12K","12K+"))))</f>
        <v>12K+</v>
      </c>
    </row>
    <row r="1226" spans="1:37" x14ac:dyDescent="0.3">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c r="AJ1226" s="4" t="str">
        <f>IF(EmployeeData[[#This Row],[Age]]&lt;25,"Under 25",IF(EmployeeData[[#This Row],[Age]]&lt;35,"25-34",IF(EmployeeData[[#This Row],[Age]]&lt;45,"35-44",IF(EmployeeData[[#This Row],[Age]]&lt;55,"45-54","55+"))))</f>
        <v>25-34</v>
      </c>
      <c r="AK1226" s="4" t="str">
        <f>IF(EmployeeData[[#This Row],[MonthlyIncome]]&lt;3000,"Below 3K",IF(EmployeeData[[#This Row],[MonthlyIncome]]&lt;6000,"3K-6K",IF(EmployeeData[[#This Row],[MonthlyIncome]]&lt;9000,"6K-9K",IF(EmployeeData[[#This Row],[MonthlyIncome]]&lt;12000,"9K-12K","12K+"))))</f>
        <v>Below 3K</v>
      </c>
    </row>
    <row r="1227" spans="1:37" x14ac:dyDescent="0.3">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c r="AJ1227" s="4" t="str">
        <f>IF(EmployeeData[[#This Row],[Age]]&lt;25,"Under 25",IF(EmployeeData[[#This Row],[Age]]&lt;35,"25-34",IF(EmployeeData[[#This Row],[Age]]&lt;45,"35-44",IF(EmployeeData[[#This Row],[Age]]&lt;55,"45-54","55+"))))</f>
        <v>45-54</v>
      </c>
      <c r="AK1227" s="4" t="str">
        <f>IF(EmployeeData[[#This Row],[MonthlyIncome]]&lt;3000,"Below 3K",IF(EmployeeData[[#This Row],[MonthlyIncome]]&lt;6000,"3K-6K",IF(EmployeeData[[#This Row],[MonthlyIncome]]&lt;9000,"6K-9K",IF(EmployeeData[[#This Row],[MonthlyIncome]]&lt;12000,"9K-12K","12K+"))))</f>
        <v>12K+</v>
      </c>
    </row>
    <row r="1228" spans="1:37" x14ac:dyDescent="0.3">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c r="AJ1228" s="4" t="str">
        <f>IF(EmployeeData[[#This Row],[Age]]&lt;25,"Under 25",IF(EmployeeData[[#This Row],[Age]]&lt;35,"25-34",IF(EmployeeData[[#This Row],[Age]]&lt;45,"35-44",IF(EmployeeData[[#This Row],[Age]]&lt;55,"45-54","55+"))))</f>
        <v>25-34</v>
      </c>
      <c r="AK1228" s="4" t="str">
        <f>IF(EmployeeData[[#This Row],[MonthlyIncome]]&lt;3000,"Below 3K",IF(EmployeeData[[#This Row],[MonthlyIncome]]&lt;6000,"3K-6K",IF(EmployeeData[[#This Row],[MonthlyIncome]]&lt;9000,"6K-9K",IF(EmployeeData[[#This Row],[MonthlyIncome]]&lt;12000,"9K-12K","12K+"))))</f>
        <v>3K-6K</v>
      </c>
    </row>
    <row r="1229" spans="1:37" x14ac:dyDescent="0.3">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c r="AJ1229" s="4" t="str">
        <f>IF(EmployeeData[[#This Row],[Age]]&lt;25,"Under 25",IF(EmployeeData[[#This Row],[Age]]&lt;35,"25-34",IF(EmployeeData[[#This Row],[Age]]&lt;45,"35-44",IF(EmployeeData[[#This Row],[Age]]&lt;55,"45-54","55+"))))</f>
        <v>25-34</v>
      </c>
      <c r="AK1229" s="4" t="str">
        <f>IF(EmployeeData[[#This Row],[MonthlyIncome]]&lt;3000,"Below 3K",IF(EmployeeData[[#This Row],[MonthlyIncome]]&lt;6000,"3K-6K",IF(EmployeeData[[#This Row],[MonthlyIncome]]&lt;9000,"6K-9K",IF(EmployeeData[[#This Row],[MonthlyIncome]]&lt;12000,"9K-12K","12K+"))))</f>
        <v>3K-6K</v>
      </c>
    </row>
    <row r="1230" spans="1:37" x14ac:dyDescent="0.3">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c r="AJ1230" s="4" t="str">
        <f>IF(EmployeeData[[#This Row],[Age]]&lt;25,"Under 25",IF(EmployeeData[[#This Row],[Age]]&lt;35,"25-34",IF(EmployeeData[[#This Row],[Age]]&lt;45,"35-44",IF(EmployeeData[[#This Row],[Age]]&lt;55,"45-54","55+"))))</f>
        <v>35-44</v>
      </c>
      <c r="AK1230" s="4" t="str">
        <f>IF(EmployeeData[[#This Row],[MonthlyIncome]]&lt;3000,"Below 3K",IF(EmployeeData[[#This Row],[MonthlyIncome]]&lt;6000,"3K-6K",IF(EmployeeData[[#This Row],[MonthlyIncome]]&lt;9000,"6K-9K",IF(EmployeeData[[#This Row],[MonthlyIncome]]&lt;12000,"9K-12K","12K+"))))</f>
        <v>6K-9K</v>
      </c>
    </row>
    <row r="1231" spans="1:37" x14ac:dyDescent="0.3">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c r="AJ1231" s="4" t="str">
        <f>IF(EmployeeData[[#This Row],[Age]]&lt;25,"Under 25",IF(EmployeeData[[#This Row],[Age]]&lt;35,"25-34",IF(EmployeeData[[#This Row],[Age]]&lt;45,"35-44",IF(EmployeeData[[#This Row],[Age]]&lt;55,"45-54","55+"))))</f>
        <v>35-44</v>
      </c>
      <c r="AK1231" s="4" t="str">
        <f>IF(EmployeeData[[#This Row],[MonthlyIncome]]&lt;3000,"Below 3K",IF(EmployeeData[[#This Row],[MonthlyIncome]]&lt;6000,"3K-6K",IF(EmployeeData[[#This Row],[MonthlyIncome]]&lt;9000,"6K-9K",IF(EmployeeData[[#This Row],[MonthlyIncome]]&lt;12000,"9K-12K","12K+"))))</f>
        <v>6K-9K</v>
      </c>
    </row>
    <row r="1232" spans="1:37" x14ac:dyDescent="0.3">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c r="AJ1232" s="4" t="str">
        <f>IF(EmployeeData[[#This Row],[Age]]&lt;25,"Under 25",IF(EmployeeData[[#This Row],[Age]]&lt;35,"25-34",IF(EmployeeData[[#This Row],[Age]]&lt;45,"35-44",IF(EmployeeData[[#This Row],[Age]]&lt;55,"45-54","55+"))))</f>
        <v>Under 25</v>
      </c>
      <c r="AK1232" s="4" t="str">
        <f>IF(EmployeeData[[#This Row],[MonthlyIncome]]&lt;3000,"Below 3K",IF(EmployeeData[[#This Row],[MonthlyIncome]]&lt;6000,"3K-6K",IF(EmployeeData[[#This Row],[MonthlyIncome]]&lt;9000,"6K-9K",IF(EmployeeData[[#This Row],[MonthlyIncome]]&lt;12000,"9K-12K","12K+"))))</f>
        <v>3K-6K</v>
      </c>
    </row>
    <row r="1233" spans="1:37" x14ac:dyDescent="0.3">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c r="AJ1233" s="4" t="str">
        <f>IF(EmployeeData[[#This Row],[Age]]&lt;25,"Under 25",IF(EmployeeData[[#This Row],[Age]]&lt;35,"25-34",IF(EmployeeData[[#This Row],[Age]]&lt;45,"35-44",IF(EmployeeData[[#This Row],[Age]]&lt;55,"45-54","55+"))))</f>
        <v>45-54</v>
      </c>
      <c r="AK1233" s="4" t="str">
        <f>IF(EmployeeData[[#This Row],[MonthlyIncome]]&lt;3000,"Below 3K",IF(EmployeeData[[#This Row],[MonthlyIncome]]&lt;6000,"3K-6K",IF(EmployeeData[[#This Row],[MonthlyIncome]]&lt;9000,"6K-9K",IF(EmployeeData[[#This Row],[MonthlyIncome]]&lt;12000,"9K-12K","12K+"))))</f>
        <v>3K-6K</v>
      </c>
    </row>
    <row r="1234" spans="1:37" x14ac:dyDescent="0.3">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c r="AJ1234" s="4" t="str">
        <f>IF(EmployeeData[[#This Row],[Age]]&lt;25,"Under 25",IF(EmployeeData[[#This Row],[Age]]&lt;35,"25-34",IF(EmployeeData[[#This Row],[Age]]&lt;45,"35-44",IF(EmployeeData[[#This Row],[Age]]&lt;55,"45-54","55+"))))</f>
        <v>35-44</v>
      </c>
      <c r="AK1234" s="4" t="str">
        <f>IF(EmployeeData[[#This Row],[MonthlyIncome]]&lt;3000,"Below 3K",IF(EmployeeData[[#This Row],[MonthlyIncome]]&lt;6000,"3K-6K",IF(EmployeeData[[#This Row],[MonthlyIncome]]&lt;9000,"6K-9K",IF(EmployeeData[[#This Row],[MonthlyIncome]]&lt;12000,"9K-12K","12K+"))))</f>
        <v>6K-9K</v>
      </c>
    </row>
    <row r="1235" spans="1:37" x14ac:dyDescent="0.3">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c r="AJ1235" s="4" t="str">
        <f>IF(EmployeeData[[#This Row],[Age]]&lt;25,"Under 25",IF(EmployeeData[[#This Row],[Age]]&lt;35,"25-34",IF(EmployeeData[[#This Row],[Age]]&lt;45,"35-44",IF(EmployeeData[[#This Row],[Age]]&lt;55,"45-54","55+"))))</f>
        <v>25-34</v>
      </c>
      <c r="AK1235" s="4" t="str">
        <f>IF(EmployeeData[[#This Row],[MonthlyIncome]]&lt;3000,"Below 3K",IF(EmployeeData[[#This Row],[MonthlyIncome]]&lt;6000,"3K-6K",IF(EmployeeData[[#This Row],[MonthlyIncome]]&lt;9000,"6K-9K",IF(EmployeeData[[#This Row],[MonthlyIncome]]&lt;12000,"9K-12K","12K+"))))</f>
        <v>Below 3K</v>
      </c>
    </row>
    <row r="1236" spans="1:37" x14ac:dyDescent="0.3">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c r="AJ1236" s="4" t="str">
        <f>IF(EmployeeData[[#This Row],[Age]]&lt;25,"Under 25",IF(EmployeeData[[#This Row],[Age]]&lt;35,"25-34",IF(EmployeeData[[#This Row],[Age]]&lt;45,"35-44",IF(EmployeeData[[#This Row],[Age]]&lt;55,"45-54","55+"))))</f>
        <v>45-54</v>
      </c>
      <c r="AK1236" s="4" t="str">
        <f>IF(EmployeeData[[#This Row],[MonthlyIncome]]&lt;3000,"Below 3K",IF(EmployeeData[[#This Row],[MonthlyIncome]]&lt;6000,"3K-6K",IF(EmployeeData[[#This Row],[MonthlyIncome]]&lt;9000,"6K-9K",IF(EmployeeData[[#This Row],[MonthlyIncome]]&lt;12000,"9K-12K","12K+"))))</f>
        <v>3K-6K</v>
      </c>
    </row>
    <row r="1237" spans="1:37" x14ac:dyDescent="0.3">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c r="AJ1237" s="4" t="str">
        <f>IF(EmployeeData[[#This Row],[Age]]&lt;25,"Under 25",IF(EmployeeData[[#This Row],[Age]]&lt;35,"25-34",IF(EmployeeData[[#This Row],[Age]]&lt;45,"35-44",IF(EmployeeData[[#This Row],[Age]]&lt;55,"45-54","55+"))))</f>
        <v>45-54</v>
      </c>
      <c r="AK1237" s="4" t="str">
        <f>IF(EmployeeData[[#This Row],[MonthlyIncome]]&lt;3000,"Below 3K",IF(EmployeeData[[#This Row],[MonthlyIncome]]&lt;6000,"3K-6K",IF(EmployeeData[[#This Row],[MonthlyIncome]]&lt;9000,"6K-9K",IF(EmployeeData[[#This Row],[MonthlyIncome]]&lt;12000,"9K-12K","12K+"))))</f>
        <v>9K-12K</v>
      </c>
    </row>
    <row r="1238" spans="1:37" x14ac:dyDescent="0.3">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c r="AJ1238" s="4" t="str">
        <f>IF(EmployeeData[[#This Row],[Age]]&lt;25,"Under 25",IF(EmployeeData[[#This Row],[Age]]&lt;35,"25-34",IF(EmployeeData[[#This Row],[Age]]&lt;45,"35-44",IF(EmployeeData[[#This Row],[Age]]&lt;55,"45-54","55+"))))</f>
        <v>35-44</v>
      </c>
      <c r="AK1238" s="4" t="str">
        <f>IF(EmployeeData[[#This Row],[MonthlyIncome]]&lt;3000,"Below 3K",IF(EmployeeData[[#This Row],[MonthlyIncome]]&lt;6000,"3K-6K",IF(EmployeeData[[#This Row],[MonthlyIncome]]&lt;9000,"6K-9K",IF(EmployeeData[[#This Row],[MonthlyIncome]]&lt;12000,"9K-12K","12K+"))))</f>
        <v>6K-9K</v>
      </c>
    </row>
    <row r="1239" spans="1:37" x14ac:dyDescent="0.3">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c r="AJ1239" s="4" t="str">
        <f>IF(EmployeeData[[#This Row],[Age]]&lt;25,"Under 25",IF(EmployeeData[[#This Row],[Age]]&lt;35,"25-34",IF(EmployeeData[[#This Row],[Age]]&lt;45,"35-44",IF(EmployeeData[[#This Row],[Age]]&lt;55,"45-54","55+"))))</f>
        <v>25-34</v>
      </c>
      <c r="AK1239" s="4" t="str">
        <f>IF(EmployeeData[[#This Row],[MonthlyIncome]]&lt;3000,"Below 3K",IF(EmployeeData[[#This Row],[MonthlyIncome]]&lt;6000,"3K-6K",IF(EmployeeData[[#This Row],[MonthlyIncome]]&lt;9000,"6K-9K",IF(EmployeeData[[#This Row],[MonthlyIncome]]&lt;12000,"9K-12K","12K+"))))</f>
        <v>6K-9K</v>
      </c>
    </row>
    <row r="1240" spans="1:37" x14ac:dyDescent="0.3">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c r="AJ1240" s="4" t="str">
        <f>IF(EmployeeData[[#This Row],[Age]]&lt;25,"Under 25",IF(EmployeeData[[#This Row],[Age]]&lt;35,"25-34",IF(EmployeeData[[#This Row],[Age]]&lt;45,"35-44",IF(EmployeeData[[#This Row],[Age]]&lt;55,"45-54","55+"))))</f>
        <v>Under 25</v>
      </c>
      <c r="AK1240" s="4" t="str">
        <f>IF(EmployeeData[[#This Row],[MonthlyIncome]]&lt;3000,"Below 3K",IF(EmployeeData[[#This Row],[MonthlyIncome]]&lt;6000,"3K-6K",IF(EmployeeData[[#This Row],[MonthlyIncome]]&lt;9000,"6K-9K",IF(EmployeeData[[#This Row],[MonthlyIncome]]&lt;12000,"9K-12K","12K+"))))</f>
        <v>3K-6K</v>
      </c>
    </row>
    <row r="1241" spans="1:37" x14ac:dyDescent="0.3">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c r="AJ1241" s="4" t="str">
        <f>IF(EmployeeData[[#This Row],[Age]]&lt;25,"Under 25",IF(EmployeeData[[#This Row],[Age]]&lt;35,"25-34",IF(EmployeeData[[#This Row],[Age]]&lt;45,"35-44",IF(EmployeeData[[#This Row],[Age]]&lt;55,"45-54","55+"))))</f>
        <v>25-34</v>
      </c>
      <c r="AK1241" s="4" t="str">
        <f>IF(EmployeeData[[#This Row],[MonthlyIncome]]&lt;3000,"Below 3K",IF(EmployeeData[[#This Row],[MonthlyIncome]]&lt;6000,"3K-6K",IF(EmployeeData[[#This Row],[MonthlyIncome]]&lt;9000,"6K-9K",IF(EmployeeData[[#This Row],[MonthlyIncome]]&lt;12000,"9K-12K","12K+"))))</f>
        <v>3K-6K</v>
      </c>
    </row>
    <row r="1242" spans="1:37" x14ac:dyDescent="0.3">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c r="AJ1242" s="4" t="str">
        <f>IF(EmployeeData[[#This Row],[Age]]&lt;25,"Under 25",IF(EmployeeData[[#This Row],[Age]]&lt;35,"25-34",IF(EmployeeData[[#This Row],[Age]]&lt;45,"35-44",IF(EmployeeData[[#This Row],[Age]]&lt;55,"45-54","55+"))))</f>
        <v>35-44</v>
      </c>
      <c r="AK1242" s="4" t="str">
        <f>IF(EmployeeData[[#This Row],[MonthlyIncome]]&lt;3000,"Below 3K",IF(EmployeeData[[#This Row],[MonthlyIncome]]&lt;6000,"3K-6K",IF(EmployeeData[[#This Row],[MonthlyIncome]]&lt;9000,"6K-9K",IF(EmployeeData[[#This Row],[MonthlyIncome]]&lt;12000,"9K-12K","12K+"))))</f>
        <v>6K-9K</v>
      </c>
    </row>
    <row r="1243" spans="1:37" x14ac:dyDescent="0.3">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c r="AJ1243" s="4" t="str">
        <f>IF(EmployeeData[[#This Row],[Age]]&lt;25,"Under 25",IF(EmployeeData[[#This Row],[Age]]&lt;35,"25-34",IF(EmployeeData[[#This Row],[Age]]&lt;45,"35-44",IF(EmployeeData[[#This Row],[Age]]&lt;55,"45-54","55+"))))</f>
        <v>25-34</v>
      </c>
      <c r="AK1243" s="4" t="str">
        <f>IF(EmployeeData[[#This Row],[MonthlyIncome]]&lt;3000,"Below 3K",IF(EmployeeData[[#This Row],[MonthlyIncome]]&lt;6000,"3K-6K",IF(EmployeeData[[#This Row],[MonthlyIncome]]&lt;9000,"6K-9K",IF(EmployeeData[[#This Row],[MonthlyIncome]]&lt;12000,"9K-12K","12K+"))))</f>
        <v>9K-12K</v>
      </c>
    </row>
    <row r="1244" spans="1:37" x14ac:dyDescent="0.3">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c r="AJ1244" s="4" t="str">
        <f>IF(EmployeeData[[#This Row],[Age]]&lt;25,"Under 25",IF(EmployeeData[[#This Row],[Age]]&lt;35,"25-34",IF(EmployeeData[[#This Row],[Age]]&lt;45,"35-44",IF(EmployeeData[[#This Row],[Age]]&lt;55,"45-54","55+"))))</f>
        <v>35-44</v>
      </c>
      <c r="AK1244" s="4" t="str">
        <f>IF(EmployeeData[[#This Row],[MonthlyIncome]]&lt;3000,"Below 3K",IF(EmployeeData[[#This Row],[MonthlyIncome]]&lt;6000,"3K-6K",IF(EmployeeData[[#This Row],[MonthlyIncome]]&lt;9000,"6K-9K",IF(EmployeeData[[#This Row],[MonthlyIncome]]&lt;12000,"9K-12K","12K+"))))</f>
        <v>12K+</v>
      </c>
    </row>
    <row r="1245" spans="1:37" x14ac:dyDescent="0.3">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c r="AJ1245" s="4" t="str">
        <f>IF(EmployeeData[[#This Row],[Age]]&lt;25,"Under 25",IF(EmployeeData[[#This Row],[Age]]&lt;35,"25-34",IF(EmployeeData[[#This Row],[Age]]&lt;45,"35-44",IF(EmployeeData[[#This Row],[Age]]&lt;55,"45-54","55+"))))</f>
        <v>45-54</v>
      </c>
      <c r="AK1245" s="4" t="str">
        <f>IF(EmployeeData[[#This Row],[MonthlyIncome]]&lt;3000,"Below 3K",IF(EmployeeData[[#This Row],[MonthlyIncome]]&lt;6000,"3K-6K",IF(EmployeeData[[#This Row],[MonthlyIncome]]&lt;9000,"6K-9K",IF(EmployeeData[[#This Row],[MonthlyIncome]]&lt;12000,"9K-12K","12K+"))))</f>
        <v>9K-12K</v>
      </c>
    </row>
    <row r="1246" spans="1:37" x14ac:dyDescent="0.3">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c r="AJ1246" s="4" t="str">
        <f>IF(EmployeeData[[#This Row],[Age]]&lt;25,"Under 25",IF(EmployeeData[[#This Row],[Age]]&lt;35,"25-34",IF(EmployeeData[[#This Row],[Age]]&lt;45,"35-44",IF(EmployeeData[[#This Row],[Age]]&lt;55,"45-54","55+"))))</f>
        <v>25-34</v>
      </c>
      <c r="AK1246" s="4" t="str">
        <f>IF(EmployeeData[[#This Row],[MonthlyIncome]]&lt;3000,"Below 3K",IF(EmployeeData[[#This Row],[MonthlyIncome]]&lt;6000,"3K-6K",IF(EmployeeData[[#This Row],[MonthlyIncome]]&lt;9000,"6K-9K",IF(EmployeeData[[#This Row],[MonthlyIncome]]&lt;12000,"9K-12K","12K+"))))</f>
        <v>3K-6K</v>
      </c>
    </row>
    <row r="1247" spans="1:37" x14ac:dyDescent="0.3">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c r="AJ1247" s="4" t="str">
        <f>IF(EmployeeData[[#This Row],[Age]]&lt;25,"Under 25",IF(EmployeeData[[#This Row],[Age]]&lt;35,"25-34",IF(EmployeeData[[#This Row],[Age]]&lt;45,"35-44",IF(EmployeeData[[#This Row],[Age]]&lt;55,"45-54","55+"))))</f>
        <v>Under 25</v>
      </c>
      <c r="AK1247" s="4" t="str">
        <f>IF(EmployeeData[[#This Row],[MonthlyIncome]]&lt;3000,"Below 3K",IF(EmployeeData[[#This Row],[MonthlyIncome]]&lt;6000,"3K-6K",IF(EmployeeData[[#This Row],[MonthlyIncome]]&lt;9000,"6K-9K",IF(EmployeeData[[#This Row],[MonthlyIncome]]&lt;12000,"9K-12K","12K+"))))</f>
        <v>Below 3K</v>
      </c>
    </row>
    <row r="1248" spans="1:37" x14ac:dyDescent="0.3">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c r="AJ1248" s="4" t="str">
        <f>IF(EmployeeData[[#This Row],[Age]]&lt;25,"Under 25",IF(EmployeeData[[#This Row],[Age]]&lt;35,"25-34",IF(EmployeeData[[#This Row],[Age]]&lt;45,"35-44",IF(EmployeeData[[#This Row],[Age]]&lt;55,"45-54","55+"))))</f>
        <v>25-34</v>
      </c>
      <c r="AK1248" s="4" t="str">
        <f>IF(EmployeeData[[#This Row],[MonthlyIncome]]&lt;3000,"Below 3K",IF(EmployeeData[[#This Row],[MonthlyIncome]]&lt;6000,"3K-6K",IF(EmployeeData[[#This Row],[MonthlyIncome]]&lt;9000,"6K-9K",IF(EmployeeData[[#This Row],[MonthlyIncome]]&lt;12000,"9K-12K","12K+"))))</f>
        <v>Below 3K</v>
      </c>
    </row>
    <row r="1249" spans="1:37" x14ac:dyDescent="0.3">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c r="AJ1249" s="4" t="str">
        <f>IF(EmployeeData[[#This Row],[Age]]&lt;25,"Under 25",IF(EmployeeData[[#This Row],[Age]]&lt;35,"25-34",IF(EmployeeData[[#This Row],[Age]]&lt;45,"35-44",IF(EmployeeData[[#This Row],[Age]]&lt;55,"45-54","55+"))))</f>
        <v>25-34</v>
      </c>
      <c r="AK1249" s="4" t="str">
        <f>IF(EmployeeData[[#This Row],[MonthlyIncome]]&lt;3000,"Below 3K",IF(EmployeeData[[#This Row],[MonthlyIncome]]&lt;6000,"3K-6K",IF(EmployeeData[[#This Row],[MonthlyIncome]]&lt;9000,"6K-9K",IF(EmployeeData[[#This Row],[MonthlyIncome]]&lt;12000,"9K-12K","12K+"))))</f>
        <v>6K-9K</v>
      </c>
    </row>
    <row r="1250" spans="1:37" x14ac:dyDescent="0.3">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c r="AJ1250" s="4" t="str">
        <f>IF(EmployeeData[[#This Row],[Age]]&lt;25,"Under 25",IF(EmployeeData[[#This Row],[Age]]&lt;35,"25-34",IF(EmployeeData[[#This Row],[Age]]&lt;45,"35-44",IF(EmployeeData[[#This Row],[Age]]&lt;55,"45-54","55+"))))</f>
        <v>25-34</v>
      </c>
      <c r="AK1250" s="4" t="str">
        <f>IF(EmployeeData[[#This Row],[MonthlyIncome]]&lt;3000,"Below 3K",IF(EmployeeData[[#This Row],[MonthlyIncome]]&lt;6000,"3K-6K",IF(EmployeeData[[#This Row],[MonthlyIncome]]&lt;9000,"6K-9K",IF(EmployeeData[[#This Row],[MonthlyIncome]]&lt;12000,"9K-12K","12K+"))))</f>
        <v>3K-6K</v>
      </c>
    </row>
    <row r="1251" spans="1:37" x14ac:dyDescent="0.3">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c r="AJ1251" s="4" t="str">
        <f>IF(EmployeeData[[#This Row],[Age]]&lt;25,"Under 25",IF(EmployeeData[[#This Row],[Age]]&lt;35,"25-34",IF(EmployeeData[[#This Row],[Age]]&lt;45,"35-44",IF(EmployeeData[[#This Row],[Age]]&lt;55,"45-54","55+"))))</f>
        <v>25-34</v>
      </c>
      <c r="AK1251" s="4" t="str">
        <f>IF(EmployeeData[[#This Row],[MonthlyIncome]]&lt;3000,"Below 3K",IF(EmployeeData[[#This Row],[MonthlyIncome]]&lt;6000,"3K-6K",IF(EmployeeData[[#This Row],[MonthlyIncome]]&lt;9000,"6K-9K",IF(EmployeeData[[#This Row],[MonthlyIncome]]&lt;12000,"9K-12K","12K+"))))</f>
        <v>Below 3K</v>
      </c>
    </row>
    <row r="1252" spans="1:37" x14ac:dyDescent="0.3">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c r="AJ1252" s="4" t="str">
        <f>IF(EmployeeData[[#This Row],[Age]]&lt;25,"Under 25",IF(EmployeeData[[#This Row],[Age]]&lt;35,"25-34",IF(EmployeeData[[#This Row],[Age]]&lt;45,"35-44",IF(EmployeeData[[#This Row],[Age]]&lt;55,"45-54","55+"))))</f>
        <v>25-34</v>
      </c>
      <c r="AK1252" s="4" t="str">
        <f>IF(EmployeeData[[#This Row],[MonthlyIncome]]&lt;3000,"Below 3K",IF(EmployeeData[[#This Row],[MonthlyIncome]]&lt;6000,"3K-6K",IF(EmployeeData[[#This Row],[MonthlyIncome]]&lt;9000,"6K-9K",IF(EmployeeData[[#This Row],[MonthlyIncome]]&lt;12000,"9K-12K","12K+"))))</f>
        <v>6K-9K</v>
      </c>
    </row>
    <row r="1253" spans="1:37" x14ac:dyDescent="0.3">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c r="AJ1253" s="4" t="str">
        <f>IF(EmployeeData[[#This Row],[Age]]&lt;25,"Under 25",IF(EmployeeData[[#This Row],[Age]]&lt;35,"25-34",IF(EmployeeData[[#This Row],[Age]]&lt;45,"35-44",IF(EmployeeData[[#This Row],[Age]]&lt;55,"45-54","55+"))))</f>
        <v>25-34</v>
      </c>
      <c r="AK1253" s="4" t="str">
        <f>IF(EmployeeData[[#This Row],[MonthlyIncome]]&lt;3000,"Below 3K",IF(EmployeeData[[#This Row],[MonthlyIncome]]&lt;6000,"3K-6K",IF(EmployeeData[[#This Row],[MonthlyIncome]]&lt;9000,"6K-9K",IF(EmployeeData[[#This Row],[MonthlyIncome]]&lt;12000,"9K-12K","12K+"))))</f>
        <v>6K-9K</v>
      </c>
    </row>
    <row r="1254" spans="1:37" x14ac:dyDescent="0.3">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c r="AJ1254" s="4" t="str">
        <f>IF(EmployeeData[[#This Row],[Age]]&lt;25,"Under 25",IF(EmployeeData[[#This Row],[Age]]&lt;35,"25-34",IF(EmployeeData[[#This Row],[Age]]&lt;45,"35-44",IF(EmployeeData[[#This Row],[Age]]&lt;55,"45-54","55+"))))</f>
        <v>25-34</v>
      </c>
      <c r="AK1254" s="4" t="str">
        <f>IF(EmployeeData[[#This Row],[MonthlyIncome]]&lt;3000,"Below 3K",IF(EmployeeData[[#This Row],[MonthlyIncome]]&lt;6000,"3K-6K",IF(EmployeeData[[#This Row],[MonthlyIncome]]&lt;9000,"6K-9K",IF(EmployeeData[[#This Row],[MonthlyIncome]]&lt;12000,"9K-12K","12K+"))))</f>
        <v>Below 3K</v>
      </c>
    </row>
    <row r="1255" spans="1:37" x14ac:dyDescent="0.3">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c r="AJ1255" s="4" t="str">
        <f>IF(EmployeeData[[#This Row],[Age]]&lt;25,"Under 25",IF(EmployeeData[[#This Row],[Age]]&lt;35,"25-34",IF(EmployeeData[[#This Row],[Age]]&lt;45,"35-44",IF(EmployeeData[[#This Row],[Age]]&lt;55,"45-54","55+"))))</f>
        <v>25-34</v>
      </c>
      <c r="AK1255" s="4" t="str">
        <f>IF(EmployeeData[[#This Row],[MonthlyIncome]]&lt;3000,"Below 3K",IF(EmployeeData[[#This Row],[MonthlyIncome]]&lt;6000,"3K-6K",IF(EmployeeData[[#This Row],[MonthlyIncome]]&lt;9000,"6K-9K",IF(EmployeeData[[#This Row],[MonthlyIncome]]&lt;12000,"9K-12K","12K+"))))</f>
        <v>3K-6K</v>
      </c>
    </row>
    <row r="1256" spans="1:37" x14ac:dyDescent="0.3">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c r="AJ1256" s="4" t="str">
        <f>IF(EmployeeData[[#This Row],[Age]]&lt;25,"Under 25",IF(EmployeeData[[#This Row],[Age]]&lt;35,"25-34",IF(EmployeeData[[#This Row],[Age]]&lt;45,"35-44",IF(EmployeeData[[#This Row],[Age]]&lt;55,"45-54","55+"))))</f>
        <v>45-54</v>
      </c>
      <c r="AK1256" s="4" t="str">
        <f>IF(EmployeeData[[#This Row],[MonthlyIncome]]&lt;3000,"Below 3K",IF(EmployeeData[[#This Row],[MonthlyIncome]]&lt;6000,"3K-6K",IF(EmployeeData[[#This Row],[MonthlyIncome]]&lt;9000,"6K-9K",IF(EmployeeData[[#This Row],[MonthlyIncome]]&lt;12000,"9K-12K","12K+"))))</f>
        <v>3K-6K</v>
      </c>
    </row>
    <row r="1257" spans="1:37"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c r="AJ1257" s="4" t="str">
        <f>IF(EmployeeData[[#This Row],[Age]]&lt;25,"Under 25",IF(EmployeeData[[#This Row],[Age]]&lt;35,"25-34",IF(EmployeeData[[#This Row],[Age]]&lt;45,"35-44",IF(EmployeeData[[#This Row],[Age]]&lt;55,"45-54","55+"))))</f>
        <v>25-34</v>
      </c>
      <c r="AK1257" s="4" t="str">
        <f>IF(EmployeeData[[#This Row],[MonthlyIncome]]&lt;3000,"Below 3K",IF(EmployeeData[[#This Row],[MonthlyIncome]]&lt;6000,"3K-6K",IF(EmployeeData[[#This Row],[MonthlyIncome]]&lt;9000,"6K-9K",IF(EmployeeData[[#This Row],[MonthlyIncome]]&lt;12000,"9K-12K","12K+"))))</f>
        <v>6K-9K</v>
      </c>
    </row>
    <row r="1258" spans="1:37" x14ac:dyDescent="0.3">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c r="AJ1258" s="4" t="str">
        <f>IF(EmployeeData[[#This Row],[Age]]&lt;25,"Under 25",IF(EmployeeData[[#This Row],[Age]]&lt;35,"25-34",IF(EmployeeData[[#This Row],[Age]]&lt;45,"35-44",IF(EmployeeData[[#This Row],[Age]]&lt;55,"45-54","55+"))))</f>
        <v>35-44</v>
      </c>
      <c r="AK1258" s="4" t="str">
        <f>IF(EmployeeData[[#This Row],[MonthlyIncome]]&lt;3000,"Below 3K",IF(EmployeeData[[#This Row],[MonthlyIncome]]&lt;6000,"3K-6K",IF(EmployeeData[[#This Row],[MonthlyIncome]]&lt;9000,"6K-9K",IF(EmployeeData[[#This Row],[MonthlyIncome]]&lt;12000,"9K-12K","12K+"))))</f>
        <v>Below 3K</v>
      </c>
    </row>
    <row r="1259" spans="1:37" x14ac:dyDescent="0.3">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c r="AJ1259" s="4" t="str">
        <f>IF(EmployeeData[[#This Row],[Age]]&lt;25,"Under 25",IF(EmployeeData[[#This Row],[Age]]&lt;35,"25-34",IF(EmployeeData[[#This Row],[Age]]&lt;45,"35-44",IF(EmployeeData[[#This Row],[Age]]&lt;55,"45-54","55+"))))</f>
        <v>25-34</v>
      </c>
      <c r="AK1259" s="4" t="str">
        <f>IF(EmployeeData[[#This Row],[MonthlyIncome]]&lt;3000,"Below 3K",IF(EmployeeData[[#This Row],[MonthlyIncome]]&lt;6000,"3K-6K",IF(EmployeeData[[#This Row],[MonthlyIncome]]&lt;9000,"6K-9K",IF(EmployeeData[[#This Row],[MonthlyIncome]]&lt;12000,"9K-12K","12K+"))))</f>
        <v>6K-9K</v>
      </c>
    </row>
    <row r="1260" spans="1:37" x14ac:dyDescent="0.3">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c r="AJ1260" s="4" t="str">
        <f>IF(EmployeeData[[#This Row],[Age]]&lt;25,"Under 25",IF(EmployeeData[[#This Row],[Age]]&lt;35,"25-34",IF(EmployeeData[[#This Row],[Age]]&lt;45,"35-44",IF(EmployeeData[[#This Row],[Age]]&lt;55,"45-54","55+"))))</f>
        <v>25-34</v>
      </c>
      <c r="AK1260" s="4" t="str">
        <f>IF(EmployeeData[[#This Row],[MonthlyIncome]]&lt;3000,"Below 3K",IF(EmployeeData[[#This Row],[MonthlyIncome]]&lt;6000,"3K-6K",IF(EmployeeData[[#This Row],[MonthlyIncome]]&lt;9000,"6K-9K",IF(EmployeeData[[#This Row],[MonthlyIncome]]&lt;12000,"9K-12K","12K+"))))</f>
        <v>Below 3K</v>
      </c>
    </row>
    <row r="1261" spans="1:37" x14ac:dyDescent="0.3">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c r="AJ1261" s="4" t="str">
        <f>IF(EmployeeData[[#This Row],[Age]]&lt;25,"Under 25",IF(EmployeeData[[#This Row],[Age]]&lt;35,"25-34",IF(EmployeeData[[#This Row],[Age]]&lt;45,"35-44",IF(EmployeeData[[#This Row],[Age]]&lt;55,"45-54","55+"))))</f>
        <v>25-34</v>
      </c>
      <c r="AK1261" s="4" t="str">
        <f>IF(EmployeeData[[#This Row],[MonthlyIncome]]&lt;3000,"Below 3K",IF(EmployeeData[[#This Row],[MonthlyIncome]]&lt;6000,"3K-6K",IF(EmployeeData[[#This Row],[MonthlyIncome]]&lt;9000,"6K-9K",IF(EmployeeData[[#This Row],[MonthlyIncome]]&lt;12000,"9K-12K","12K+"))))</f>
        <v>3K-6K</v>
      </c>
    </row>
    <row r="1262" spans="1:37" x14ac:dyDescent="0.3">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c r="AJ1262" s="4" t="str">
        <f>IF(EmployeeData[[#This Row],[Age]]&lt;25,"Under 25",IF(EmployeeData[[#This Row],[Age]]&lt;35,"25-34",IF(EmployeeData[[#This Row],[Age]]&lt;45,"35-44",IF(EmployeeData[[#This Row],[Age]]&lt;55,"45-54","55+"))))</f>
        <v>25-34</v>
      </c>
      <c r="AK1262" s="4" t="str">
        <f>IF(EmployeeData[[#This Row],[MonthlyIncome]]&lt;3000,"Below 3K",IF(EmployeeData[[#This Row],[MonthlyIncome]]&lt;6000,"3K-6K",IF(EmployeeData[[#This Row],[MonthlyIncome]]&lt;9000,"6K-9K",IF(EmployeeData[[#This Row],[MonthlyIncome]]&lt;12000,"9K-12K","12K+"))))</f>
        <v>Below 3K</v>
      </c>
    </row>
    <row r="1263" spans="1:37" x14ac:dyDescent="0.3">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c r="AJ1263" s="4" t="str">
        <f>IF(EmployeeData[[#This Row],[Age]]&lt;25,"Under 25",IF(EmployeeData[[#This Row],[Age]]&lt;35,"25-34",IF(EmployeeData[[#This Row],[Age]]&lt;45,"35-44",IF(EmployeeData[[#This Row],[Age]]&lt;55,"45-54","55+"))))</f>
        <v>35-44</v>
      </c>
      <c r="AK1263" s="4" t="str">
        <f>IF(EmployeeData[[#This Row],[MonthlyIncome]]&lt;3000,"Below 3K",IF(EmployeeData[[#This Row],[MonthlyIncome]]&lt;6000,"3K-6K",IF(EmployeeData[[#This Row],[MonthlyIncome]]&lt;9000,"6K-9K",IF(EmployeeData[[#This Row],[MonthlyIncome]]&lt;12000,"9K-12K","12K+"))))</f>
        <v>3K-6K</v>
      </c>
    </row>
    <row r="1264" spans="1:37" x14ac:dyDescent="0.3">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c r="AJ1264" s="4" t="str">
        <f>IF(EmployeeData[[#This Row],[Age]]&lt;25,"Under 25",IF(EmployeeData[[#This Row],[Age]]&lt;35,"25-34",IF(EmployeeData[[#This Row],[Age]]&lt;45,"35-44",IF(EmployeeData[[#This Row],[Age]]&lt;55,"45-54","55+"))))</f>
        <v>35-44</v>
      </c>
      <c r="AK1264" s="4" t="str">
        <f>IF(EmployeeData[[#This Row],[MonthlyIncome]]&lt;3000,"Below 3K",IF(EmployeeData[[#This Row],[MonthlyIncome]]&lt;6000,"3K-6K",IF(EmployeeData[[#This Row],[MonthlyIncome]]&lt;9000,"6K-9K",IF(EmployeeData[[#This Row],[MonthlyIncome]]&lt;12000,"9K-12K","12K+"))))</f>
        <v>Below 3K</v>
      </c>
    </row>
    <row r="1265" spans="1:37" x14ac:dyDescent="0.3">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c r="AJ1265" s="4" t="str">
        <f>IF(EmployeeData[[#This Row],[Age]]&lt;25,"Under 25",IF(EmployeeData[[#This Row],[Age]]&lt;35,"25-34",IF(EmployeeData[[#This Row],[Age]]&lt;45,"35-44",IF(EmployeeData[[#This Row],[Age]]&lt;55,"45-54","55+"))))</f>
        <v>35-44</v>
      </c>
      <c r="AK1265" s="4" t="str">
        <f>IF(EmployeeData[[#This Row],[MonthlyIncome]]&lt;3000,"Below 3K",IF(EmployeeData[[#This Row],[MonthlyIncome]]&lt;6000,"3K-6K",IF(EmployeeData[[#This Row],[MonthlyIncome]]&lt;9000,"6K-9K",IF(EmployeeData[[#This Row],[MonthlyIncome]]&lt;12000,"9K-12K","12K+"))))</f>
        <v>Below 3K</v>
      </c>
    </row>
    <row r="1266" spans="1:37" x14ac:dyDescent="0.3">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c r="AJ1266" s="4" t="str">
        <f>IF(EmployeeData[[#This Row],[Age]]&lt;25,"Under 25",IF(EmployeeData[[#This Row],[Age]]&lt;35,"25-34",IF(EmployeeData[[#This Row],[Age]]&lt;45,"35-44",IF(EmployeeData[[#This Row],[Age]]&lt;55,"45-54","55+"))))</f>
        <v>55+</v>
      </c>
      <c r="AK1266" s="4" t="str">
        <f>IF(EmployeeData[[#This Row],[MonthlyIncome]]&lt;3000,"Below 3K",IF(EmployeeData[[#This Row],[MonthlyIncome]]&lt;6000,"3K-6K",IF(EmployeeData[[#This Row],[MonthlyIncome]]&lt;9000,"6K-9K",IF(EmployeeData[[#This Row],[MonthlyIncome]]&lt;12000,"9K-12K","12K+"))))</f>
        <v>12K+</v>
      </c>
    </row>
    <row r="1267" spans="1:37" x14ac:dyDescent="0.3">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c r="AJ1267" s="4" t="str">
        <f>IF(EmployeeData[[#This Row],[Age]]&lt;25,"Under 25",IF(EmployeeData[[#This Row],[Age]]&lt;35,"25-34",IF(EmployeeData[[#This Row],[Age]]&lt;45,"35-44",IF(EmployeeData[[#This Row],[Age]]&lt;55,"45-54","55+"))))</f>
        <v>25-34</v>
      </c>
      <c r="AK1267" s="4" t="str">
        <f>IF(EmployeeData[[#This Row],[MonthlyIncome]]&lt;3000,"Below 3K",IF(EmployeeData[[#This Row],[MonthlyIncome]]&lt;6000,"3K-6K",IF(EmployeeData[[#This Row],[MonthlyIncome]]&lt;9000,"6K-9K",IF(EmployeeData[[#This Row],[MonthlyIncome]]&lt;12000,"9K-12K","12K+"))))</f>
        <v>3K-6K</v>
      </c>
    </row>
    <row r="1268" spans="1:37" x14ac:dyDescent="0.3">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c r="AJ1268" s="4" t="str">
        <f>IF(EmployeeData[[#This Row],[Age]]&lt;25,"Under 25",IF(EmployeeData[[#This Row],[Age]]&lt;35,"25-34",IF(EmployeeData[[#This Row],[Age]]&lt;45,"35-44",IF(EmployeeData[[#This Row],[Age]]&lt;55,"45-54","55+"))))</f>
        <v>35-44</v>
      </c>
      <c r="AK1268" s="4" t="str">
        <f>IF(EmployeeData[[#This Row],[MonthlyIncome]]&lt;3000,"Below 3K",IF(EmployeeData[[#This Row],[MonthlyIncome]]&lt;6000,"3K-6K",IF(EmployeeData[[#This Row],[MonthlyIncome]]&lt;9000,"6K-9K",IF(EmployeeData[[#This Row],[MonthlyIncome]]&lt;12000,"9K-12K","12K+"))))</f>
        <v>Below 3K</v>
      </c>
    </row>
    <row r="1269" spans="1:37" x14ac:dyDescent="0.3">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c r="AJ1269" s="4" t="str">
        <f>IF(EmployeeData[[#This Row],[Age]]&lt;25,"Under 25",IF(EmployeeData[[#This Row],[Age]]&lt;35,"25-34",IF(EmployeeData[[#This Row],[Age]]&lt;45,"35-44",IF(EmployeeData[[#This Row],[Age]]&lt;55,"45-54","55+"))))</f>
        <v>25-34</v>
      </c>
      <c r="AK1269" s="4" t="str">
        <f>IF(EmployeeData[[#This Row],[MonthlyIncome]]&lt;3000,"Below 3K",IF(EmployeeData[[#This Row],[MonthlyIncome]]&lt;6000,"3K-6K",IF(EmployeeData[[#This Row],[MonthlyIncome]]&lt;9000,"6K-9K",IF(EmployeeData[[#This Row],[MonthlyIncome]]&lt;12000,"9K-12K","12K+"))))</f>
        <v>3K-6K</v>
      </c>
    </row>
    <row r="1270" spans="1:37" x14ac:dyDescent="0.3">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c r="AJ1270" s="4" t="str">
        <f>IF(EmployeeData[[#This Row],[Age]]&lt;25,"Under 25",IF(EmployeeData[[#This Row],[Age]]&lt;35,"25-34",IF(EmployeeData[[#This Row],[Age]]&lt;45,"35-44",IF(EmployeeData[[#This Row],[Age]]&lt;55,"45-54","55+"))))</f>
        <v>45-54</v>
      </c>
      <c r="AK1270" s="4" t="str">
        <f>IF(EmployeeData[[#This Row],[MonthlyIncome]]&lt;3000,"Below 3K",IF(EmployeeData[[#This Row],[MonthlyIncome]]&lt;6000,"3K-6K",IF(EmployeeData[[#This Row],[MonthlyIncome]]&lt;9000,"6K-9K",IF(EmployeeData[[#This Row],[MonthlyIncome]]&lt;12000,"9K-12K","12K+"))))</f>
        <v>12K+</v>
      </c>
    </row>
    <row r="1271" spans="1:37" x14ac:dyDescent="0.3">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c r="AJ1271" s="4" t="str">
        <f>IF(EmployeeData[[#This Row],[Age]]&lt;25,"Under 25",IF(EmployeeData[[#This Row],[Age]]&lt;35,"25-34",IF(EmployeeData[[#This Row],[Age]]&lt;45,"35-44",IF(EmployeeData[[#This Row],[Age]]&lt;55,"45-54","55+"))))</f>
        <v>35-44</v>
      </c>
      <c r="AK1271" s="4" t="str">
        <f>IF(EmployeeData[[#This Row],[MonthlyIncome]]&lt;3000,"Below 3K",IF(EmployeeData[[#This Row],[MonthlyIncome]]&lt;6000,"3K-6K",IF(EmployeeData[[#This Row],[MonthlyIncome]]&lt;9000,"6K-9K",IF(EmployeeData[[#This Row],[MonthlyIncome]]&lt;12000,"9K-12K","12K+"))))</f>
        <v>3K-6K</v>
      </c>
    </row>
    <row r="1272" spans="1:37" x14ac:dyDescent="0.3">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c r="AJ1272" s="4" t="str">
        <f>IF(EmployeeData[[#This Row],[Age]]&lt;25,"Under 25",IF(EmployeeData[[#This Row],[Age]]&lt;35,"25-34",IF(EmployeeData[[#This Row],[Age]]&lt;45,"35-44",IF(EmployeeData[[#This Row],[Age]]&lt;55,"45-54","55+"))))</f>
        <v>25-34</v>
      </c>
      <c r="AK1272" s="4" t="str">
        <f>IF(EmployeeData[[#This Row],[MonthlyIncome]]&lt;3000,"Below 3K",IF(EmployeeData[[#This Row],[MonthlyIncome]]&lt;6000,"3K-6K",IF(EmployeeData[[#This Row],[MonthlyIncome]]&lt;9000,"6K-9K",IF(EmployeeData[[#This Row],[MonthlyIncome]]&lt;12000,"9K-12K","12K+"))))</f>
        <v>6K-9K</v>
      </c>
    </row>
    <row r="1273" spans="1:37" x14ac:dyDescent="0.3">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c r="AJ1273" s="4" t="str">
        <f>IF(EmployeeData[[#This Row],[Age]]&lt;25,"Under 25",IF(EmployeeData[[#This Row],[Age]]&lt;35,"25-34",IF(EmployeeData[[#This Row],[Age]]&lt;45,"35-44",IF(EmployeeData[[#This Row],[Age]]&lt;55,"45-54","55+"))))</f>
        <v>Under 25</v>
      </c>
      <c r="AK1273" s="4" t="str">
        <f>IF(EmployeeData[[#This Row],[MonthlyIncome]]&lt;3000,"Below 3K",IF(EmployeeData[[#This Row],[MonthlyIncome]]&lt;6000,"3K-6K",IF(EmployeeData[[#This Row],[MonthlyIncome]]&lt;9000,"6K-9K",IF(EmployeeData[[#This Row],[MonthlyIncome]]&lt;12000,"9K-12K","12K+"))))</f>
        <v>Below 3K</v>
      </c>
    </row>
    <row r="1274" spans="1:37" x14ac:dyDescent="0.3">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c r="AJ1274" s="4" t="str">
        <f>IF(EmployeeData[[#This Row],[Age]]&lt;25,"Under 25",IF(EmployeeData[[#This Row],[Age]]&lt;35,"25-34",IF(EmployeeData[[#This Row],[Age]]&lt;45,"35-44",IF(EmployeeData[[#This Row],[Age]]&lt;55,"45-54","55+"))))</f>
        <v>35-44</v>
      </c>
      <c r="AK1274" s="4" t="str">
        <f>IF(EmployeeData[[#This Row],[MonthlyIncome]]&lt;3000,"Below 3K",IF(EmployeeData[[#This Row],[MonthlyIncome]]&lt;6000,"3K-6K",IF(EmployeeData[[#This Row],[MonthlyIncome]]&lt;9000,"6K-9K",IF(EmployeeData[[#This Row],[MonthlyIncome]]&lt;12000,"9K-12K","12K+"))))</f>
        <v>3K-6K</v>
      </c>
    </row>
    <row r="1275" spans="1:37" x14ac:dyDescent="0.3">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c r="AJ1275" s="4" t="str">
        <f>IF(EmployeeData[[#This Row],[Age]]&lt;25,"Under 25",IF(EmployeeData[[#This Row],[Age]]&lt;35,"25-34",IF(EmployeeData[[#This Row],[Age]]&lt;45,"35-44",IF(EmployeeData[[#This Row],[Age]]&lt;55,"45-54","55+"))))</f>
        <v>Under 25</v>
      </c>
      <c r="AK1275" s="4" t="str">
        <f>IF(EmployeeData[[#This Row],[MonthlyIncome]]&lt;3000,"Below 3K",IF(EmployeeData[[#This Row],[MonthlyIncome]]&lt;6000,"3K-6K",IF(EmployeeData[[#This Row],[MonthlyIncome]]&lt;9000,"6K-9K",IF(EmployeeData[[#This Row],[MonthlyIncome]]&lt;12000,"9K-12K","12K+"))))</f>
        <v>Below 3K</v>
      </c>
    </row>
    <row r="1276" spans="1:37" x14ac:dyDescent="0.3">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c r="AJ1276" s="4" t="str">
        <f>IF(EmployeeData[[#This Row],[Age]]&lt;25,"Under 25",IF(EmployeeData[[#This Row],[Age]]&lt;35,"25-34",IF(EmployeeData[[#This Row],[Age]]&lt;45,"35-44",IF(EmployeeData[[#This Row],[Age]]&lt;55,"45-54","55+"))))</f>
        <v>25-34</v>
      </c>
      <c r="AK1276" s="4" t="str">
        <f>IF(EmployeeData[[#This Row],[MonthlyIncome]]&lt;3000,"Below 3K",IF(EmployeeData[[#This Row],[MonthlyIncome]]&lt;6000,"3K-6K",IF(EmployeeData[[#This Row],[MonthlyIncome]]&lt;9000,"6K-9K",IF(EmployeeData[[#This Row],[MonthlyIncome]]&lt;12000,"9K-12K","12K+"))))</f>
        <v>3K-6K</v>
      </c>
    </row>
    <row r="1277" spans="1:37" x14ac:dyDescent="0.3">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c r="AJ1277" s="4" t="str">
        <f>IF(EmployeeData[[#This Row],[Age]]&lt;25,"Under 25",IF(EmployeeData[[#This Row],[Age]]&lt;35,"25-34",IF(EmployeeData[[#This Row],[Age]]&lt;45,"35-44",IF(EmployeeData[[#This Row],[Age]]&lt;55,"45-54","55+"))))</f>
        <v>45-54</v>
      </c>
      <c r="AK1277" s="4" t="str">
        <f>IF(EmployeeData[[#This Row],[MonthlyIncome]]&lt;3000,"Below 3K",IF(EmployeeData[[#This Row],[MonthlyIncome]]&lt;6000,"3K-6K",IF(EmployeeData[[#This Row],[MonthlyIncome]]&lt;9000,"6K-9K",IF(EmployeeData[[#This Row],[MonthlyIncome]]&lt;12000,"9K-12K","12K+"))))</f>
        <v>12K+</v>
      </c>
    </row>
    <row r="1278" spans="1:37" x14ac:dyDescent="0.3">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c r="AJ1278" s="4" t="str">
        <f>IF(EmployeeData[[#This Row],[Age]]&lt;25,"Under 25",IF(EmployeeData[[#This Row],[Age]]&lt;35,"25-34",IF(EmployeeData[[#This Row],[Age]]&lt;45,"35-44",IF(EmployeeData[[#This Row],[Age]]&lt;55,"45-54","55+"))))</f>
        <v>35-44</v>
      </c>
      <c r="AK1278" s="4" t="str">
        <f>IF(EmployeeData[[#This Row],[MonthlyIncome]]&lt;3000,"Below 3K",IF(EmployeeData[[#This Row],[MonthlyIncome]]&lt;6000,"3K-6K",IF(EmployeeData[[#This Row],[MonthlyIncome]]&lt;9000,"6K-9K",IF(EmployeeData[[#This Row],[MonthlyIncome]]&lt;12000,"9K-12K","12K+"))))</f>
        <v>3K-6K</v>
      </c>
    </row>
    <row r="1279" spans="1:37" x14ac:dyDescent="0.3">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c r="AJ1279" s="4" t="str">
        <f>IF(EmployeeData[[#This Row],[Age]]&lt;25,"Under 25",IF(EmployeeData[[#This Row],[Age]]&lt;35,"25-34",IF(EmployeeData[[#This Row],[Age]]&lt;45,"35-44",IF(EmployeeData[[#This Row],[Age]]&lt;55,"45-54","55+"))))</f>
        <v>45-54</v>
      </c>
      <c r="AK1279" s="4" t="str">
        <f>IF(EmployeeData[[#This Row],[MonthlyIncome]]&lt;3000,"Below 3K",IF(EmployeeData[[#This Row],[MonthlyIncome]]&lt;6000,"3K-6K",IF(EmployeeData[[#This Row],[MonthlyIncome]]&lt;9000,"6K-9K",IF(EmployeeData[[#This Row],[MonthlyIncome]]&lt;12000,"9K-12K","12K+"))))</f>
        <v>12K+</v>
      </c>
    </row>
    <row r="1280" spans="1:37" x14ac:dyDescent="0.3">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c r="AJ1280" s="4" t="str">
        <f>IF(EmployeeData[[#This Row],[Age]]&lt;25,"Under 25",IF(EmployeeData[[#This Row],[Age]]&lt;35,"25-34",IF(EmployeeData[[#This Row],[Age]]&lt;45,"35-44",IF(EmployeeData[[#This Row],[Age]]&lt;55,"45-54","55+"))))</f>
        <v>35-44</v>
      </c>
      <c r="AK1280" s="4" t="str">
        <f>IF(EmployeeData[[#This Row],[MonthlyIncome]]&lt;3000,"Below 3K",IF(EmployeeData[[#This Row],[MonthlyIncome]]&lt;6000,"3K-6K",IF(EmployeeData[[#This Row],[MonthlyIncome]]&lt;9000,"6K-9K",IF(EmployeeData[[#This Row],[MonthlyIncome]]&lt;12000,"9K-12K","12K+"))))</f>
        <v>6K-9K</v>
      </c>
    </row>
    <row r="1281" spans="1:37" x14ac:dyDescent="0.3">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c r="AJ1281" s="4" t="str">
        <f>IF(EmployeeData[[#This Row],[Age]]&lt;25,"Under 25",IF(EmployeeData[[#This Row],[Age]]&lt;35,"25-34",IF(EmployeeData[[#This Row],[Age]]&lt;45,"35-44",IF(EmployeeData[[#This Row],[Age]]&lt;55,"45-54","55+"))))</f>
        <v>35-44</v>
      </c>
      <c r="AK1281" s="4" t="str">
        <f>IF(EmployeeData[[#This Row],[MonthlyIncome]]&lt;3000,"Below 3K",IF(EmployeeData[[#This Row],[MonthlyIncome]]&lt;6000,"3K-6K",IF(EmployeeData[[#This Row],[MonthlyIncome]]&lt;9000,"6K-9K",IF(EmployeeData[[#This Row],[MonthlyIncome]]&lt;12000,"9K-12K","12K+"))))</f>
        <v>Below 3K</v>
      </c>
    </row>
    <row r="1282" spans="1:37" x14ac:dyDescent="0.3">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c r="AJ1282" s="4" t="str">
        <f>IF(EmployeeData[[#This Row],[Age]]&lt;25,"Under 25",IF(EmployeeData[[#This Row],[Age]]&lt;35,"25-34",IF(EmployeeData[[#This Row],[Age]]&lt;45,"35-44",IF(EmployeeData[[#This Row],[Age]]&lt;55,"45-54","55+"))))</f>
        <v>35-44</v>
      </c>
      <c r="AK1282" s="4" t="str">
        <f>IF(EmployeeData[[#This Row],[MonthlyIncome]]&lt;3000,"Below 3K",IF(EmployeeData[[#This Row],[MonthlyIncome]]&lt;6000,"3K-6K",IF(EmployeeData[[#This Row],[MonthlyIncome]]&lt;9000,"6K-9K",IF(EmployeeData[[#This Row],[MonthlyIncome]]&lt;12000,"9K-12K","12K+"))))</f>
        <v>3K-6K</v>
      </c>
    </row>
    <row r="1283" spans="1:37" x14ac:dyDescent="0.3">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c r="AJ1283" s="4" t="str">
        <f>IF(EmployeeData[[#This Row],[Age]]&lt;25,"Under 25",IF(EmployeeData[[#This Row],[Age]]&lt;35,"25-34",IF(EmployeeData[[#This Row],[Age]]&lt;45,"35-44",IF(EmployeeData[[#This Row],[Age]]&lt;55,"45-54","55+"))))</f>
        <v>35-44</v>
      </c>
      <c r="AK1283" s="4" t="str">
        <f>IF(EmployeeData[[#This Row],[MonthlyIncome]]&lt;3000,"Below 3K",IF(EmployeeData[[#This Row],[MonthlyIncome]]&lt;6000,"3K-6K",IF(EmployeeData[[#This Row],[MonthlyIncome]]&lt;9000,"6K-9K",IF(EmployeeData[[#This Row],[MonthlyIncome]]&lt;12000,"9K-12K","12K+"))))</f>
        <v>3K-6K</v>
      </c>
    </row>
    <row r="1284" spans="1:37" x14ac:dyDescent="0.3">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c r="AJ1284" s="4" t="str">
        <f>IF(EmployeeData[[#This Row],[Age]]&lt;25,"Under 25",IF(EmployeeData[[#This Row],[Age]]&lt;35,"25-34",IF(EmployeeData[[#This Row],[Age]]&lt;45,"35-44",IF(EmployeeData[[#This Row],[Age]]&lt;55,"45-54","55+"))))</f>
        <v>25-34</v>
      </c>
      <c r="AK1284" s="4" t="str">
        <f>IF(EmployeeData[[#This Row],[MonthlyIncome]]&lt;3000,"Below 3K",IF(EmployeeData[[#This Row],[MonthlyIncome]]&lt;6000,"3K-6K",IF(EmployeeData[[#This Row],[MonthlyIncome]]&lt;9000,"6K-9K",IF(EmployeeData[[#This Row],[MonthlyIncome]]&lt;12000,"9K-12K","12K+"))))</f>
        <v>3K-6K</v>
      </c>
    </row>
    <row r="1285" spans="1:37" x14ac:dyDescent="0.3">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c r="AJ1285" s="4" t="str">
        <f>IF(EmployeeData[[#This Row],[Age]]&lt;25,"Under 25",IF(EmployeeData[[#This Row],[Age]]&lt;35,"25-34",IF(EmployeeData[[#This Row],[Age]]&lt;45,"35-44",IF(EmployeeData[[#This Row],[Age]]&lt;55,"45-54","55+"))))</f>
        <v>25-34</v>
      </c>
      <c r="AK1285" s="4" t="str">
        <f>IF(EmployeeData[[#This Row],[MonthlyIncome]]&lt;3000,"Below 3K",IF(EmployeeData[[#This Row],[MonthlyIncome]]&lt;6000,"3K-6K",IF(EmployeeData[[#This Row],[MonthlyIncome]]&lt;9000,"6K-9K",IF(EmployeeData[[#This Row],[MonthlyIncome]]&lt;12000,"9K-12K","12K+"))))</f>
        <v>Below 3K</v>
      </c>
    </row>
    <row r="1286" spans="1:37" x14ac:dyDescent="0.3">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c r="AJ1286" s="4" t="str">
        <f>IF(EmployeeData[[#This Row],[Age]]&lt;25,"Under 25",IF(EmployeeData[[#This Row],[Age]]&lt;35,"25-34",IF(EmployeeData[[#This Row],[Age]]&lt;45,"35-44",IF(EmployeeData[[#This Row],[Age]]&lt;55,"45-54","55+"))))</f>
        <v>35-44</v>
      </c>
      <c r="AK1286" s="4" t="str">
        <f>IF(EmployeeData[[#This Row],[MonthlyIncome]]&lt;3000,"Below 3K",IF(EmployeeData[[#This Row],[MonthlyIncome]]&lt;6000,"3K-6K",IF(EmployeeData[[#This Row],[MonthlyIncome]]&lt;9000,"6K-9K",IF(EmployeeData[[#This Row],[MonthlyIncome]]&lt;12000,"9K-12K","12K+"))))</f>
        <v>12K+</v>
      </c>
    </row>
    <row r="1287" spans="1:37" x14ac:dyDescent="0.3">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c r="AJ1287" s="4" t="str">
        <f>IF(EmployeeData[[#This Row],[Age]]&lt;25,"Under 25",IF(EmployeeData[[#This Row],[Age]]&lt;35,"25-34",IF(EmployeeData[[#This Row],[Age]]&lt;45,"35-44",IF(EmployeeData[[#This Row],[Age]]&lt;55,"45-54","55+"))))</f>
        <v>45-54</v>
      </c>
      <c r="AK1287" s="4" t="str">
        <f>IF(EmployeeData[[#This Row],[MonthlyIncome]]&lt;3000,"Below 3K",IF(EmployeeData[[#This Row],[MonthlyIncome]]&lt;6000,"3K-6K",IF(EmployeeData[[#This Row],[MonthlyIncome]]&lt;9000,"6K-9K",IF(EmployeeData[[#This Row],[MonthlyIncome]]&lt;12000,"9K-12K","12K+"))))</f>
        <v>6K-9K</v>
      </c>
    </row>
    <row r="1288" spans="1:37" x14ac:dyDescent="0.3">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c r="AJ1288" s="4" t="str">
        <f>IF(EmployeeData[[#This Row],[Age]]&lt;25,"Under 25",IF(EmployeeData[[#This Row],[Age]]&lt;35,"25-34",IF(EmployeeData[[#This Row],[Age]]&lt;45,"35-44",IF(EmployeeData[[#This Row],[Age]]&lt;55,"45-54","55+"))))</f>
        <v>35-44</v>
      </c>
      <c r="AK1288" s="4" t="str">
        <f>IF(EmployeeData[[#This Row],[MonthlyIncome]]&lt;3000,"Below 3K",IF(EmployeeData[[#This Row],[MonthlyIncome]]&lt;6000,"3K-6K",IF(EmployeeData[[#This Row],[MonthlyIncome]]&lt;9000,"6K-9K",IF(EmployeeData[[#This Row],[MonthlyIncome]]&lt;12000,"9K-12K","12K+"))))</f>
        <v>3K-6K</v>
      </c>
    </row>
    <row r="1289" spans="1:37" x14ac:dyDescent="0.3">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c r="AJ1289" s="4" t="str">
        <f>IF(EmployeeData[[#This Row],[Age]]&lt;25,"Under 25",IF(EmployeeData[[#This Row],[Age]]&lt;35,"25-34",IF(EmployeeData[[#This Row],[Age]]&lt;45,"35-44",IF(EmployeeData[[#This Row],[Age]]&lt;55,"45-54","55+"))))</f>
        <v>35-44</v>
      </c>
      <c r="AK1289" s="4" t="str">
        <f>IF(EmployeeData[[#This Row],[MonthlyIncome]]&lt;3000,"Below 3K",IF(EmployeeData[[#This Row],[MonthlyIncome]]&lt;6000,"3K-6K",IF(EmployeeData[[#This Row],[MonthlyIncome]]&lt;9000,"6K-9K",IF(EmployeeData[[#This Row],[MonthlyIncome]]&lt;12000,"9K-12K","12K+"))))</f>
        <v>3K-6K</v>
      </c>
    </row>
    <row r="1290" spans="1:37" x14ac:dyDescent="0.3">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c r="AJ1290" s="4" t="str">
        <f>IF(EmployeeData[[#This Row],[Age]]&lt;25,"Under 25",IF(EmployeeData[[#This Row],[Age]]&lt;35,"25-34",IF(EmployeeData[[#This Row],[Age]]&lt;45,"35-44",IF(EmployeeData[[#This Row],[Age]]&lt;55,"45-54","55+"))))</f>
        <v>35-44</v>
      </c>
      <c r="AK1290" s="4" t="str">
        <f>IF(EmployeeData[[#This Row],[MonthlyIncome]]&lt;3000,"Below 3K",IF(EmployeeData[[#This Row],[MonthlyIncome]]&lt;6000,"3K-6K",IF(EmployeeData[[#This Row],[MonthlyIncome]]&lt;9000,"6K-9K",IF(EmployeeData[[#This Row],[MonthlyIncome]]&lt;12000,"9K-12K","12K+"))))</f>
        <v>3K-6K</v>
      </c>
    </row>
    <row r="1291" spans="1:37" x14ac:dyDescent="0.3">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c r="AJ1291" s="4" t="str">
        <f>IF(EmployeeData[[#This Row],[Age]]&lt;25,"Under 25",IF(EmployeeData[[#This Row],[Age]]&lt;35,"25-34",IF(EmployeeData[[#This Row],[Age]]&lt;45,"35-44",IF(EmployeeData[[#This Row],[Age]]&lt;55,"45-54","55+"))))</f>
        <v>35-44</v>
      </c>
      <c r="AK1291" s="4" t="str">
        <f>IF(EmployeeData[[#This Row],[MonthlyIncome]]&lt;3000,"Below 3K",IF(EmployeeData[[#This Row],[MonthlyIncome]]&lt;6000,"3K-6K",IF(EmployeeData[[#This Row],[MonthlyIncome]]&lt;9000,"6K-9K",IF(EmployeeData[[#This Row],[MonthlyIncome]]&lt;12000,"9K-12K","12K+"))))</f>
        <v>Below 3K</v>
      </c>
    </row>
    <row r="1292" spans="1:37" x14ac:dyDescent="0.3">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c r="AJ1292" s="4" t="str">
        <f>IF(EmployeeData[[#This Row],[Age]]&lt;25,"Under 25",IF(EmployeeData[[#This Row],[Age]]&lt;35,"25-34",IF(EmployeeData[[#This Row],[Age]]&lt;45,"35-44",IF(EmployeeData[[#This Row],[Age]]&lt;55,"45-54","55+"))))</f>
        <v>25-34</v>
      </c>
      <c r="AK1292" s="4" t="str">
        <f>IF(EmployeeData[[#This Row],[MonthlyIncome]]&lt;3000,"Below 3K",IF(EmployeeData[[#This Row],[MonthlyIncome]]&lt;6000,"3K-6K",IF(EmployeeData[[#This Row],[MonthlyIncome]]&lt;9000,"6K-9K",IF(EmployeeData[[#This Row],[MonthlyIncome]]&lt;12000,"9K-12K","12K+"))))</f>
        <v>3K-6K</v>
      </c>
    </row>
    <row r="1293" spans="1:37" x14ac:dyDescent="0.3">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c r="AJ1293" s="4" t="str">
        <f>IF(EmployeeData[[#This Row],[Age]]&lt;25,"Under 25",IF(EmployeeData[[#This Row],[Age]]&lt;35,"25-34",IF(EmployeeData[[#This Row],[Age]]&lt;45,"35-44",IF(EmployeeData[[#This Row],[Age]]&lt;55,"45-54","55+"))))</f>
        <v>35-44</v>
      </c>
      <c r="AK1293" s="4" t="str">
        <f>IF(EmployeeData[[#This Row],[MonthlyIncome]]&lt;3000,"Below 3K",IF(EmployeeData[[#This Row],[MonthlyIncome]]&lt;6000,"3K-6K",IF(EmployeeData[[#This Row],[MonthlyIncome]]&lt;9000,"6K-9K",IF(EmployeeData[[#This Row],[MonthlyIncome]]&lt;12000,"9K-12K","12K+"))))</f>
        <v>3K-6K</v>
      </c>
    </row>
    <row r="1294" spans="1:37" x14ac:dyDescent="0.3">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c r="AJ1294" s="4" t="str">
        <f>IF(EmployeeData[[#This Row],[Age]]&lt;25,"Under 25",IF(EmployeeData[[#This Row],[Age]]&lt;35,"25-34",IF(EmployeeData[[#This Row],[Age]]&lt;45,"35-44",IF(EmployeeData[[#This Row],[Age]]&lt;55,"45-54","55+"))))</f>
        <v>35-44</v>
      </c>
      <c r="AK1294" s="4" t="str">
        <f>IF(EmployeeData[[#This Row],[MonthlyIncome]]&lt;3000,"Below 3K",IF(EmployeeData[[#This Row],[MonthlyIncome]]&lt;6000,"3K-6K",IF(EmployeeData[[#This Row],[MonthlyIncome]]&lt;9000,"6K-9K",IF(EmployeeData[[#This Row],[MonthlyIncome]]&lt;12000,"9K-12K","12K+"))))</f>
        <v>3K-6K</v>
      </c>
    </row>
    <row r="1295" spans="1:37" x14ac:dyDescent="0.3">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c r="AJ1295" s="4" t="str">
        <f>IF(EmployeeData[[#This Row],[Age]]&lt;25,"Under 25",IF(EmployeeData[[#This Row],[Age]]&lt;35,"25-34",IF(EmployeeData[[#This Row],[Age]]&lt;45,"35-44",IF(EmployeeData[[#This Row],[Age]]&lt;55,"45-54","55+"))))</f>
        <v>35-44</v>
      </c>
      <c r="AK1295" s="4" t="str">
        <f>IF(EmployeeData[[#This Row],[MonthlyIncome]]&lt;3000,"Below 3K",IF(EmployeeData[[#This Row],[MonthlyIncome]]&lt;6000,"3K-6K",IF(EmployeeData[[#This Row],[MonthlyIncome]]&lt;9000,"6K-9K",IF(EmployeeData[[#This Row],[MonthlyIncome]]&lt;12000,"9K-12K","12K+"))))</f>
        <v>Below 3K</v>
      </c>
    </row>
    <row r="1296" spans="1:37" x14ac:dyDescent="0.3">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c r="AJ1296" s="4" t="str">
        <f>IF(EmployeeData[[#This Row],[Age]]&lt;25,"Under 25",IF(EmployeeData[[#This Row],[Age]]&lt;35,"25-34",IF(EmployeeData[[#This Row],[Age]]&lt;45,"35-44",IF(EmployeeData[[#This Row],[Age]]&lt;55,"45-54","55+"))))</f>
        <v>35-44</v>
      </c>
      <c r="AK1296" s="4" t="str">
        <f>IF(EmployeeData[[#This Row],[MonthlyIncome]]&lt;3000,"Below 3K",IF(EmployeeData[[#This Row],[MonthlyIncome]]&lt;6000,"3K-6K",IF(EmployeeData[[#This Row],[MonthlyIncome]]&lt;9000,"6K-9K",IF(EmployeeData[[#This Row],[MonthlyIncome]]&lt;12000,"9K-12K","12K+"))))</f>
        <v>6K-9K</v>
      </c>
    </row>
    <row r="1297" spans="1:37" x14ac:dyDescent="0.3">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c r="AJ1297" s="4" t="str">
        <f>IF(EmployeeData[[#This Row],[Age]]&lt;25,"Under 25",IF(EmployeeData[[#This Row],[Age]]&lt;35,"25-34",IF(EmployeeData[[#This Row],[Age]]&lt;45,"35-44",IF(EmployeeData[[#This Row],[Age]]&lt;55,"45-54","55+"))))</f>
        <v>35-44</v>
      </c>
      <c r="AK1297" s="4" t="str">
        <f>IF(EmployeeData[[#This Row],[MonthlyIncome]]&lt;3000,"Below 3K",IF(EmployeeData[[#This Row],[MonthlyIncome]]&lt;6000,"3K-6K",IF(EmployeeData[[#This Row],[MonthlyIncome]]&lt;9000,"6K-9K",IF(EmployeeData[[#This Row],[MonthlyIncome]]&lt;12000,"9K-12K","12K+"))))</f>
        <v>9K-12K</v>
      </c>
    </row>
    <row r="1298" spans="1:37" x14ac:dyDescent="0.3">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c r="AJ1298" s="4" t="str">
        <f>IF(EmployeeData[[#This Row],[Age]]&lt;25,"Under 25",IF(EmployeeData[[#This Row],[Age]]&lt;35,"25-34",IF(EmployeeData[[#This Row],[Age]]&lt;45,"35-44",IF(EmployeeData[[#This Row],[Age]]&lt;55,"45-54","55+"))))</f>
        <v>25-34</v>
      </c>
      <c r="AK1298" s="4" t="str">
        <f>IF(EmployeeData[[#This Row],[MonthlyIncome]]&lt;3000,"Below 3K",IF(EmployeeData[[#This Row],[MonthlyIncome]]&lt;6000,"3K-6K",IF(EmployeeData[[#This Row],[MonthlyIncome]]&lt;9000,"6K-9K",IF(EmployeeData[[#This Row],[MonthlyIncome]]&lt;12000,"9K-12K","12K+"))))</f>
        <v>9K-12K</v>
      </c>
    </row>
    <row r="1299" spans="1:37" x14ac:dyDescent="0.3">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c r="AJ1299" s="4" t="str">
        <f>IF(EmployeeData[[#This Row],[Age]]&lt;25,"Under 25",IF(EmployeeData[[#This Row],[Age]]&lt;35,"25-34",IF(EmployeeData[[#This Row],[Age]]&lt;45,"35-44",IF(EmployeeData[[#This Row],[Age]]&lt;55,"45-54","55+"))))</f>
        <v>25-34</v>
      </c>
      <c r="AK1299" s="4" t="str">
        <f>IF(EmployeeData[[#This Row],[MonthlyIncome]]&lt;3000,"Below 3K",IF(EmployeeData[[#This Row],[MonthlyIncome]]&lt;6000,"3K-6K",IF(EmployeeData[[#This Row],[MonthlyIncome]]&lt;9000,"6K-9K",IF(EmployeeData[[#This Row],[MonthlyIncome]]&lt;12000,"9K-12K","12K+"))))</f>
        <v>Below 3K</v>
      </c>
    </row>
    <row r="1300" spans="1:37" x14ac:dyDescent="0.3">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c r="AJ1300" s="4" t="str">
        <f>IF(EmployeeData[[#This Row],[Age]]&lt;25,"Under 25",IF(EmployeeData[[#This Row],[Age]]&lt;35,"25-34",IF(EmployeeData[[#This Row],[Age]]&lt;45,"35-44",IF(EmployeeData[[#This Row],[Age]]&lt;55,"45-54","55+"))))</f>
        <v>45-54</v>
      </c>
      <c r="AK1300" s="4" t="str">
        <f>IF(EmployeeData[[#This Row],[MonthlyIncome]]&lt;3000,"Below 3K",IF(EmployeeData[[#This Row],[MonthlyIncome]]&lt;6000,"3K-6K",IF(EmployeeData[[#This Row],[MonthlyIncome]]&lt;9000,"6K-9K",IF(EmployeeData[[#This Row],[MonthlyIncome]]&lt;12000,"9K-12K","12K+"))))</f>
        <v>6K-9K</v>
      </c>
    </row>
    <row r="1301" spans="1:37" x14ac:dyDescent="0.3">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c r="AJ1301" s="4" t="str">
        <f>IF(EmployeeData[[#This Row],[Age]]&lt;25,"Under 25",IF(EmployeeData[[#This Row],[Age]]&lt;35,"25-34",IF(EmployeeData[[#This Row],[Age]]&lt;45,"35-44",IF(EmployeeData[[#This Row],[Age]]&lt;55,"45-54","55+"))))</f>
        <v>35-44</v>
      </c>
      <c r="AK1301" s="4" t="str">
        <f>IF(EmployeeData[[#This Row],[MonthlyIncome]]&lt;3000,"Below 3K",IF(EmployeeData[[#This Row],[MonthlyIncome]]&lt;6000,"3K-6K",IF(EmployeeData[[#This Row],[MonthlyIncome]]&lt;9000,"6K-9K",IF(EmployeeData[[#This Row],[MonthlyIncome]]&lt;12000,"9K-12K","12K+"))))</f>
        <v>6K-9K</v>
      </c>
    </row>
    <row r="1302" spans="1:37" x14ac:dyDescent="0.3">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c r="AJ1302" s="4" t="str">
        <f>IF(EmployeeData[[#This Row],[Age]]&lt;25,"Under 25",IF(EmployeeData[[#This Row],[Age]]&lt;35,"25-34",IF(EmployeeData[[#This Row],[Age]]&lt;45,"35-44",IF(EmployeeData[[#This Row],[Age]]&lt;55,"45-54","55+"))))</f>
        <v>25-34</v>
      </c>
      <c r="AK1302" s="4" t="str">
        <f>IF(EmployeeData[[#This Row],[MonthlyIncome]]&lt;3000,"Below 3K",IF(EmployeeData[[#This Row],[MonthlyIncome]]&lt;6000,"3K-6K",IF(EmployeeData[[#This Row],[MonthlyIncome]]&lt;9000,"6K-9K",IF(EmployeeData[[#This Row],[MonthlyIncome]]&lt;12000,"9K-12K","12K+"))))</f>
        <v>6K-9K</v>
      </c>
    </row>
    <row r="1303" spans="1:37" x14ac:dyDescent="0.3">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c r="AJ1303" s="4" t="str">
        <f>IF(EmployeeData[[#This Row],[Age]]&lt;25,"Under 25",IF(EmployeeData[[#This Row],[Age]]&lt;35,"25-34",IF(EmployeeData[[#This Row],[Age]]&lt;45,"35-44",IF(EmployeeData[[#This Row],[Age]]&lt;55,"45-54","55+"))))</f>
        <v>55+</v>
      </c>
      <c r="AK1303" s="4" t="str">
        <f>IF(EmployeeData[[#This Row],[MonthlyIncome]]&lt;3000,"Below 3K",IF(EmployeeData[[#This Row],[MonthlyIncome]]&lt;6000,"3K-6K",IF(EmployeeData[[#This Row],[MonthlyIncome]]&lt;9000,"6K-9K",IF(EmployeeData[[#This Row],[MonthlyIncome]]&lt;12000,"9K-12K","12K+"))))</f>
        <v>12K+</v>
      </c>
    </row>
    <row r="1304" spans="1:37" x14ac:dyDescent="0.3">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c r="AJ1304" s="4" t="str">
        <f>IF(EmployeeData[[#This Row],[Age]]&lt;25,"Under 25",IF(EmployeeData[[#This Row],[Age]]&lt;35,"25-34",IF(EmployeeData[[#This Row],[Age]]&lt;45,"35-44",IF(EmployeeData[[#This Row],[Age]]&lt;55,"45-54","55+"))))</f>
        <v>35-44</v>
      </c>
      <c r="AK1304" s="4" t="str">
        <f>IF(EmployeeData[[#This Row],[MonthlyIncome]]&lt;3000,"Below 3K",IF(EmployeeData[[#This Row],[MonthlyIncome]]&lt;6000,"3K-6K",IF(EmployeeData[[#This Row],[MonthlyIncome]]&lt;9000,"6K-9K",IF(EmployeeData[[#This Row],[MonthlyIncome]]&lt;12000,"9K-12K","12K+"))))</f>
        <v>Below 3K</v>
      </c>
    </row>
    <row r="1305" spans="1:37" x14ac:dyDescent="0.3">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c r="AJ1305" s="4" t="str">
        <f>IF(EmployeeData[[#This Row],[Age]]&lt;25,"Under 25",IF(EmployeeData[[#This Row],[Age]]&lt;35,"25-34",IF(EmployeeData[[#This Row],[Age]]&lt;45,"35-44",IF(EmployeeData[[#This Row],[Age]]&lt;55,"45-54","55+"))))</f>
        <v>45-54</v>
      </c>
      <c r="AK1305" s="4" t="str">
        <f>IF(EmployeeData[[#This Row],[MonthlyIncome]]&lt;3000,"Below 3K",IF(EmployeeData[[#This Row],[MonthlyIncome]]&lt;6000,"3K-6K",IF(EmployeeData[[#This Row],[MonthlyIncome]]&lt;9000,"6K-9K",IF(EmployeeData[[#This Row],[MonthlyIncome]]&lt;12000,"9K-12K","12K+"))))</f>
        <v>9K-12K</v>
      </c>
    </row>
    <row r="1306" spans="1:37" x14ac:dyDescent="0.3">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c r="AJ1306" s="4" t="str">
        <f>IF(EmployeeData[[#This Row],[Age]]&lt;25,"Under 25",IF(EmployeeData[[#This Row],[Age]]&lt;35,"25-34",IF(EmployeeData[[#This Row],[Age]]&lt;45,"35-44",IF(EmployeeData[[#This Row],[Age]]&lt;55,"45-54","55+"))))</f>
        <v>35-44</v>
      </c>
      <c r="AK1306" s="4" t="str">
        <f>IF(EmployeeData[[#This Row],[MonthlyIncome]]&lt;3000,"Below 3K",IF(EmployeeData[[#This Row],[MonthlyIncome]]&lt;6000,"3K-6K",IF(EmployeeData[[#This Row],[MonthlyIncome]]&lt;9000,"6K-9K",IF(EmployeeData[[#This Row],[MonthlyIncome]]&lt;12000,"9K-12K","12K+"))))</f>
        <v>3K-6K</v>
      </c>
    </row>
    <row r="1307" spans="1:37" x14ac:dyDescent="0.3">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c r="AJ1307" s="4" t="str">
        <f>IF(EmployeeData[[#This Row],[Age]]&lt;25,"Under 25",IF(EmployeeData[[#This Row],[Age]]&lt;35,"25-34",IF(EmployeeData[[#This Row],[Age]]&lt;45,"35-44",IF(EmployeeData[[#This Row],[Age]]&lt;55,"45-54","55+"))))</f>
        <v>45-54</v>
      </c>
      <c r="AK1307" s="4" t="str">
        <f>IF(EmployeeData[[#This Row],[MonthlyIncome]]&lt;3000,"Below 3K",IF(EmployeeData[[#This Row],[MonthlyIncome]]&lt;6000,"3K-6K",IF(EmployeeData[[#This Row],[MonthlyIncome]]&lt;9000,"6K-9K",IF(EmployeeData[[#This Row],[MonthlyIncome]]&lt;12000,"9K-12K","12K+"))))</f>
        <v>6K-9K</v>
      </c>
    </row>
    <row r="1308" spans="1:37" x14ac:dyDescent="0.3">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c r="AJ1308" s="4" t="str">
        <f>IF(EmployeeData[[#This Row],[Age]]&lt;25,"Under 25",IF(EmployeeData[[#This Row],[Age]]&lt;35,"25-34",IF(EmployeeData[[#This Row],[Age]]&lt;45,"35-44",IF(EmployeeData[[#This Row],[Age]]&lt;55,"45-54","55+"))))</f>
        <v>25-34</v>
      </c>
      <c r="AK1308" s="4" t="str">
        <f>IF(EmployeeData[[#This Row],[MonthlyIncome]]&lt;3000,"Below 3K",IF(EmployeeData[[#This Row],[MonthlyIncome]]&lt;6000,"3K-6K",IF(EmployeeData[[#This Row],[MonthlyIncome]]&lt;9000,"6K-9K",IF(EmployeeData[[#This Row],[MonthlyIncome]]&lt;12000,"9K-12K","12K+"))))</f>
        <v>9K-12K</v>
      </c>
    </row>
    <row r="1309" spans="1:37" x14ac:dyDescent="0.3">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c r="AJ1309" s="4" t="str">
        <f>IF(EmployeeData[[#This Row],[Age]]&lt;25,"Under 25",IF(EmployeeData[[#This Row],[Age]]&lt;35,"25-34",IF(EmployeeData[[#This Row],[Age]]&lt;45,"35-44",IF(EmployeeData[[#This Row],[Age]]&lt;55,"45-54","55+"))))</f>
        <v>25-34</v>
      </c>
      <c r="AK1309" s="4" t="str">
        <f>IF(EmployeeData[[#This Row],[MonthlyIncome]]&lt;3000,"Below 3K",IF(EmployeeData[[#This Row],[MonthlyIncome]]&lt;6000,"3K-6K",IF(EmployeeData[[#This Row],[MonthlyIncome]]&lt;9000,"6K-9K",IF(EmployeeData[[#This Row],[MonthlyIncome]]&lt;12000,"9K-12K","12K+"))))</f>
        <v>3K-6K</v>
      </c>
    </row>
    <row r="1310" spans="1:37" x14ac:dyDescent="0.3">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c r="AJ1310" s="4" t="str">
        <f>IF(EmployeeData[[#This Row],[Age]]&lt;25,"Under 25",IF(EmployeeData[[#This Row],[Age]]&lt;35,"25-34",IF(EmployeeData[[#This Row],[Age]]&lt;45,"35-44",IF(EmployeeData[[#This Row],[Age]]&lt;55,"45-54","55+"))))</f>
        <v>35-44</v>
      </c>
      <c r="AK1310" s="4" t="str">
        <f>IF(EmployeeData[[#This Row],[MonthlyIncome]]&lt;3000,"Below 3K",IF(EmployeeData[[#This Row],[MonthlyIncome]]&lt;6000,"3K-6K",IF(EmployeeData[[#This Row],[MonthlyIncome]]&lt;9000,"6K-9K",IF(EmployeeData[[#This Row],[MonthlyIncome]]&lt;12000,"9K-12K","12K+"))))</f>
        <v>3K-6K</v>
      </c>
    </row>
    <row r="1311" spans="1:37" x14ac:dyDescent="0.3">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c r="AJ1311" s="4" t="str">
        <f>IF(EmployeeData[[#This Row],[Age]]&lt;25,"Under 25",IF(EmployeeData[[#This Row],[Age]]&lt;35,"25-34",IF(EmployeeData[[#This Row],[Age]]&lt;45,"35-44",IF(EmployeeData[[#This Row],[Age]]&lt;55,"45-54","55+"))))</f>
        <v>25-34</v>
      </c>
      <c r="AK1311" s="4" t="str">
        <f>IF(EmployeeData[[#This Row],[MonthlyIncome]]&lt;3000,"Below 3K",IF(EmployeeData[[#This Row],[MonthlyIncome]]&lt;6000,"3K-6K",IF(EmployeeData[[#This Row],[MonthlyIncome]]&lt;9000,"6K-9K",IF(EmployeeData[[#This Row],[MonthlyIncome]]&lt;12000,"9K-12K","12K+"))))</f>
        <v>3K-6K</v>
      </c>
    </row>
    <row r="1312" spans="1:37" x14ac:dyDescent="0.3">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c r="AJ1312" s="4" t="str">
        <f>IF(EmployeeData[[#This Row],[Age]]&lt;25,"Under 25",IF(EmployeeData[[#This Row],[Age]]&lt;35,"25-34",IF(EmployeeData[[#This Row],[Age]]&lt;45,"35-44",IF(EmployeeData[[#This Row],[Age]]&lt;55,"45-54","55+"))))</f>
        <v>55+</v>
      </c>
      <c r="AK1312" s="4" t="str">
        <f>IF(EmployeeData[[#This Row],[MonthlyIncome]]&lt;3000,"Below 3K",IF(EmployeeData[[#This Row],[MonthlyIncome]]&lt;6000,"3K-6K",IF(EmployeeData[[#This Row],[MonthlyIncome]]&lt;9000,"6K-9K",IF(EmployeeData[[#This Row],[MonthlyIncome]]&lt;12000,"9K-12K","12K+"))))</f>
        <v>12K+</v>
      </c>
    </row>
    <row r="1313" spans="1:37" x14ac:dyDescent="0.3">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c r="AJ1313" s="4" t="str">
        <f>IF(EmployeeData[[#This Row],[Age]]&lt;25,"Under 25",IF(EmployeeData[[#This Row],[Age]]&lt;35,"25-34",IF(EmployeeData[[#This Row],[Age]]&lt;45,"35-44",IF(EmployeeData[[#This Row],[Age]]&lt;55,"45-54","55+"))))</f>
        <v>Under 25</v>
      </c>
      <c r="AK1313" s="4" t="str">
        <f>IF(EmployeeData[[#This Row],[MonthlyIncome]]&lt;3000,"Below 3K",IF(EmployeeData[[#This Row],[MonthlyIncome]]&lt;6000,"3K-6K",IF(EmployeeData[[#This Row],[MonthlyIncome]]&lt;9000,"6K-9K",IF(EmployeeData[[#This Row],[MonthlyIncome]]&lt;12000,"9K-12K","12K+"))))</f>
        <v>Below 3K</v>
      </c>
    </row>
    <row r="1314" spans="1:37" x14ac:dyDescent="0.3">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c r="AJ1314" s="4" t="str">
        <f>IF(EmployeeData[[#This Row],[Age]]&lt;25,"Under 25",IF(EmployeeData[[#This Row],[Age]]&lt;35,"25-34",IF(EmployeeData[[#This Row],[Age]]&lt;45,"35-44",IF(EmployeeData[[#This Row],[Age]]&lt;55,"45-54","55+"))))</f>
        <v>25-34</v>
      </c>
      <c r="AK1314" s="4" t="str">
        <f>IF(EmployeeData[[#This Row],[MonthlyIncome]]&lt;3000,"Below 3K",IF(EmployeeData[[#This Row],[MonthlyIncome]]&lt;6000,"3K-6K",IF(EmployeeData[[#This Row],[MonthlyIncome]]&lt;9000,"6K-9K",IF(EmployeeData[[#This Row],[MonthlyIncome]]&lt;12000,"9K-12K","12K+"))))</f>
        <v>Below 3K</v>
      </c>
    </row>
    <row r="1315" spans="1:37" x14ac:dyDescent="0.3">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c r="AJ1315" s="4" t="str">
        <f>IF(EmployeeData[[#This Row],[Age]]&lt;25,"Under 25",IF(EmployeeData[[#This Row],[Age]]&lt;35,"25-34",IF(EmployeeData[[#This Row],[Age]]&lt;45,"35-44",IF(EmployeeData[[#This Row],[Age]]&lt;55,"45-54","55+"))))</f>
        <v>25-34</v>
      </c>
      <c r="AK1315" s="4" t="str">
        <f>IF(EmployeeData[[#This Row],[MonthlyIncome]]&lt;3000,"Below 3K",IF(EmployeeData[[#This Row],[MonthlyIncome]]&lt;6000,"3K-6K",IF(EmployeeData[[#This Row],[MonthlyIncome]]&lt;9000,"6K-9K",IF(EmployeeData[[#This Row],[MonthlyIncome]]&lt;12000,"9K-12K","12K+"))))</f>
        <v>Below 3K</v>
      </c>
    </row>
    <row r="1316" spans="1:37" x14ac:dyDescent="0.3">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c r="AJ1316" s="4" t="str">
        <f>IF(EmployeeData[[#This Row],[Age]]&lt;25,"Under 25",IF(EmployeeData[[#This Row],[Age]]&lt;35,"25-34",IF(EmployeeData[[#This Row],[Age]]&lt;45,"35-44",IF(EmployeeData[[#This Row],[Age]]&lt;55,"45-54","55+"))))</f>
        <v>45-54</v>
      </c>
      <c r="AK1316" s="4" t="str">
        <f>IF(EmployeeData[[#This Row],[MonthlyIncome]]&lt;3000,"Below 3K",IF(EmployeeData[[#This Row],[MonthlyIncome]]&lt;6000,"3K-6K",IF(EmployeeData[[#This Row],[MonthlyIncome]]&lt;9000,"6K-9K",IF(EmployeeData[[#This Row],[MonthlyIncome]]&lt;12000,"9K-12K","12K+"))))</f>
        <v>3K-6K</v>
      </c>
    </row>
    <row r="1317" spans="1:37" x14ac:dyDescent="0.3">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c r="AJ1317" s="4" t="str">
        <f>IF(EmployeeData[[#This Row],[Age]]&lt;25,"Under 25",IF(EmployeeData[[#This Row],[Age]]&lt;35,"25-34",IF(EmployeeData[[#This Row],[Age]]&lt;45,"35-44",IF(EmployeeData[[#This Row],[Age]]&lt;55,"45-54","55+"))))</f>
        <v>35-44</v>
      </c>
      <c r="AK1317" s="4" t="str">
        <f>IF(EmployeeData[[#This Row],[MonthlyIncome]]&lt;3000,"Below 3K",IF(EmployeeData[[#This Row],[MonthlyIncome]]&lt;6000,"3K-6K",IF(EmployeeData[[#This Row],[MonthlyIncome]]&lt;9000,"6K-9K",IF(EmployeeData[[#This Row],[MonthlyIncome]]&lt;12000,"9K-12K","12K+"))))</f>
        <v>6K-9K</v>
      </c>
    </row>
    <row r="1318" spans="1:37" x14ac:dyDescent="0.3">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c r="AJ1318" s="4" t="str">
        <f>IF(EmployeeData[[#This Row],[Age]]&lt;25,"Under 25",IF(EmployeeData[[#This Row],[Age]]&lt;35,"25-34",IF(EmployeeData[[#This Row],[Age]]&lt;45,"35-44",IF(EmployeeData[[#This Row],[Age]]&lt;55,"45-54","55+"))))</f>
        <v>35-44</v>
      </c>
      <c r="AK1318" s="4" t="str">
        <f>IF(EmployeeData[[#This Row],[MonthlyIncome]]&lt;3000,"Below 3K",IF(EmployeeData[[#This Row],[MonthlyIncome]]&lt;6000,"3K-6K",IF(EmployeeData[[#This Row],[MonthlyIncome]]&lt;9000,"6K-9K",IF(EmployeeData[[#This Row],[MonthlyIncome]]&lt;12000,"9K-12K","12K+"))))</f>
        <v>3K-6K</v>
      </c>
    </row>
    <row r="1319" spans="1:37" x14ac:dyDescent="0.3">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c r="AJ1319" s="4" t="str">
        <f>IF(EmployeeData[[#This Row],[Age]]&lt;25,"Under 25",IF(EmployeeData[[#This Row],[Age]]&lt;35,"25-34",IF(EmployeeData[[#This Row],[Age]]&lt;45,"35-44",IF(EmployeeData[[#This Row],[Age]]&lt;55,"45-54","55+"))))</f>
        <v>25-34</v>
      </c>
      <c r="AK1319" s="4" t="str">
        <f>IF(EmployeeData[[#This Row],[MonthlyIncome]]&lt;3000,"Below 3K",IF(EmployeeData[[#This Row],[MonthlyIncome]]&lt;6000,"3K-6K",IF(EmployeeData[[#This Row],[MonthlyIncome]]&lt;9000,"6K-9K",IF(EmployeeData[[#This Row],[MonthlyIncome]]&lt;12000,"9K-12K","12K+"))))</f>
        <v>Below 3K</v>
      </c>
    </row>
    <row r="1320" spans="1:37" x14ac:dyDescent="0.3">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c r="AJ1320" s="4" t="str">
        <f>IF(EmployeeData[[#This Row],[Age]]&lt;25,"Under 25",IF(EmployeeData[[#This Row],[Age]]&lt;35,"25-34",IF(EmployeeData[[#This Row],[Age]]&lt;45,"35-44",IF(EmployeeData[[#This Row],[Age]]&lt;55,"45-54","55+"))))</f>
        <v>25-34</v>
      </c>
      <c r="AK1320" s="4" t="str">
        <f>IF(EmployeeData[[#This Row],[MonthlyIncome]]&lt;3000,"Below 3K",IF(EmployeeData[[#This Row],[MonthlyIncome]]&lt;6000,"3K-6K",IF(EmployeeData[[#This Row],[MonthlyIncome]]&lt;9000,"6K-9K",IF(EmployeeData[[#This Row],[MonthlyIncome]]&lt;12000,"9K-12K","12K+"))))</f>
        <v>3K-6K</v>
      </c>
    </row>
    <row r="1321" spans="1:37" x14ac:dyDescent="0.3">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c r="AJ1321" s="4" t="str">
        <f>IF(EmployeeData[[#This Row],[Age]]&lt;25,"Under 25",IF(EmployeeData[[#This Row],[Age]]&lt;35,"25-34",IF(EmployeeData[[#This Row],[Age]]&lt;45,"35-44",IF(EmployeeData[[#This Row],[Age]]&lt;55,"45-54","55+"))))</f>
        <v>25-34</v>
      </c>
      <c r="AK1321" s="4" t="str">
        <f>IF(EmployeeData[[#This Row],[MonthlyIncome]]&lt;3000,"Below 3K",IF(EmployeeData[[#This Row],[MonthlyIncome]]&lt;6000,"3K-6K",IF(EmployeeData[[#This Row],[MonthlyIncome]]&lt;9000,"6K-9K",IF(EmployeeData[[#This Row],[MonthlyIncome]]&lt;12000,"9K-12K","12K+"))))</f>
        <v>3K-6K</v>
      </c>
    </row>
    <row r="1322" spans="1:37" x14ac:dyDescent="0.3">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c r="AJ1322" s="4" t="str">
        <f>IF(EmployeeData[[#This Row],[Age]]&lt;25,"Under 25",IF(EmployeeData[[#This Row],[Age]]&lt;35,"25-34",IF(EmployeeData[[#This Row],[Age]]&lt;45,"35-44",IF(EmployeeData[[#This Row],[Age]]&lt;55,"45-54","55+"))))</f>
        <v>35-44</v>
      </c>
      <c r="AK1322" s="4" t="str">
        <f>IF(EmployeeData[[#This Row],[MonthlyIncome]]&lt;3000,"Below 3K",IF(EmployeeData[[#This Row],[MonthlyIncome]]&lt;6000,"3K-6K",IF(EmployeeData[[#This Row],[MonthlyIncome]]&lt;9000,"6K-9K",IF(EmployeeData[[#This Row],[MonthlyIncome]]&lt;12000,"9K-12K","12K+"))))</f>
        <v>Below 3K</v>
      </c>
    </row>
    <row r="1323" spans="1:37" x14ac:dyDescent="0.3">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c r="AJ1323" s="4" t="str">
        <f>IF(EmployeeData[[#This Row],[Age]]&lt;25,"Under 25",IF(EmployeeData[[#This Row],[Age]]&lt;35,"25-34",IF(EmployeeData[[#This Row],[Age]]&lt;45,"35-44",IF(EmployeeData[[#This Row],[Age]]&lt;55,"45-54","55+"))))</f>
        <v>45-54</v>
      </c>
      <c r="AK1323" s="4" t="str">
        <f>IF(EmployeeData[[#This Row],[MonthlyIncome]]&lt;3000,"Below 3K",IF(EmployeeData[[#This Row],[MonthlyIncome]]&lt;6000,"3K-6K",IF(EmployeeData[[#This Row],[MonthlyIncome]]&lt;9000,"6K-9K",IF(EmployeeData[[#This Row],[MonthlyIncome]]&lt;12000,"9K-12K","12K+"))))</f>
        <v>Below 3K</v>
      </c>
    </row>
    <row r="1324" spans="1:37" x14ac:dyDescent="0.3">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c r="AJ1324" s="4" t="str">
        <f>IF(EmployeeData[[#This Row],[Age]]&lt;25,"Under 25",IF(EmployeeData[[#This Row],[Age]]&lt;35,"25-34",IF(EmployeeData[[#This Row],[Age]]&lt;45,"35-44",IF(EmployeeData[[#This Row],[Age]]&lt;55,"45-54","55+"))))</f>
        <v>45-54</v>
      </c>
      <c r="AK1324" s="4" t="str">
        <f>IF(EmployeeData[[#This Row],[MonthlyIncome]]&lt;3000,"Below 3K",IF(EmployeeData[[#This Row],[MonthlyIncome]]&lt;6000,"3K-6K",IF(EmployeeData[[#This Row],[MonthlyIncome]]&lt;9000,"6K-9K",IF(EmployeeData[[#This Row],[MonthlyIncome]]&lt;12000,"9K-12K","12K+"))))</f>
        <v>6K-9K</v>
      </c>
    </row>
    <row r="1325" spans="1:37" x14ac:dyDescent="0.3">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c r="AJ1325" s="4" t="str">
        <f>IF(EmployeeData[[#This Row],[Age]]&lt;25,"Under 25",IF(EmployeeData[[#This Row],[Age]]&lt;35,"25-34",IF(EmployeeData[[#This Row],[Age]]&lt;45,"35-44",IF(EmployeeData[[#This Row],[Age]]&lt;55,"45-54","55+"))))</f>
        <v>25-34</v>
      </c>
      <c r="AK1325" s="4" t="str">
        <f>IF(EmployeeData[[#This Row],[MonthlyIncome]]&lt;3000,"Below 3K",IF(EmployeeData[[#This Row],[MonthlyIncome]]&lt;6000,"3K-6K",IF(EmployeeData[[#This Row],[MonthlyIncome]]&lt;9000,"6K-9K",IF(EmployeeData[[#This Row],[MonthlyIncome]]&lt;12000,"9K-12K","12K+"))))</f>
        <v>Below 3K</v>
      </c>
    </row>
    <row r="1326" spans="1:37" x14ac:dyDescent="0.3">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c r="AJ1326" s="4" t="str">
        <f>IF(EmployeeData[[#This Row],[Age]]&lt;25,"Under 25",IF(EmployeeData[[#This Row],[Age]]&lt;35,"25-34",IF(EmployeeData[[#This Row],[Age]]&lt;45,"35-44",IF(EmployeeData[[#This Row],[Age]]&lt;55,"45-54","55+"))))</f>
        <v>25-34</v>
      </c>
      <c r="AK1326" s="4" t="str">
        <f>IF(EmployeeData[[#This Row],[MonthlyIncome]]&lt;3000,"Below 3K",IF(EmployeeData[[#This Row],[MonthlyIncome]]&lt;6000,"3K-6K",IF(EmployeeData[[#This Row],[MonthlyIncome]]&lt;9000,"6K-9K",IF(EmployeeData[[#This Row],[MonthlyIncome]]&lt;12000,"9K-12K","12K+"))))</f>
        <v>6K-9K</v>
      </c>
    </row>
    <row r="1327" spans="1:37" x14ac:dyDescent="0.3">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c r="AJ1327" s="4" t="str">
        <f>IF(EmployeeData[[#This Row],[Age]]&lt;25,"Under 25",IF(EmployeeData[[#This Row],[Age]]&lt;35,"25-34",IF(EmployeeData[[#This Row],[Age]]&lt;45,"35-44",IF(EmployeeData[[#This Row],[Age]]&lt;55,"45-54","55+"))))</f>
        <v>35-44</v>
      </c>
      <c r="AK1327" s="4" t="str">
        <f>IF(EmployeeData[[#This Row],[MonthlyIncome]]&lt;3000,"Below 3K",IF(EmployeeData[[#This Row],[MonthlyIncome]]&lt;6000,"3K-6K",IF(EmployeeData[[#This Row],[MonthlyIncome]]&lt;9000,"6K-9K",IF(EmployeeData[[#This Row],[MonthlyIncome]]&lt;12000,"9K-12K","12K+"))))</f>
        <v>3K-6K</v>
      </c>
    </row>
    <row r="1328" spans="1:37" x14ac:dyDescent="0.3">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c r="AJ1328" s="4" t="str">
        <f>IF(EmployeeData[[#This Row],[Age]]&lt;25,"Under 25",IF(EmployeeData[[#This Row],[Age]]&lt;35,"25-34",IF(EmployeeData[[#This Row],[Age]]&lt;45,"35-44",IF(EmployeeData[[#This Row],[Age]]&lt;55,"45-54","55+"))))</f>
        <v>25-34</v>
      </c>
      <c r="AK1328" s="4" t="str">
        <f>IF(EmployeeData[[#This Row],[MonthlyIncome]]&lt;3000,"Below 3K",IF(EmployeeData[[#This Row],[MonthlyIncome]]&lt;6000,"3K-6K",IF(EmployeeData[[#This Row],[MonthlyIncome]]&lt;9000,"6K-9K",IF(EmployeeData[[#This Row],[MonthlyIncome]]&lt;12000,"9K-12K","12K+"))))</f>
        <v>9K-12K</v>
      </c>
    </row>
    <row r="1329" spans="1:37" x14ac:dyDescent="0.3">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c r="AJ1329" s="4" t="str">
        <f>IF(EmployeeData[[#This Row],[Age]]&lt;25,"Under 25",IF(EmployeeData[[#This Row],[Age]]&lt;35,"25-34",IF(EmployeeData[[#This Row],[Age]]&lt;45,"35-44",IF(EmployeeData[[#This Row],[Age]]&lt;55,"45-54","55+"))))</f>
        <v>45-54</v>
      </c>
      <c r="AK1329" s="4" t="str">
        <f>IF(EmployeeData[[#This Row],[MonthlyIncome]]&lt;3000,"Below 3K",IF(EmployeeData[[#This Row],[MonthlyIncome]]&lt;6000,"3K-6K",IF(EmployeeData[[#This Row],[MonthlyIncome]]&lt;9000,"6K-9K",IF(EmployeeData[[#This Row],[MonthlyIncome]]&lt;12000,"9K-12K","12K+"))))</f>
        <v>12K+</v>
      </c>
    </row>
    <row r="1330" spans="1:37" x14ac:dyDescent="0.3">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c r="AJ1330" s="4" t="str">
        <f>IF(EmployeeData[[#This Row],[Age]]&lt;25,"Under 25",IF(EmployeeData[[#This Row],[Age]]&lt;35,"25-34",IF(EmployeeData[[#This Row],[Age]]&lt;45,"35-44",IF(EmployeeData[[#This Row],[Age]]&lt;55,"45-54","55+"))))</f>
        <v>25-34</v>
      </c>
      <c r="AK1330" s="4" t="str">
        <f>IF(EmployeeData[[#This Row],[MonthlyIncome]]&lt;3000,"Below 3K",IF(EmployeeData[[#This Row],[MonthlyIncome]]&lt;6000,"3K-6K",IF(EmployeeData[[#This Row],[MonthlyIncome]]&lt;9000,"6K-9K",IF(EmployeeData[[#This Row],[MonthlyIncome]]&lt;12000,"9K-12K","12K+"))))</f>
        <v>3K-6K</v>
      </c>
    </row>
    <row r="1331" spans="1:37" x14ac:dyDescent="0.3">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c r="AJ1331" s="4" t="str">
        <f>IF(EmployeeData[[#This Row],[Age]]&lt;25,"Under 25",IF(EmployeeData[[#This Row],[Age]]&lt;35,"25-34",IF(EmployeeData[[#This Row],[Age]]&lt;45,"35-44",IF(EmployeeData[[#This Row],[Age]]&lt;55,"45-54","55+"))))</f>
        <v>25-34</v>
      </c>
      <c r="AK1331" s="4" t="str">
        <f>IF(EmployeeData[[#This Row],[MonthlyIncome]]&lt;3000,"Below 3K",IF(EmployeeData[[#This Row],[MonthlyIncome]]&lt;6000,"3K-6K",IF(EmployeeData[[#This Row],[MonthlyIncome]]&lt;9000,"6K-9K",IF(EmployeeData[[#This Row],[MonthlyIncome]]&lt;12000,"9K-12K","12K+"))))</f>
        <v>Below 3K</v>
      </c>
    </row>
    <row r="1332" spans="1:37" x14ac:dyDescent="0.3">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c r="AJ1332" s="4" t="str">
        <f>IF(EmployeeData[[#This Row],[Age]]&lt;25,"Under 25",IF(EmployeeData[[#This Row],[Age]]&lt;35,"25-34",IF(EmployeeData[[#This Row],[Age]]&lt;45,"35-44",IF(EmployeeData[[#This Row],[Age]]&lt;55,"45-54","55+"))))</f>
        <v>35-44</v>
      </c>
      <c r="AK1332" s="4" t="str">
        <f>IF(EmployeeData[[#This Row],[MonthlyIncome]]&lt;3000,"Below 3K",IF(EmployeeData[[#This Row],[MonthlyIncome]]&lt;6000,"3K-6K",IF(EmployeeData[[#This Row],[MonthlyIncome]]&lt;9000,"6K-9K",IF(EmployeeData[[#This Row],[MonthlyIncome]]&lt;12000,"9K-12K","12K+"))))</f>
        <v>12K+</v>
      </c>
    </row>
    <row r="1333" spans="1:37" x14ac:dyDescent="0.3">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c r="AJ1333" s="4" t="str">
        <f>IF(EmployeeData[[#This Row],[Age]]&lt;25,"Under 25",IF(EmployeeData[[#This Row],[Age]]&lt;35,"25-34",IF(EmployeeData[[#This Row],[Age]]&lt;45,"35-44",IF(EmployeeData[[#This Row],[Age]]&lt;55,"45-54","55+"))))</f>
        <v>45-54</v>
      </c>
      <c r="AK1333" s="4" t="str">
        <f>IF(EmployeeData[[#This Row],[MonthlyIncome]]&lt;3000,"Below 3K",IF(EmployeeData[[#This Row],[MonthlyIncome]]&lt;6000,"3K-6K",IF(EmployeeData[[#This Row],[MonthlyIncome]]&lt;9000,"6K-9K",IF(EmployeeData[[#This Row],[MonthlyIncome]]&lt;12000,"9K-12K","12K+"))))</f>
        <v>12K+</v>
      </c>
    </row>
    <row r="1334" spans="1:37" x14ac:dyDescent="0.3">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c r="AJ1334" s="4" t="str">
        <f>IF(EmployeeData[[#This Row],[Age]]&lt;25,"Under 25",IF(EmployeeData[[#This Row],[Age]]&lt;35,"25-34",IF(EmployeeData[[#This Row],[Age]]&lt;45,"35-44",IF(EmployeeData[[#This Row],[Age]]&lt;55,"45-54","55+"))))</f>
        <v>25-34</v>
      </c>
      <c r="AK1334" s="4" t="str">
        <f>IF(EmployeeData[[#This Row],[MonthlyIncome]]&lt;3000,"Below 3K",IF(EmployeeData[[#This Row],[MonthlyIncome]]&lt;6000,"3K-6K",IF(EmployeeData[[#This Row],[MonthlyIncome]]&lt;9000,"6K-9K",IF(EmployeeData[[#This Row],[MonthlyIncome]]&lt;12000,"9K-12K","12K+"))))</f>
        <v>Below 3K</v>
      </c>
    </row>
    <row r="1335" spans="1:37"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c r="AJ1335" s="4" t="str">
        <f>IF(EmployeeData[[#This Row],[Age]]&lt;25,"Under 25",IF(EmployeeData[[#This Row],[Age]]&lt;35,"25-34",IF(EmployeeData[[#This Row],[Age]]&lt;45,"35-44",IF(EmployeeData[[#This Row],[Age]]&lt;55,"45-54","55+"))))</f>
        <v>45-54</v>
      </c>
      <c r="AK1335" s="4" t="str">
        <f>IF(EmployeeData[[#This Row],[MonthlyIncome]]&lt;3000,"Below 3K",IF(EmployeeData[[#This Row],[MonthlyIncome]]&lt;6000,"3K-6K",IF(EmployeeData[[#This Row],[MonthlyIncome]]&lt;9000,"6K-9K",IF(EmployeeData[[#This Row],[MonthlyIncome]]&lt;12000,"9K-12K","12K+"))))</f>
        <v>6K-9K</v>
      </c>
    </row>
    <row r="1336" spans="1:37" x14ac:dyDescent="0.3">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c r="AJ1336" s="4" t="str">
        <f>IF(EmployeeData[[#This Row],[Age]]&lt;25,"Under 25",IF(EmployeeData[[#This Row],[Age]]&lt;35,"25-34",IF(EmployeeData[[#This Row],[Age]]&lt;45,"35-44",IF(EmployeeData[[#This Row],[Age]]&lt;55,"45-54","55+"))))</f>
        <v>25-34</v>
      </c>
      <c r="AK1336" s="4" t="str">
        <f>IF(EmployeeData[[#This Row],[MonthlyIncome]]&lt;3000,"Below 3K",IF(EmployeeData[[#This Row],[MonthlyIncome]]&lt;6000,"3K-6K",IF(EmployeeData[[#This Row],[MonthlyIncome]]&lt;9000,"6K-9K",IF(EmployeeData[[#This Row],[MonthlyIncome]]&lt;12000,"9K-12K","12K+"))))</f>
        <v>3K-6K</v>
      </c>
    </row>
    <row r="1337" spans="1:37" x14ac:dyDescent="0.3">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c r="AJ1337" s="4" t="str">
        <f>IF(EmployeeData[[#This Row],[Age]]&lt;25,"Under 25",IF(EmployeeData[[#This Row],[Age]]&lt;35,"25-34",IF(EmployeeData[[#This Row],[Age]]&lt;45,"35-44",IF(EmployeeData[[#This Row],[Age]]&lt;55,"45-54","55+"))))</f>
        <v>35-44</v>
      </c>
      <c r="AK1337" s="4" t="str">
        <f>IF(EmployeeData[[#This Row],[MonthlyIncome]]&lt;3000,"Below 3K",IF(EmployeeData[[#This Row],[MonthlyIncome]]&lt;6000,"3K-6K",IF(EmployeeData[[#This Row],[MonthlyIncome]]&lt;9000,"6K-9K",IF(EmployeeData[[#This Row],[MonthlyIncome]]&lt;12000,"9K-12K","12K+"))))</f>
        <v>3K-6K</v>
      </c>
    </row>
    <row r="1338" spans="1:37" x14ac:dyDescent="0.3">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c r="AJ1338" s="4" t="str">
        <f>IF(EmployeeData[[#This Row],[Age]]&lt;25,"Under 25",IF(EmployeeData[[#This Row],[Age]]&lt;35,"25-34",IF(EmployeeData[[#This Row],[Age]]&lt;45,"35-44",IF(EmployeeData[[#This Row],[Age]]&lt;55,"45-54","55+"))))</f>
        <v>55+</v>
      </c>
      <c r="AK1338" s="4" t="str">
        <f>IF(EmployeeData[[#This Row],[MonthlyIncome]]&lt;3000,"Below 3K",IF(EmployeeData[[#This Row],[MonthlyIncome]]&lt;6000,"3K-6K",IF(EmployeeData[[#This Row],[MonthlyIncome]]&lt;9000,"6K-9K",IF(EmployeeData[[#This Row],[MonthlyIncome]]&lt;12000,"9K-12K","12K+"))))</f>
        <v>Below 3K</v>
      </c>
    </row>
    <row r="1339" spans="1:37" x14ac:dyDescent="0.3">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c r="AJ1339" s="4" t="str">
        <f>IF(EmployeeData[[#This Row],[Age]]&lt;25,"Under 25",IF(EmployeeData[[#This Row],[Age]]&lt;35,"25-34",IF(EmployeeData[[#This Row],[Age]]&lt;45,"35-44",IF(EmployeeData[[#This Row],[Age]]&lt;55,"45-54","55+"))))</f>
        <v>25-34</v>
      </c>
      <c r="AK1339" s="4" t="str">
        <f>IF(EmployeeData[[#This Row],[MonthlyIncome]]&lt;3000,"Below 3K",IF(EmployeeData[[#This Row],[MonthlyIncome]]&lt;6000,"3K-6K",IF(EmployeeData[[#This Row],[MonthlyIncome]]&lt;9000,"6K-9K",IF(EmployeeData[[#This Row],[MonthlyIncome]]&lt;12000,"9K-12K","12K+"))))</f>
        <v>Below 3K</v>
      </c>
    </row>
    <row r="1340" spans="1:37" x14ac:dyDescent="0.3">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c r="AJ1340" s="4" t="str">
        <f>IF(EmployeeData[[#This Row],[Age]]&lt;25,"Under 25",IF(EmployeeData[[#This Row],[Age]]&lt;35,"25-34",IF(EmployeeData[[#This Row],[Age]]&lt;45,"35-44",IF(EmployeeData[[#This Row],[Age]]&lt;55,"45-54","55+"))))</f>
        <v>25-34</v>
      </c>
      <c r="AK1340" s="4" t="str">
        <f>IF(EmployeeData[[#This Row],[MonthlyIncome]]&lt;3000,"Below 3K",IF(EmployeeData[[#This Row],[MonthlyIncome]]&lt;6000,"3K-6K",IF(EmployeeData[[#This Row],[MonthlyIncome]]&lt;9000,"6K-9K",IF(EmployeeData[[#This Row],[MonthlyIncome]]&lt;12000,"9K-12K","12K+"))))</f>
        <v>Below 3K</v>
      </c>
    </row>
    <row r="1341" spans="1:37" x14ac:dyDescent="0.3">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c r="AJ1341" s="4" t="str">
        <f>IF(EmployeeData[[#This Row],[Age]]&lt;25,"Under 25",IF(EmployeeData[[#This Row],[Age]]&lt;35,"25-34",IF(EmployeeData[[#This Row],[Age]]&lt;45,"35-44",IF(EmployeeData[[#This Row],[Age]]&lt;55,"45-54","55+"))))</f>
        <v>Under 25</v>
      </c>
      <c r="AK1341" s="4" t="str">
        <f>IF(EmployeeData[[#This Row],[MonthlyIncome]]&lt;3000,"Below 3K",IF(EmployeeData[[#This Row],[MonthlyIncome]]&lt;6000,"3K-6K",IF(EmployeeData[[#This Row],[MonthlyIncome]]&lt;9000,"6K-9K",IF(EmployeeData[[#This Row],[MonthlyIncome]]&lt;12000,"9K-12K","12K+"))))</f>
        <v>Below 3K</v>
      </c>
    </row>
    <row r="1342" spans="1:37" x14ac:dyDescent="0.3">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c r="AJ1342" s="4" t="str">
        <f>IF(EmployeeData[[#This Row],[Age]]&lt;25,"Under 25",IF(EmployeeData[[#This Row],[Age]]&lt;35,"25-34",IF(EmployeeData[[#This Row],[Age]]&lt;45,"35-44",IF(EmployeeData[[#This Row],[Age]]&lt;55,"45-54","55+"))))</f>
        <v>35-44</v>
      </c>
      <c r="AK1342" s="4" t="str">
        <f>IF(EmployeeData[[#This Row],[MonthlyIncome]]&lt;3000,"Below 3K",IF(EmployeeData[[#This Row],[MonthlyIncome]]&lt;6000,"3K-6K",IF(EmployeeData[[#This Row],[MonthlyIncome]]&lt;9000,"6K-9K",IF(EmployeeData[[#This Row],[MonthlyIncome]]&lt;12000,"9K-12K","12K+"))))</f>
        <v>3K-6K</v>
      </c>
    </row>
    <row r="1343" spans="1:37" x14ac:dyDescent="0.3">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c r="AJ1343" s="4" t="str">
        <f>IF(EmployeeData[[#This Row],[Age]]&lt;25,"Under 25",IF(EmployeeData[[#This Row],[Age]]&lt;35,"25-34",IF(EmployeeData[[#This Row],[Age]]&lt;45,"35-44",IF(EmployeeData[[#This Row],[Age]]&lt;55,"45-54","55+"))))</f>
        <v>25-34</v>
      </c>
      <c r="AK1343" s="4" t="str">
        <f>IF(EmployeeData[[#This Row],[MonthlyIncome]]&lt;3000,"Below 3K",IF(EmployeeData[[#This Row],[MonthlyIncome]]&lt;6000,"3K-6K",IF(EmployeeData[[#This Row],[MonthlyIncome]]&lt;9000,"6K-9K",IF(EmployeeData[[#This Row],[MonthlyIncome]]&lt;12000,"9K-12K","12K+"))))</f>
        <v>3K-6K</v>
      </c>
    </row>
    <row r="1344" spans="1:37" x14ac:dyDescent="0.3">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c r="AJ1344" s="4" t="str">
        <f>IF(EmployeeData[[#This Row],[Age]]&lt;25,"Under 25",IF(EmployeeData[[#This Row],[Age]]&lt;35,"25-34",IF(EmployeeData[[#This Row],[Age]]&lt;45,"35-44",IF(EmployeeData[[#This Row],[Age]]&lt;55,"45-54","55+"))))</f>
        <v>25-34</v>
      </c>
      <c r="AK1344" s="4" t="str">
        <f>IF(EmployeeData[[#This Row],[MonthlyIncome]]&lt;3000,"Below 3K",IF(EmployeeData[[#This Row],[MonthlyIncome]]&lt;6000,"3K-6K",IF(EmployeeData[[#This Row],[MonthlyIncome]]&lt;9000,"6K-9K",IF(EmployeeData[[#This Row],[MonthlyIncome]]&lt;12000,"9K-12K","12K+"))))</f>
        <v>9K-12K</v>
      </c>
    </row>
    <row r="1345" spans="1:37" x14ac:dyDescent="0.3">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c r="AJ1345" s="4" t="str">
        <f>IF(EmployeeData[[#This Row],[Age]]&lt;25,"Under 25",IF(EmployeeData[[#This Row],[Age]]&lt;35,"25-34",IF(EmployeeData[[#This Row],[Age]]&lt;45,"35-44",IF(EmployeeData[[#This Row],[Age]]&lt;55,"45-54","55+"))))</f>
        <v>25-34</v>
      </c>
      <c r="AK1345" s="4" t="str">
        <f>IF(EmployeeData[[#This Row],[MonthlyIncome]]&lt;3000,"Below 3K",IF(EmployeeData[[#This Row],[MonthlyIncome]]&lt;6000,"3K-6K",IF(EmployeeData[[#This Row],[MonthlyIncome]]&lt;9000,"6K-9K",IF(EmployeeData[[#This Row],[MonthlyIncome]]&lt;12000,"9K-12K","12K+"))))</f>
        <v>Below 3K</v>
      </c>
    </row>
    <row r="1346" spans="1:37" x14ac:dyDescent="0.3">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c r="AJ1346" s="4" t="str">
        <f>IF(EmployeeData[[#This Row],[Age]]&lt;25,"Under 25",IF(EmployeeData[[#This Row],[Age]]&lt;35,"25-34",IF(EmployeeData[[#This Row],[Age]]&lt;45,"35-44",IF(EmployeeData[[#This Row],[Age]]&lt;55,"45-54","55+"))))</f>
        <v>35-44</v>
      </c>
      <c r="AK1346" s="4" t="str">
        <f>IF(EmployeeData[[#This Row],[MonthlyIncome]]&lt;3000,"Below 3K",IF(EmployeeData[[#This Row],[MonthlyIncome]]&lt;6000,"3K-6K",IF(EmployeeData[[#This Row],[MonthlyIncome]]&lt;9000,"6K-9K",IF(EmployeeData[[#This Row],[MonthlyIncome]]&lt;12000,"9K-12K","12K+"))))</f>
        <v>3K-6K</v>
      </c>
    </row>
    <row r="1347" spans="1:37" x14ac:dyDescent="0.3">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c r="AJ1347" s="4" t="str">
        <f>IF(EmployeeData[[#This Row],[Age]]&lt;25,"Under 25",IF(EmployeeData[[#This Row],[Age]]&lt;35,"25-34",IF(EmployeeData[[#This Row],[Age]]&lt;45,"35-44",IF(EmployeeData[[#This Row],[Age]]&lt;55,"45-54","55+"))))</f>
        <v>35-44</v>
      </c>
      <c r="AK1347" s="4" t="str">
        <f>IF(EmployeeData[[#This Row],[MonthlyIncome]]&lt;3000,"Below 3K",IF(EmployeeData[[#This Row],[MonthlyIncome]]&lt;6000,"3K-6K",IF(EmployeeData[[#This Row],[MonthlyIncome]]&lt;9000,"6K-9K",IF(EmployeeData[[#This Row],[MonthlyIncome]]&lt;12000,"9K-12K","12K+"))))</f>
        <v>3K-6K</v>
      </c>
    </row>
    <row r="1348" spans="1:37" x14ac:dyDescent="0.3">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c r="AJ1348" s="4" t="str">
        <f>IF(EmployeeData[[#This Row],[Age]]&lt;25,"Under 25",IF(EmployeeData[[#This Row],[Age]]&lt;35,"25-34",IF(EmployeeData[[#This Row],[Age]]&lt;45,"35-44",IF(EmployeeData[[#This Row],[Age]]&lt;55,"45-54","55+"))))</f>
        <v>45-54</v>
      </c>
      <c r="AK1348" s="4" t="str">
        <f>IF(EmployeeData[[#This Row],[MonthlyIncome]]&lt;3000,"Below 3K",IF(EmployeeData[[#This Row],[MonthlyIncome]]&lt;6000,"3K-6K",IF(EmployeeData[[#This Row],[MonthlyIncome]]&lt;9000,"6K-9K",IF(EmployeeData[[#This Row],[MonthlyIncome]]&lt;12000,"9K-12K","12K+"))))</f>
        <v>3K-6K</v>
      </c>
    </row>
    <row r="1349" spans="1:37" x14ac:dyDescent="0.3">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c r="AJ1349" s="4" t="str">
        <f>IF(EmployeeData[[#This Row],[Age]]&lt;25,"Under 25",IF(EmployeeData[[#This Row],[Age]]&lt;35,"25-34",IF(EmployeeData[[#This Row],[Age]]&lt;45,"35-44",IF(EmployeeData[[#This Row],[Age]]&lt;55,"45-54","55+"))))</f>
        <v>35-44</v>
      </c>
      <c r="AK1349" s="4" t="str">
        <f>IF(EmployeeData[[#This Row],[MonthlyIncome]]&lt;3000,"Below 3K",IF(EmployeeData[[#This Row],[MonthlyIncome]]&lt;6000,"3K-6K",IF(EmployeeData[[#This Row],[MonthlyIncome]]&lt;9000,"6K-9K",IF(EmployeeData[[#This Row],[MonthlyIncome]]&lt;12000,"9K-12K","12K+"))))</f>
        <v>3K-6K</v>
      </c>
    </row>
    <row r="1350" spans="1:37" x14ac:dyDescent="0.3">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c r="AJ1350" s="4" t="str">
        <f>IF(EmployeeData[[#This Row],[Age]]&lt;25,"Under 25",IF(EmployeeData[[#This Row],[Age]]&lt;35,"25-34",IF(EmployeeData[[#This Row],[Age]]&lt;45,"35-44",IF(EmployeeData[[#This Row],[Age]]&lt;55,"45-54","55+"))))</f>
        <v>35-44</v>
      </c>
      <c r="AK1350" s="4" t="str">
        <f>IF(EmployeeData[[#This Row],[MonthlyIncome]]&lt;3000,"Below 3K",IF(EmployeeData[[#This Row],[MonthlyIncome]]&lt;6000,"3K-6K",IF(EmployeeData[[#This Row],[MonthlyIncome]]&lt;9000,"6K-9K",IF(EmployeeData[[#This Row],[MonthlyIncome]]&lt;12000,"9K-12K","12K+"))))</f>
        <v>12K+</v>
      </c>
    </row>
    <row r="1351" spans="1:37" x14ac:dyDescent="0.3">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c r="AJ1351" s="4" t="str">
        <f>IF(EmployeeData[[#This Row],[Age]]&lt;25,"Under 25",IF(EmployeeData[[#This Row],[Age]]&lt;35,"25-34",IF(EmployeeData[[#This Row],[Age]]&lt;45,"35-44",IF(EmployeeData[[#This Row],[Age]]&lt;55,"45-54","55+"))))</f>
        <v>25-34</v>
      </c>
      <c r="AK1351" s="4" t="str">
        <f>IF(EmployeeData[[#This Row],[MonthlyIncome]]&lt;3000,"Below 3K",IF(EmployeeData[[#This Row],[MonthlyIncome]]&lt;6000,"3K-6K",IF(EmployeeData[[#This Row],[MonthlyIncome]]&lt;9000,"6K-9K",IF(EmployeeData[[#This Row],[MonthlyIncome]]&lt;12000,"9K-12K","12K+"))))</f>
        <v>Below 3K</v>
      </c>
    </row>
    <row r="1352" spans="1:37" x14ac:dyDescent="0.3">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c r="AJ1352" s="4" t="str">
        <f>IF(EmployeeData[[#This Row],[Age]]&lt;25,"Under 25",IF(EmployeeData[[#This Row],[Age]]&lt;35,"25-34",IF(EmployeeData[[#This Row],[Age]]&lt;45,"35-44",IF(EmployeeData[[#This Row],[Age]]&lt;55,"45-54","55+"))))</f>
        <v>25-34</v>
      </c>
      <c r="AK1352" s="4" t="str">
        <f>IF(EmployeeData[[#This Row],[MonthlyIncome]]&lt;3000,"Below 3K",IF(EmployeeData[[#This Row],[MonthlyIncome]]&lt;6000,"3K-6K",IF(EmployeeData[[#This Row],[MonthlyIncome]]&lt;9000,"6K-9K",IF(EmployeeData[[#This Row],[MonthlyIncome]]&lt;12000,"9K-12K","12K+"))))</f>
        <v>6K-9K</v>
      </c>
    </row>
    <row r="1353" spans="1:37" x14ac:dyDescent="0.3">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c r="AJ1353" s="4" t="str">
        <f>IF(EmployeeData[[#This Row],[Age]]&lt;25,"Under 25",IF(EmployeeData[[#This Row],[Age]]&lt;35,"25-34",IF(EmployeeData[[#This Row],[Age]]&lt;45,"35-44",IF(EmployeeData[[#This Row],[Age]]&lt;55,"45-54","55+"))))</f>
        <v>45-54</v>
      </c>
      <c r="AK1353" s="4" t="str">
        <f>IF(EmployeeData[[#This Row],[MonthlyIncome]]&lt;3000,"Below 3K",IF(EmployeeData[[#This Row],[MonthlyIncome]]&lt;6000,"3K-6K",IF(EmployeeData[[#This Row],[MonthlyIncome]]&lt;9000,"6K-9K",IF(EmployeeData[[#This Row],[MonthlyIncome]]&lt;12000,"9K-12K","12K+"))))</f>
        <v>12K+</v>
      </c>
    </row>
    <row r="1354" spans="1:37" x14ac:dyDescent="0.3">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c r="AJ1354" s="4" t="str">
        <f>IF(EmployeeData[[#This Row],[Age]]&lt;25,"Under 25",IF(EmployeeData[[#This Row],[Age]]&lt;35,"25-34",IF(EmployeeData[[#This Row],[Age]]&lt;45,"35-44",IF(EmployeeData[[#This Row],[Age]]&lt;55,"45-54","55+"))))</f>
        <v>35-44</v>
      </c>
      <c r="AK1354" s="4" t="str">
        <f>IF(EmployeeData[[#This Row],[MonthlyIncome]]&lt;3000,"Below 3K",IF(EmployeeData[[#This Row],[MonthlyIncome]]&lt;6000,"3K-6K",IF(EmployeeData[[#This Row],[MonthlyIncome]]&lt;9000,"6K-9K",IF(EmployeeData[[#This Row],[MonthlyIncome]]&lt;12000,"9K-12K","12K+"))))</f>
        <v>3K-6K</v>
      </c>
    </row>
    <row r="1355" spans="1:37" x14ac:dyDescent="0.3">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c r="AJ1355" s="4" t="str">
        <f>IF(EmployeeData[[#This Row],[Age]]&lt;25,"Under 25",IF(EmployeeData[[#This Row],[Age]]&lt;35,"25-34",IF(EmployeeData[[#This Row],[Age]]&lt;45,"35-44",IF(EmployeeData[[#This Row],[Age]]&lt;55,"45-54","55+"))))</f>
        <v>25-34</v>
      </c>
      <c r="AK1355" s="4" t="str">
        <f>IF(EmployeeData[[#This Row],[MonthlyIncome]]&lt;3000,"Below 3K",IF(EmployeeData[[#This Row],[MonthlyIncome]]&lt;6000,"3K-6K",IF(EmployeeData[[#This Row],[MonthlyIncome]]&lt;9000,"6K-9K",IF(EmployeeData[[#This Row],[MonthlyIncome]]&lt;12000,"9K-12K","12K+"))))</f>
        <v>Below 3K</v>
      </c>
    </row>
    <row r="1356" spans="1:37" x14ac:dyDescent="0.3">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c r="AJ1356" s="4" t="str">
        <f>IF(EmployeeData[[#This Row],[Age]]&lt;25,"Under 25",IF(EmployeeData[[#This Row],[Age]]&lt;35,"25-34",IF(EmployeeData[[#This Row],[Age]]&lt;45,"35-44",IF(EmployeeData[[#This Row],[Age]]&lt;55,"45-54","55+"))))</f>
        <v>55+</v>
      </c>
      <c r="AK1356" s="4" t="str">
        <f>IF(EmployeeData[[#This Row],[MonthlyIncome]]&lt;3000,"Below 3K",IF(EmployeeData[[#This Row],[MonthlyIncome]]&lt;6000,"3K-6K",IF(EmployeeData[[#This Row],[MonthlyIncome]]&lt;9000,"6K-9K",IF(EmployeeData[[#This Row],[MonthlyIncome]]&lt;12000,"9K-12K","12K+"))))</f>
        <v>Below 3K</v>
      </c>
    </row>
    <row r="1357" spans="1:37" x14ac:dyDescent="0.3">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c r="AJ1357" s="4" t="str">
        <f>IF(EmployeeData[[#This Row],[Age]]&lt;25,"Under 25",IF(EmployeeData[[#This Row],[Age]]&lt;35,"25-34",IF(EmployeeData[[#This Row],[Age]]&lt;45,"35-44",IF(EmployeeData[[#This Row],[Age]]&lt;55,"45-54","55+"))))</f>
        <v>35-44</v>
      </c>
      <c r="AK1357" s="4" t="str">
        <f>IF(EmployeeData[[#This Row],[MonthlyIncome]]&lt;3000,"Below 3K",IF(EmployeeData[[#This Row],[MonthlyIncome]]&lt;6000,"3K-6K",IF(EmployeeData[[#This Row],[MonthlyIncome]]&lt;9000,"6K-9K",IF(EmployeeData[[#This Row],[MonthlyIncome]]&lt;12000,"9K-12K","12K+"))))</f>
        <v>3K-6K</v>
      </c>
    </row>
    <row r="1358" spans="1:37" x14ac:dyDescent="0.3">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c r="AJ1358" s="4" t="str">
        <f>IF(EmployeeData[[#This Row],[Age]]&lt;25,"Under 25",IF(EmployeeData[[#This Row],[Age]]&lt;35,"25-34",IF(EmployeeData[[#This Row],[Age]]&lt;45,"35-44",IF(EmployeeData[[#This Row],[Age]]&lt;55,"45-54","55+"))))</f>
        <v>35-44</v>
      </c>
      <c r="AK1358" s="4" t="str">
        <f>IF(EmployeeData[[#This Row],[MonthlyIncome]]&lt;3000,"Below 3K",IF(EmployeeData[[#This Row],[MonthlyIncome]]&lt;6000,"3K-6K",IF(EmployeeData[[#This Row],[MonthlyIncome]]&lt;9000,"6K-9K",IF(EmployeeData[[#This Row],[MonthlyIncome]]&lt;12000,"9K-12K","12K+"))))</f>
        <v>3K-6K</v>
      </c>
    </row>
    <row r="1359" spans="1:37" x14ac:dyDescent="0.3">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c r="AJ1359" s="4" t="str">
        <f>IF(EmployeeData[[#This Row],[Age]]&lt;25,"Under 25",IF(EmployeeData[[#This Row],[Age]]&lt;35,"25-34",IF(EmployeeData[[#This Row],[Age]]&lt;45,"35-44",IF(EmployeeData[[#This Row],[Age]]&lt;55,"45-54","55+"))))</f>
        <v>35-44</v>
      </c>
      <c r="AK1359" s="4" t="str">
        <f>IF(EmployeeData[[#This Row],[MonthlyIncome]]&lt;3000,"Below 3K",IF(EmployeeData[[#This Row],[MonthlyIncome]]&lt;6000,"3K-6K",IF(EmployeeData[[#This Row],[MonthlyIncome]]&lt;9000,"6K-9K",IF(EmployeeData[[#This Row],[MonthlyIncome]]&lt;12000,"9K-12K","12K+"))))</f>
        <v>12K+</v>
      </c>
    </row>
    <row r="1360" spans="1:37" x14ac:dyDescent="0.3">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c r="AJ1360" s="4" t="str">
        <f>IF(EmployeeData[[#This Row],[Age]]&lt;25,"Under 25",IF(EmployeeData[[#This Row],[Age]]&lt;35,"25-34",IF(EmployeeData[[#This Row],[Age]]&lt;45,"35-44",IF(EmployeeData[[#This Row],[Age]]&lt;55,"45-54","55+"))))</f>
        <v>25-34</v>
      </c>
      <c r="AK1360" s="4" t="str">
        <f>IF(EmployeeData[[#This Row],[MonthlyIncome]]&lt;3000,"Below 3K",IF(EmployeeData[[#This Row],[MonthlyIncome]]&lt;6000,"3K-6K",IF(EmployeeData[[#This Row],[MonthlyIncome]]&lt;9000,"6K-9K",IF(EmployeeData[[#This Row],[MonthlyIncome]]&lt;12000,"9K-12K","12K+"))))</f>
        <v>6K-9K</v>
      </c>
    </row>
    <row r="1361" spans="1:37" x14ac:dyDescent="0.3">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c r="AJ1361" s="4" t="str">
        <f>IF(EmployeeData[[#This Row],[Age]]&lt;25,"Under 25",IF(EmployeeData[[#This Row],[Age]]&lt;35,"25-34",IF(EmployeeData[[#This Row],[Age]]&lt;45,"35-44",IF(EmployeeData[[#This Row],[Age]]&lt;55,"45-54","55+"))))</f>
        <v>25-34</v>
      </c>
      <c r="AK1361" s="4" t="str">
        <f>IF(EmployeeData[[#This Row],[MonthlyIncome]]&lt;3000,"Below 3K",IF(EmployeeData[[#This Row],[MonthlyIncome]]&lt;6000,"3K-6K",IF(EmployeeData[[#This Row],[MonthlyIncome]]&lt;9000,"6K-9K",IF(EmployeeData[[#This Row],[MonthlyIncome]]&lt;12000,"9K-12K","12K+"))))</f>
        <v>6K-9K</v>
      </c>
    </row>
    <row r="1362" spans="1:37" x14ac:dyDescent="0.3">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c r="AJ1362" s="4" t="str">
        <f>IF(EmployeeData[[#This Row],[Age]]&lt;25,"Under 25",IF(EmployeeData[[#This Row],[Age]]&lt;35,"25-34",IF(EmployeeData[[#This Row],[Age]]&lt;45,"35-44",IF(EmployeeData[[#This Row],[Age]]&lt;55,"45-54","55+"))))</f>
        <v>25-34</v>
      </c>
      <c r="AK1362" s="4" t="str">
        <f>IF(EmployeeData[[#This Row],[MonthlyIncome]]&lt;3000,"Below 3K",IF(EmployeeData[[#This Row],[MonthlyIncome]]&lt;6000,"3K-6K",IF(EmployeeData[[#This Row],[MonthlyIncome]]&lt;9000,"6K-9K",IF(EmployeeData[[#This Row],[MonthlyIncome]]&lt;12000,"9K-12K","12K+"))))</f>
        <v>3K-6K</v>
      </c>
    </row>
    <row r="1363" spans="1:37" x14ac:dyDescent="0.3">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c r="AJ1363" s="4" t="str">
        <f>IF(EmployeeData[[#This Row],[Age]]&lt;25,"Under 25",IF(EmployeeData[[#This Row],[Age]]&lt;35,"25-34",IF(EmployeeData[[#This Row],[Age]]&lt;45,"35-44",IF(EmployeeData[[#This Row],[Age]]&lt;55,"45-54","55+"))))</f>
        <v>25-34</v>
      </c>
      <c r="AK1363" s="4" t="str">
        <f>IF(EmployeeData[[#This Row],[MonthlyIncome]]&lt;3000,"Below 3K",IF(EmployeeData[[#This Row],[MonthlyIncome]]&lt;6000,"3K-6K",IF(EmployeeData[[#This Row],[MonthlyIncome]]&lt;9000,"6K-9K",IF(EmployeeData[[#This Row],[MonthlyIncome]]&lt;12000,"9K-12K","12K+"))))</f>
        <v>Below 3K</v>
      </c>
    </row>
    <row r="1364" spans="1:37" x14ac:dyDescent="0.3">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c r="AJ1364" s="4" t="str">
        <f>IF(EmployeeData[[#This Row],[Age]]&lt;25,"Under 25",IF(EmployeeData[[#This Row],[Age]]&lt;35,"25-34",IF(EmployeeData[[#This Row],[Age]]&lt;45,"35-44",IF(EmployeeData[[#This Row],[Age]]&lt;55,"45-54","55+"))))</f>
        <v>45-54</v>
      </c>
      <c r="AK1364" s="4" t="str">
        <f>IF(EmployeeData[[#This Row],[MonthlyIncome]]&lt;3000,"Below 3K",IF(EmployeeData[[#This Row],[MonthlyIncome]]&lt;6000,"3K-6K",IF(EmployeeData[[#This Row],[MonthlyIncome]]&lt;9000,"6K-9K",IF(EmployeeData[[#This Row],[MonthlyIncome]]&lt;12000,"9K-12K","12K+"))))</f>
        <v>3K-6K</v>
      </c>
    </row>
    <row r="1365" spans="1:37" x14ac:dyDescent="0.3">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c r="AJ1365" s="4" t="str">
        <f>IF(EmployeeData[[#This Row],[Age]]&lt;25,"Under 25",IF(EmployeeData[[#This Row],[Age]]&lt;35,"25-34",IF(EmployeeData[[#This Row],[Age]]&lt;45,"35-44",IF(EmployeeData[[#This Row],[Age]]&lt;55,"45-54","55+"))))</f>
        <v>25-34</v>
      </c>
      <c r="AK1365" s="4" t="str">
        <f>IF(EmployeeData[[#This Row],[MonthlyIncome]]&lt;3000,"Below 3K",IF(EmployeeData[[#This Row],[MonthlyIncome]]&lt;6000,"3K-6K",IF(EmployeeData[[#This Row],[MonthlyIncome]]&lt;9000,"6K-9K",IF(EmployeeData[[#This Row],[MonthlyIncome]]&lt;12000,"9K-12K","12K+"))))</f>
        <v>3K-6K</v>
      </c>
    </row>
    <row r="1366" spans="1:37" x14ac:dyDescent="0.3">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c r="AJ1366" s="4" t="str">
        <f>IF(EmployeeData[[#This Row],[Age]]&lt;25,"Under 25",IF(EmployeeData[[#This Row],[Age]]&lt;35,"25-34",IF(EmployeeData[[#This Row],[Age]]&lt;45,"35-44",IF(EmployeeData[[#This Row],[Age]]&lt;55,"45-54","55+"))))</f>
        <v>25-34</v>
      </c>
      <c r="AK1366" s="4" t="str">
        <f>IF(EmployeeData[[#This Row],[MonthlyIncome]]&lt;3000,"Below 3K",IF(EmployeeData[[#This Row],[MonthlyIncome]]&lt;6000,"3K-6K",IF(EmployeeData[[#This Row],[MonthlyIncome]]&lt;9000,"6K-9K",IF(EmployeeData[[#This Row],[MonthlyIncome]]&lt;12000,"9K-12K","12K+"))))</f>
        <v>6K-9K</v>
      </c>
    </row>
    <row r="1367" spans="1:37" x14ac:dyDescent="0.3">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c r="AJ1367" s="4" t="str">
        <f>IF(EmployeeData[[#This Row],[Age]]&lt;25,"Under 25",IF(EmployeeData[[#This Row],[Age]]&lt;35,"25-34",IF(EmployeeData[[#This Row],[Age]]&lt;45,"35-44",IF(EmployeeData[[#This Row],[Age]]&lt;55,"45-54","55+"))))</f>
        <v>25-34</v>
      </c>
      <c r="AK1367" s="4" t="str">
        <f>IF(EmployeeData[[#This Row],[MonthlyIncome]]&lt;3000,"Below 3K",IF(EmployeeData[[#This Row],[MonthlyIncome]]&lt;6000,"3K-6K",IF(EmployeeData[[#This Row],[MonthlyIncome]]&lt;9000,"6K-9K",IF(EmployeeData[[#This Row],[MonthlyIncome]]&lt;12000,"9K-12K","12K+"))))</f>
        <v>Below 3K</v>
      </c>
    </row>
    <row r="1368" spans="1:37" x14ac:dyDescent="0.3">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c r="AJ1368" s="4" t="str">
        <f>IF(EmployeeData[[#This Row],[Age]]&lt;25,"Under 25",IF(EmployeeData[[#This Row],[Age]]&lt;35,"25-34",IF(EmployeeData[[#This Row],[Age]]&lt;45,"35-44",IF(EmployeeData[[#This Row],[Age]]&lt;55,"45-54","55+"))))</f>
        <v>35-44</v>
      </c>
      <c r="AK1368" s="4" t="str">
        <f>IF(EmployeeData[[#This Row],[MonthlyIncome]]&lt;3000,"Below 3K",IF(EmployeeData[[#This Row],[MonthlyIncome]]&lt;6000,"3K-6K",IF(EmployeeData[[#This Row],[MonthlyIncome]]&lt;9000,"6K-9K",IF(EmployeeData[[#This Row],[MonthlyIncome]]&lt;12000,"9K-12K","12K+"))))</f>
        <v>3K-6K</v>
      </c>
    </row>
    <row r="1369" spans="1:37" x14ac:dyDescent="0.3">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c r="AJ1369" s="4" t="str">
        <f>IF(EmployeeData[[#This Row],[Age]]&lt;25,"Under 25",IF(EmployeeData[[#This Row],[Age]]&lt;35,"25-34",IF(EmployeeData[[#This Row],[Age]]&lt;45,"35-44",IF(EmployeeData[[#This Row],[Age]]&lt;55,"45-54","55+"))))</f>
        <v>25-34</v>
      </c>
      <c r="AK1369" s="4" t="str">
        <f>IF(EmployeeData[[#This Row],[MonthlyIncome]]&lt;3000,"Below 3K",IF(EmployeeData[[#This Row],[MonthlyIncome]]&lt;6000,"3K-6K",IF(EmployeeData[[#This Row],[MonthlyIncome]]&lt;9000,"6K-9K",IF(EmployeeData[[#This Row],[MonthlyIncome]]&lt;12000,"9K-12K","12K+"))))</f>
        <v>Below 3K</v>
      </c>
    </row>
    <row r="1370" spans="1:37" x14ac:dyDescent="0.3">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c r="AJ1370" s="4" t="str">
        <f>IF(EmployeeData[[#This Row],[Age]]&lt;25,"Under 25",IF(EmployeeData[[#This Row],[Age]]&lt;35,"25-34",IF(EmployeeData[[#This Row],[Age]]&lt;45,"35-44",IF(EmployeeData[[#This Row],[Age]]&lt;55,"45-54","55+"))))</f>
        <v>25-34</v>
      </c>
      <c r="AK1370" s="4" t="str">
        <f>IF(EmployeeData[[#This Row],[MonthlyIncome]]&lt;3000,"Below 3K",IF(EmployeeData[[#This Row],[MonthlyIncome]]&lt;6000,"3K-6K",IF(EmployeeData[[#This Row],[MonthlyIncome]]&lt;9000,"6K-9K",IF(EmployeeData[[#This Row],[MonthlyIncome]]&lt;12000,"9K-12K","12K+"))))</f>
        <v>3K-6K</v>
      </c>
    </row>
    <row r="1371" spans="1:37" x14ac:dyDescent="0.3">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c r="AJ1371" s="4" t="str">
        <f>IF(EmployeeData[[#This Row],[Age]]&lt;25,"Under 25",IF(EmployeeData[[#This Row],[Age]]&lt;35,"25-34",IF(EmployeeData[[#This Row],[Age]]&lt;45,"35-44",IF(EmployeeData[[#This Row],[Age]]&lt;55,"45-54","55+"))))</f>
        <v>25-34</v>
      </c>
      <c r="AK1371" s="4" t="str">
        <f>IF(EmployeeData[[#This Row],[MonthlyIncome]]&lt;3000,"Below 3K",IF(EmployeeData[[#This Row],[MonthlyIncome]]&lt;6000,"3K-6K",IF(EmployeeData[[#This Row],[MonthlyIncome]]&lt;9000,"6K-9K",IF(EmployeeData[[#This Row],[MonthlyIncome]]&lt;12000,"9K-12K","12K+"))))</f>
        <v>9K-12K</v>
      </c>
    </row>
    <row r="1372" spans="1:37" x14ac:dyDescent="0.3">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c r="AJ1372" s="4" t="str">
        <f>IF(EmployeeData[[#This Row],[Age]]&lt;25,"Under 25",IF(EmployeeData[[#This Row],[Age]]&lt;35,"25-34",IF(EmployeeData[[#This Row],[Age]]&lt;45,"35-44",IF(EmployeeData[[#This Row],[Age]]&lt;55,"45-54","55+"))))</f>
        <v>45-54</v>
      </c>
      <c r="AK1372" s="4" t="str">
        <f>IF(EmployeeData[[#This Row],[MonthlyIncome]]&lt;3000,"Below 3K",IF(EmployeeData[[#This Row],[MonthlyIncome]]&lt;6000,"3K-6K",IF(EmployeeData[[#This Row],[MonthlyIncome]]&lt;9000,"6K-9K",IF(EmployeeData[[#This Row],[MonthlyIncome]]&lt;12000,"9K-12K","12K+"))))</f>
        <v>3K-6K</v>
      </c>
    </row>
    <row r="1373" spans="1:37" x14ac:dyDescent="0.3">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c r="AJ1373" s="4" t="str">
        <f>IF(EmployeeData[[#This Row],[Age]]&lt;25,"Under 25",IF(EmployeeData[[#This Row],[Age]]&lt;35,"25-34",IF(EmployeeData[[#This Row],[Age]]&lt;45,"35-44",IF(EmployeeData[[#This Row],[Age]]&lt;55,"45-54","55+"))))</f>
        <v>55+</v>
      </c>
      <c r="AK1373" s="4" t="str">
        <f>IF(EmployeeData[[#This Row],[MonthlyIncome]]&lt;3000,"Below 3K",IF(EmployeeData[[#This Row],[MonthlyIncome]]&lt;6000,"3K-6K",IF(EmployeeData[[#This Row],[MonthlyIncome]]&lt;9000,"6K-9K",IF(EmployeeData[[#This Row],[MonthlyIncome]]&lt;12000,"9K-12K","12K+"))))</f>
        <v>3K-6K</v>
      </c>
    </row>
    <row r="1374" spans="1:37" x14ac:dyDescent="0.3">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c r="AJ1374" s="4" t="str">
        <f>IF(EmployeeData[[#This Row],[Age]]&lt;25,"Under 25",IF(EmployeeData[[#This Row],[Age]]&lt;35,"25-34",IF(EmployeeData[[#This Row],[Age]]&lt;45,"35-44",IF(EmployeeData[[#This Row],[Age]]&lt;55,"45-54","55+"))))</f>
        <v>35-44</v>
      </c>
      <c r="AK1374" s="4" t="str">
        <f>IF(EmployeeData[[#This Row],[MonthlyIncome]]&lt;3000,"Below 3K",IF(EmployeeData[[#This Row],[MonthlyIncome]]&lt;6000,"3K-6K",IF(EmployeeData[[#This Row],[MonthlyIncome]]&lt;9000,"6K-9K",IF(EmployeeData[[#This Row],[MonthlyIncome]]&lt;12000,"9K-12K","12K+"))))</f>
        <v>3K-6K</v>
      </c>
    </row>
    <row r="1375" spans="1:37" x14ac:dyDescent="0.3">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c r="AJ1375" s="4" t="str">
        <f>IF(EmployeeData[[#This Row],[Age]]&lt;25,"Under 25",IF(EmployeeData[[#This Row],[Age]]&lt;35,"25-34",IF(EmployeeData[[#This Row],[Age]]&lt;45,"35-44",IF(EmployeeData[[#This Row],[Age]]&lt;55,"45-54","55+"))))</f>
        <v>35-44</v>
      </c>
      <c r="AK1375" s="4" t="str">
        <f>IF(EmployeeData[[#This Row],[MonthlyIncome]]&lt;3000,"Below 3K",IF(EmployeeData[[#This Row],[MonthlyIncome]]&lt;6000,"3K-6K",IF(EmployeeData[[#This Row],[MonthlyIncome]]&lt;9000,"6K-9K",IF(EmployeeData[[#This Row],[MonthlyIncome]]&lt;12000,"9K-12K","12K+"))))</f>
        <v>Below 3K</v>
      </c>
    </row>
    <row r="1376" spans="1:37" x14ac:dyDescent="0.3">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c r="AJ1376" s="4" t="str">
        <f>IF(EmployeeData[[#This Row],[Age]]&lt;25,"Under 25",IF(EmployeeData[[#This Row],[Age]]&lt;35,"25-34",IF(EmployeeData[[#This Row],[Age]]&lt;45,"35-44",IF(EmployeeData[[#This Row],[Age]]&lt;55,"45-54","55+"))))</f>
        <v>55+</v>
      </c>
      <c r="AK1376" s="4" t="str">
        <f>IF(EmployeeData[[#This Row],[MonthlyIncome]]&lt;3000,"Below 3K",IF(EmployeeData[[#This Row],[MonthlyIncome]]&lt;6000,"3K-6K",IF(EmployeeData[[#This Row],[MonthlyIncome]]&lt;9000,"6K-9K",IF(EmployeeData[[#This Row],[MonthlyIncome]]&lt;12000,"9K-12K","12K+"))))</f>
        <v>12K+</v>
      </c>
    </row>
    <row r="1377" spans="1:37" x14ac:dyDescent="0.3">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c r="AJ1377" s="4" t="str">
        <f>IF(EmployeeData[[#This Row],[Age]]&lt;25,"Under 25",IF(EmployeeData[[#This Row],[Age]]&lt;35,"25-34",IF(EmployeeData[[#This Row],[Age]]&lt;45,"35-44",IF(EmployeeData[[#This Row],[Age]]&lt;55,"45-54","55+"))))</f>
        <v>25-34</v>
      </c>
      <c r="AK1377" s="4" t="str">
        <f>IF(EmployeeData[[#This Row],[MonthlyIncome]]&lt;3000,"Below 3K",IF(EmployeeData[[#This Row],[MonthlyIncome]]&lt;6000,"3K-6K",IF(EmployeeData[[#This Row],[MonthlyIncome]]&lt;9000,"6K-9K",IF(EmployeeData[[#This Row],[MonthlyIncome]]&lt;12000,"9K-12K","12K+"))))</f>
        <v>Below 3K</v>
      </c>
    </row>
    <row r="1378" spans="1:37" x14ac:dyDescent="0.3">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c r="AJ1378" s="4" t="str">
        <f>IF(EmployeeData[[#This Row],[Age]]&lt;25,"Under 25",IF(EmployeeData[[#This Row],[Age]]&lt;35,"25-34",IF(EmployeeData[[#This Row],[Age]]&lt;45,"35-44",IF(EmployeeData[[#This Row],[Age]]&lt;55,"45-54","55+"))))</f>
        <v>35-44</v>
      </c>
      <c r="AK1378" s="4" t="str">
        <f>IF(EmployeeData[[#This Row],[MonthlyIncome]]&lt;3000,"Below 3K",IF(EmployeeData[[#This Row],[MonthlyIncome]]&lt;6000,"3K-6K",IF(EmployeeData[[#This Row],[MonthlyIncome]]&lt;9000,"6K-9K",IF(EmployeeData[[#This Row],[MonthlyIncome]]&lt;12000,"9K-12K","12K+"))))</f>
        <v>3K-6K</v>
      </c>
    </row>
    <row r="1379" spans="1:37" x14ac:dyDescent="0.3">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c r="AJ1379" s="4" t="str">
        <f>IF(EmployeeData[[#This Row],[Age]]&lt;25,"Under 25",IF(EmployeeData[[#This Row],[Age]]&lt;35,"25-34",IF(EmployeeData[[#This Row],[Age]]&lt;45,"35-44",IF(EmployeeData[[#This Row],[Age]]&lt;55,"45-54","55+"))))</f>
        <v>45-54</v>
      </c>
      <c r="AK1379" s="4" t="str">
        <f>IF(EmployeeData[[#This Row],[MonthlyIncome]]&lt;3000,"Below 3K",IF(EmployeeData[[#This Row],[MonthlyIncome]]&lt;6000,"3K-6K",IF(EmployeeData[[#This Row],[MonthlyIncome]]&lt;9000,"6K-9K",IF(EmployeeData[[#This Row],[MonthlyIncome]]&lt;12000,"9K-12K","12K+"))))</f>
        <v>12K+</v>
      </c>
    </row>
    <row r="1380" spans="1:37" x14ac:dyDescent="0.3">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c r="AJ1380" s="4" t="str">
        <f>IF(EmployeeData[[#This Row],[Age]]&lt;25,"Under 25",IF(EmployeeData[[#This Row],[Age]]&lt;35,"25-34",IF(EmployeeData[[#This Row],[Age]]&lt;45,"35-44",IF(EmployeeData[[#This Row],[Age]]&lt;55,"45-54","55+"))))</f>
        <v>35-44</v>
      </c>
      <c r="AK1380" s="4" t="str">
        <f>IF(EmployeeData[[#This Row],[MonthlyIncome]]&lt;3000,"Below 3K",IF(EmployeeData[[#This Row],[MonthlyIncome]]&lt;6000,"3K-6K",IF(EmployeeData[[#This Row],[MonthlyIncome]]&lt;9000,"6K-9K",IF(EmployeeData[[#This Row],[MonthlyIncome]]&lt;12000,"9K-12K","12K+"))))</f>
        <v>3K-6K</v>
      </c>
    </row>
    <row r="1381" spans="1:37" x14ac:dyDescent="0.3">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c r="AJ1381" s="4" t="str">
        <f>IF(EmployeeData[[#This Row],[Age]]&lt;25,"Under 25",IF(EmployeeData[[#This Row],[Age]]&lt;35,"25-34",IF(EmployeeData[[#This Row],[Age]]&lt;45,"35-44",IF(EmployeeData[[#This Row],[Age]]&lt;55,"45-54","55+"))))</f>
        <v>25-34</v>
      </c>
      <c r="AK1381" s="4" t="str">
        <f>IF(EmployeeData[[#This Row],[MonthlyIncome]]&lt;3000,"Below 3K",IF(EmployeeData[[#This Row],[MonthlyIncome]]&lt;6000,"3K-6K",IF(EmployeeData[[#This Row],[MonthlyIncome]]&lt;9000,"6K-9K",IF(EmployeeData[[#This Row],[MonthlyIncome]]&lt;12000,"9K-12K","12K+"))))</f>
        <v>Below 3K</v>
      </c>
    </row>
    <row r="1382" spans="1:37" x14ac:dyDescent="0.3">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c r="AJ1382" s="4" t="str">
        <f>IF(EmployeeData[[#This Row],[Age]]&lt;25,"Under 25",IF(EmployeeData[[#This Row],[Age]]&lt;35,"25-34",IF(EmployeeData[[#This Row],[Age]]&lt;45,"35-44",IF(EmployeeData[[#This Row],[Age]]&lt;55,"45-54","55+"))))</f>
        <v>35-44</v>
      </c>
      <c r="AK1382" s="4" t="str">
        <f>IF(EmployeeData[[#This Row],[MonthlyIncome]]&lt;3000,"Below 3K",IF(EmployeeData[[#This Row],[MonthlyIncome]]&lt;6000,"3K-6K",IF(EmployeeData[[#This Row],[MonthlyIncome]]&lt;9000,"6K-9K",IF(EmployeeData[[#This Row],[MonthlyIncome]]&lt;12000,"9K-12K","12K+"))))</f>
        <v>3K-6K</v>
      </c>
    </row>
    <row r="1383" spans="1:37" x14ac:dyDescent="0.3">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c r="AJ1383" s="4" t="str">
        <f>IF(EmployeeData[[#This Row],[Age]]&lt;25,"Under 25",IF(EmployeeData[[#This Row],[Age]]&lt;35,"25-34",IF(EmployeeData[[#This Row],[Age]]&lt;45,"35-44",IF(EmployeeData[[#This Row],[Age]]&lt;55,"45-54","55+"))))</f>
        <v>25-34</v>
      </c>
      <c r="AK1383" s="4" t="str">
        <f>IF(EmployeeData[[#This Row],[MonthlyIncome]]&lt;3000,"Below 3K",IF(EmployeeData[[#This Row],[MonthlyIncome]]&lt;6000,"3K-6K",IF(EmployeeData[[#This Row],[MonthlyIncome]]&lt;9000,"6K-9K",IF(EmployeeData[[#This Row],[MonthlyIncome]]&lt;12000,"9K-12K","12K+"))))</f>
        <v>Below 3K</v>
      </c>
    </row>
    <row r="1384" spans="1:37" x14ac:dyDescent="0.3">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c r="AJ1384" s="4" t="str">
        <f>IF(EmployeeData[[#This Row],[Age]]&lt;25,"Under 25",IF(EmployeeData[[#This Row],[Age]]&lt;35,"25-34",IF(EmployeeData[[#This Row],[Age]]&lt;45,"35-44",IF(EmployeeData[[#This Row],[Age]]&lt;55,"45-54","55+"))))</f>
        <v>25-34</v>
      </c>
      <c r="AK1384" s="4" t="str">
        <f>IF(EmployeeData[[#This Row],[MonthlyIncome]]&lt;3000,"Below 3K",IF(EmployeeData[[#This Row],[MonthlyIncome]]&lt;6000,"3K-6K",IF(EmployeeData[[#This Row],[MonthlyIncome]]&lt;9000,"6K-9K",IF(EmployeeData[[#This Row],[MonthlyIncome]]&lt;12000,"9K-12K","12K+"))))</f>
        <v>3K-6K</v>
      </c>
    </row>
    <row r="1385" spans="1:37" x14ac:dyDescent="0.3">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c r="AJ1385" s="4" t="str">
        <f>IF(EmployeeData[[#This Row],[Age]]&lt;25,"Under 25",IF(EmployeeData[[#This Row],[Age]]&lt;35,"25-34",IF(EmployeeData[[#This Row],[Age]]&lt;45,"35-44",IF(EmployeeData[[#This Row],[Age]]&lt;55,"45-54","55+"))))</f>
        <v>35-44</v>
      </c>
      <c r="AK1385" s="4" t="str">
        <f>IF(EmployeeData[[#This Row],[MonthlyIncome]]&lt;3000,"Below 3K",IF(EmployeeData[[#This Row],[MonthlyIncome]]&lt;6000,"3K-6K",IF(EmployeeData[[#This Row],[MonthlyIncome]]&lt;9000,"6K-9K",IF(EmployeeData[[#This Row],[MonthlyIncome]]&lt;12000,"9K-12K","12K+"))))</f>
        <v>Below 3K</v>
      </c>
    </row>
    <row r="1386" spans="1:37" x14ac:dyDescent="0.3">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c r="AJ1386" s="4" t="str">
        <f>IF(EmployeeData[[#This Row],[Age]]&lt;25,"Under 25",IF(EmployeeData[[#This Row],[Age]]&lt;35,"25-34",IF(EmployeeData[[#This Row],[Age]]&lt;45,"35-44",IF(EmployeeData[[#This Row],[Age]]&lt;55,"45-54","55+"))))</f>
        <v>25-34</v>
      </c>
      <c r="AK1386" s="4" t="str">
        <f>IF(EmployeeData[[#This Row],[MonthlyIncome]]&lt;3000,"Below 3K",IF(EmployeeData[[#This Row],[MonthlyIncome]]&lt;6000,"3K-6K",IF(EmployeeData[[#This Row],[MonthlyIncome]]&lt;9000,"6K-9K",IF(EmployeeData[[#This Row],[MonthlyIncome]]&lt;12000,"9K-12K","12K+"))))</f>
        <v>9K-12K</v>
      </c>
    </row>
    <row r="1387" spans="1:37" x14ac:dyDescent="0.3">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c r="AJ1387" s="4" t="str">
        <f>IF(EmployeeData[[#This Row],[Age]]&lt;25,"Under 25",IF(EmployeeData[[#This Row],[Age]]&lt;35,"25-34",IF(EmployeeData[[#This Row],[Age]]&lt;45,"35-44",IF(EmployeeData[[#This Row],[Age]]&lt;55,"45-54","55+"))))</f>
        <v>25-34</v>
      </c>
      <c r="AK1387" s="4" t="str">
        <f>IF(EmployeeData[[#This Row],[MonthlyIncome]]&lt;3000,"Below 3K",IF(EmployeeData[[#This Row],[MonthlyIncome]]&lt;6000,"3K-6K",IF(EmployeeData[[#This Row],[MonthlyIncome]]&lt;9000,"6K-9K",IF(EmployeeData[[#This Row],[MonthlyIncome]]&lt;12000,"9K-12K","12K+"))))</f>
        <v>6K-9K</v>
      </c>
    </row>
    <row r="1388" spans="1:37" x14ac:dyDescent="0.3">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c r="AJ1388" s="4" t="str">
        <f>IF(EmployeeData[[#This Row],[Age]]&lt;25,"Under 25",IF(EmployeeData[[#This Row],[Age]]&lt;35,"25-34",IF(EmployeeData[[#This Row],[Age]]&lt;45,"35-44",IF(EmployeeData[[#This Row],[Age]]&lt;55,"45-54","55+"))))</f>
        <v>25-34</v>
      </c>
      <c r="AK1388" s="4" t="str">
        <f>IF(EmployeeData[[#This Row],[MonthlyIncome]]&lt;3000,"Below 3K",IF(EmployeeData[[#This Row],[MonthlyIncome]]&lt;6000,"3K-6K",IF(EmployeeData[[#This Row],[MonthlyIncome]]&lt;9000,"6K-9K",IF(EmployeeData[[#This Row],[MonthlyIncome]]&lt;12000,"9K-12K","12K+"))))</f>
        <v>Below 3K</v>
      </c>
    </row>
    <row r="1389" spans="1:37" x14ac:dyDescent="0.3">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c r="AJ1389" s="4" t="str">
        <f>IF(EmployeeData[[#This Row],[Age]]&lt;25,"Under 25",IF(EmployeeData[[#This Row],[Age]]&lt;35,"25-34",IF(EmployeeData[[#This Row],[Age]]&lt;45,"35-44",IF(EmployeeData[[#This Row],[Age]]&lt;55,"45-54","55+"))))</f>
        <v>25-34</v>
      </c>
      <c r="AK1389" s="4" t="str">
        <f>IF(EmployeeData[[#This Row],[MonthlyIncome]]&lt;3000,"Below 3K",IF(EmployeeData[[#This Row],[MonthlyIncome]]&lt;6000,"3K-6K",IF(EmployeeData[[#This Row],[MonthlyIncome]]&lt;9000,"6K-9K",IF(EmployeeData[[#This Row],[MonthlyIncome]]&lt;12000,"9K-12K","12K+"))))</f>
        <v>3K-6K</v>
      </c>
    </row>
    <row r="1390" spans="1:37" x14ac:dyDescent="0.3">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c r="AJ1390" s="4" t="str">
        <f>IF(EmployeeData[[#This Row],[Age]]&lt;25,"Under 25",IF(EmployeeData[[#This Row],[Age]]&lt;35,"25-34",IF(EmployeeData[[#This Row],[Age]]&lt;45,"35-44",IF(EmployeeData[[#This Row],[Age]]&lt;55,"45-54","55+"))))</f>
        <v>25-34</v>
      </c>
      <c r="AK1390" s="4" t="str">
        <f>IF(EmployeeData[[#This Row],[MonthlyIncome]]&lt;3000,"Below 3K",IF(EmployeeData[[#This Row],[MonthlyIncome]]&lt;6000,"3K-6K",IF(EmployeeData[[#This Row],[MonthlyIncome]]&lt;9000,"6K-9K",IF(EmployeeData[[#This Row],[MonthlyIncome]]&lt;12000,"9K-12K","12K+"))))</f>
        <v>6K-9K</v>
      </c>
    </row>
    <row r="1391" spans="1:37" x14ac:dyDescent="0.3">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c r="AJ1391" s="4" t="str">
        <f>IF(EmployeeData[[#This Row],[Age]]&lt;25,"Under 25",IF(EmployeeData[[#This Row],[Age]]&lt;35,"25-34",IF(EmployeeData[[#This Row],[Age]]&lt;45,"35-44",IF(EmployeeData[[#This Row],[Age]]&lt;55,"45-54","55+"))))</f>
        <v>25-34</v>
      </c>
      <c r="AK1391" s="4" t="str">
        <f>IF(EmployeeData[[#This Row],[MonthlyIncome]]&lt;3000,"Below 3K",IF(EmployeeData[[#This Row],[MonthlyIncome]]&lt;6000,"3K-6K",IF(EmployeeData[[#This Row],[MonthlyIncome]]&lt;9000,"6K-9K",IF(EmployeeData[[#This Row],[MonthlyIncome]]&lt;12000,"9K-12K","12K+"))))</f>
        <v>3K-6K</v>
      </c>
    </row>
    <row r="1392" spans="1:37" x14ac:dyDescent="0.3">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c r="AJ1392" s="4" t="str">
        <f>IF(EmployeeData[[#This Row],[Age]]&lt;25,"Under 25",IF(EmployeeData[[#This Row],[Age]]&lt;35,"25-34",IF(EmployeeData[[#This Row],[Age]]&lt;45,"35-44",IF(EmployeeData[[#This Row],[Age]]&lt;55,"45-54","55+"))))</f>
        <v>25-34</v>
      </c>
      <c r="AK1392" s="4" t="str">
        <f>IF(EmployeeData[[#This Row],[MonthlyIncome]]&lt;3000,"Below 3K",IF(EmployeeData[[#This Row],[MonthlyIncome]]&lt;6000,"3K-6K",IF(EmployeeData[[#This Row],[MonthlyIncome]]&lt;9000,"6K-9K",IF(EmployeeData[[#This Row],[MonthlyIncome]]&lt;12000,"9K-12K","12K+"))))</f>
        <v>Below 3K</v>
      </c>
    </row>
    <row r="1393" spans="1:37" x14ac:dyDescent="0.3">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c r="AJ1393" s="4" t="str">
        <f>IF(EmployeeData[[#This Row],[Age]]&lt;25,"Under 25",IF(EmployeeData[[#This Row],[Age]]&lt;35,"25-34",IF(EmployeeData[[#This Row],[Age]]&lt;45,"35-44",IF(EmployeeData[[#This Row],[Age]]&lt;55,"45-54","55+"))))</f>
        <v>35-44</v>
      </c>
      <c r="AK1393" s="4" t="str">
        <f>IF(EmployeeData[[#This Row],[MonthlyIncome]]&lt;3000,"Below 3K",IF(EmployeeData[[#This Row],[MonthlyIncome]]&lt;6000,"3K-6K",IF(EmployeeData[[#This Row],[MonthlyIncome]]&lt;9000,"6K-9K",IF(EmployeeData[[#This Row],[MonthlyIncome]]&lt;12000,"9K-12K","12K+"))))</f>
        <v>Below 3K</v>
      </c>
    </row>
    <row r="1394" spans="1:37" x14ac:dyDescent="0.3">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c r="AJ1394" s="4" t="str">
        <f>IF(EmployeeData[[#This Row],[Age]]&lt;25,"Under 25",IF(EmployeeData[[#This Row],[Age]]&lt;35,"25-34",IF(EmployeeData[[#This Row],[Age]]&lt;45,"35-44",IF(EmployeeData[[#This Row],[Age]]&lt;55,"45-54","55+"))))</f>
        <v>35-44</v>
      </c>
      <c r="AK1394" s="4" t="str">
        <f>IF(EmployeeData[[#This Row],[MonthlyIncome]]&lt;3000,"Below 3K",IF(EmployeeData[[#This Row],[MonthlyIncome]]&lt;6000,"3K-6K",IF(EmployeeData[[#This Row],[MonthlyIncome]]&lt;9000,"6K-9K",IF(EmployeeData[[#This Row],[MonthlyIncome]]&lt;12000,"9K-12K","12K+"))))</f>
        <v>3K-6K</v>
      </c>
    </row>
    <row r="1395" spans="1:37" x14ac:dyDescent="0.3">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c r="AJ1395" s="4" t="str">
        <f>IF(EmployeeData[[#This Row],[Age]]&lt;25,"Under 25",IF(EmployeeData[[#This Row],[Age]]&lt;35,"25-34",IF(EmployeeData[[#This Row],[Age]]&lt;45,"35-44",IF(EmployeeData[[#This Row],[Age]]&lt;55,"45-54","55+"))))</f>
        <v>25-34</v>
      </c>
      <c r="AK1395" s="4" t="str">
        <f>IF(EmployeeData[[#This Row],[MonthlyIncome]]&lt;3000,"Below 3K",IF(EmployeeData[[#This Row],[MonthlyIncome]]&lt;6000,"3K-6K",IF(EmployeeData[[#This Row],[MonthlyIncome]]&lt;9000,"6K-9K",IF(EmployeeData[[#This Row],[MonthlyIncome]]&lt;12000,"9K-12K","12K+"))))</f>
        <v>3K-6K</v>
      </c>
    </row>
    <row r="1396" spans="1:37" x14ac:dyDescent="0.3">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c r="AJ1396" s="4" t="str">
        <f>IF(EmployeeData[[#This Row],[Age]]&lt;25,"Under 25",IF(EmployeeData[[#This Row],[Age]]&lt;35,"25-34",IF(EmployeeData[[#This Row],[Age]]&lt;45,"35-44",IF(EmployeeData[[#This Row],[Age]]&lt;55,"45-54","55+"))))</f>
        <v>25-34</v>
      </c>
      <c r="AK1396" s="4" t="str">
        <f>IF(EmployeeData[[#This Row],[MonthlyIncome]]&lt;3000,"Below 3K",IF(EmployeeData[[#This Row],[MonthlyIncome]]&lt;6000,"3K-6K",IF(EmployeeData[[#This Row],[MonthlyIncome]]&lt;9000,"6K-9K",IF(EmployeeData[[#This Row],[MonthlyIncome]]&lt;12000,"9K-12K","12K+"))))</f>
        <v>9K-12K</v>
      </c>
    </row>
    <row r="1397" spans="1:37" x14ac:dyDescent="0.3">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c r="AJ1397" s="4" t="str">
        <f>IF(EmployeeData[[#This Row],[Age]]&lt;25,"Under 25",IF(EmployeeData[[#This Row],[Age]]&lt;35,"25-34",IF(EmployeeData[[#This Row],[Age]]&lt;45,"35-44",IF(EmployeeData[[#This Row],[Age]]&lt;55,"45-54","55+"))))</f>
        <v>25-34</v>
      </c>
      <c r="AK1397" s="4" t="str">
        <f>IF(EmployeeData[[#This Row],[MonthlyIncome]]&lt;3000,"Below 3K",IF(EmployeeData[[#This Row],[MonthlyIncome]]&lt;6000,"3K-6K",IF(EmployeeData[[#This Row],[MonthlyIncome]]&lt;9000,"6K-9K",IF(EmployeeData[[#This Row],[MonthlyIncome]]&lt;12000,"9K-12K","12K+"))))</f>
        <v>3K-6K</v>
      </c>
    </row>
    <row r="1398" spans="1:37" x14ac:dyDescent="0.3">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c r="AJ1398" s="4" t="str">
        <f>IF(EmployeeData[[#This Row],[Age]]&lt;25,"Under 25",IF(EmployeeData[[#This Row],[Age]]&lt;35,"25-34",IF(EmployeeData[[#This Row],[Age]]&lt;45,"35-44",IF(EmployeeData[[#This Row],[Age]]&lt;55,"45-54","55+"))))</f>
        <v>45-54</v>
      </c>
      <c r="AK1398" s="4" t="str">
        <f>IF(EmployeeData[[#This Row],[MonthlyIncome]]&lt;3000,"Below 3K",IF(EmployeeData[[#This Row],[MonthlyIncome]]&lt;6000,"3K-6K",IF(EmployeeData[[#This Row],[MonthlyIncome]]&lt;9000,"6K-9K",IF(EmployeeData[[#This Row],[MonthlyIncome]]&lt;12000,"9K-12K","12K+"))))</f>
        <v>9K-12K</v>
      </c>
    </row>
    <row r="1399" spans="1:37" x14ac:dyDescent="0.3">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c r="AJ1399" s="4" t="str">
        <f>IF(EmployeeData[[#This Row],[Age]]&lt;25,"Under 25",IF(EmployeeData[[#This Row],[Age]]&lt;35,"25-34",IF(EmployeeData[[#This Row],[Age]]&lt;45,"35-44",IF(EmployeeData[[#This Row],[Age]]&lt;55,"45-54","55+"))))</f>
        <v>45-54</v>
      </c>
      <c r="AK1399" s="4" t="str">
        <f>IF(EmployeeData[[#This Row],[MonthlyIncome]]&lt;3000,"Below 3K",IF(EmployeeData[[#This Row],[MonthlyIncome]]&lt;6000,"3K-6K",IF(EmployeeData[[#This Row],[MonthlyIncome]]&lt;9000,"6K-9K",IF(EmployeeData[[#This Row],[MonthlyIncome]]&lt;12000,"9K-12K","12K+"))))</f>
        <v>Below 3K</v>
      </c>
    </row>
    <row r="1400" spans="1:37" x14ac:dyDescent="0.3">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c r="AJ1400" s="4" t="str">
        <f>IF(EmployeeData[[#This Row],[Age]]&lt;25,"Under 25",IF(EmployeeData[[#This Row],[Age]]&lt;35,"25-34",IF(EmployeeData[[#This Row],[Age]]&lt;45,"35-44",IF(EmployeeData[[#This Row],[Age]]&lt;55,"45-54","55+"))))</f>
        <v>25-34</v>
      </c>
      <c r="AK1400" s="4" t="str">
        <f>IF(EmployeeData[[#This Row],[MonthlyIncome]]&lt;3000,"Below 3K",IF(EmployeeData[[#This Row],[MonthlyIncome]]&lt;6000,"3K-6K",IF(EmployeeData[[#This Row],[MonthlyIncome]]&lt;9000,"6K-9K",IF(EmployeeData[[#This Row],[MonthlyIncome]]&lt;12000,"9K-12K","12K+"))))</f>
        <v>3K-6K</v>
      </c>
    </row>
    <row r="1401" spans="1:37" x14ac:dyDescent="0.3">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c r="AJ1401" s="4" t="str">
        <f>IF(EmployeeData[[#This Row],[Age]]&lt;25,"Under 25",IF(EmployeeData[[#This Row],[Age]]&lt;35,"25-34",IF(EmployeeData[[#This Row],[Age]]&lt;45,"35-44",IF(EmployeeData[[#This Row],[Age]]&lt;55,"45-54","55+"))))</f>
        <v>35-44</v>
      </c>
      <c r="AK1401" s="4" t="str">
        <f>IF(EmployeeData[[#This Row],[MonthlyIncome]]&lt;3000,"Below 3K",IF(EmployeeData[[#This Row],[MonthlyIncome]]&lt;6000,"3K-6K",IF(EmployeeData[[#This Row],[MonthlyIncome]]&lt;9000,"6K-9K",IF(EmployeeData[[#This Row],[MonthlyIncome]]&lt;12000,"9K-12K","12K+"))))</f>
        <v>6K-9K</v>
      </c>
    </row>
    <row r="1402" spans="1:37" x14ac:dyDescent="0.3">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c r="AJ1402" s="4" t="str">
        <f>IF(EmployeeData[[#This Row],[Age]]&lt;25,"Under 25",IF(EmployeeData[[#This Row],[Age]]&lt;35,"25-34",IF(EmployeeData[[#This Row],[Age]]&lt;45,"35-44",IF(EmployeeData[[#This Row],[Age]]&lt;55,"45-54","55+"))))</f>
        <v>35-44</v>
      </c>
      <c r="AK1402" s="4" t="str">
        <f>IF(EmployeeData[[#This Row],[MonthlyIncome]]&lt;3000,"Below 3K",IF(EmployeeData[[#This Row],[MonthlyIncome]]&lt;6000,"3K-6K",IF(EmployeeData[[#This Row],[MonthlyIncome]]&lt;9000,"6K-9K",IF(EmployeeData[[#This Row],[MonthlyIncome]]&lt;12000,"9K-12K","12K+"))))</f>
        <v>Below 3K</v>
      </c>
    </row>
    <row r="1403" spans="1:37" x14ac:dyDescent="0.3">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c r="AJ1403" s="4" t="str">
        <f>IF(EmployeeData[[#This Row],[Age]]&lt;25,"Under 25",IF(EmployeeData[[#This Row],[Age]]&lt;35,"25-34",IF(EmployeeData[[#This Row],[Age]]&lt;45,"35-44",IF(EmployeeData[[#This Row],[Age]]&lt;55,"45-54","55+"))))</f>
        <v>55+</v>
      </c>
      <c r="AK1403" s="4" t="str">
        <f>IF(EmployeeData[[#This Row],[MonthlyIncome]]&lt;3000,"Below 3K",IF(EmployeeData[[#This Row],[MonthlyIncome]]&lt;6000,"3K-6K",IF(EmployeeData[[#This Row],[MonthlyIncome]]&lt;9000,"6K-9K",IF(EmployeeData[[#This Row],[MonthlyIncome]]&lt;12000,"9K-12K","12K+"))))</f>
        <v>12K+</v>
      </c>
    </row>
    <row r="1404" spans="1:37" x14ac:dyDescent="0.3">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c r="AJ1404" s="4" t="str">
        <f>IF(EmployeeData[[#This Row],[Age]]&lt;25,"Under 25",IF(EmployeeData[[#This Row],[Age]]&lt;35,"25-34",IF(EmployeeData[[#This Row],[Age]]&lt;45,"35-44",IF(EmployeeData[[#This Row],[Age]]&lt;55,"45-54","55+"))))</f>
        <v>25-34</v>
      </c>
      <c r="AK1404" s="4" t="str">
        <f>IF(EmployeeData[[#This Row],[MonthlyIncome]]&lt;3000,"Below 3K",IF(EmployeeData[[#This Row],[MonthlyIncome]]&lt;6000,"3K-6K",IF(EmployeeData[[#This Row],[MonthlyIncome]]&lt;9000,"6K-9K",IF(EmployeeData[[#This Row],[MonthlyIncome]]&lt;12000,"9K-12K","12K+"))))</f>
        <v>Below 3K</v>
      </c>
    </row>
    <row r="1405" spans="1:37" x14ac:dyDescent="0.3">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c r="AJ1405" s="4" t="str">
        <f>IF(EmployeeData[[#This Row],[Age]]&lt;25,"Under 25",IF(EmployeeData[[#This Row],[Age]]&lt;35,"25-34",IF(EmployeeData[[#This Row],[Age]]&lt;45,"35-44",IF(EmployeeData[[#This Row],[Age]]&lt;55,"45-54","55+"))))</f>
        <v>35-44</v>
      </c>
      <c r="AK1405" s="4" t="str">
        <f>IF(EmployeeData[[#This Row],[MonthlyIncome]]&lt;3000,"Below 3K",IF(EmployeeData[[#This Row],[MonthlyIncome]]&lt;6000,"3K-6K",IF(EmployeeData[[#This Row],[MonthlyIncome]]&lt;9000,"6K-9K",IF(EmployeeData[[#This Row],[MonthlyIncome]]&lt;12000,"9K-12K","12K+"))))</f>
        <v>12K+</v>
      </c>
    </row>
    <row r="1406" spans="1:37" x14ac:dyDescent="0.3">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c r="AJ1406" s="4" t="str">
        <f>IF(EmployeeData[[#This Row],[Age]]&lt;25,"Under 25",IF(EmployeeData[[#This Row],[Age]]&lt;35,"25-34",IF(EmployeeData[[#This Row],[Age]]&lt;45,"35-44",IF(EmployeeData[[#This Row],[Age]]&lt;55,"45-54","55+"))))</f>
        <v>35-44</v>
      </c>
      <c r="AK1406" s="4" t="str">
        <f>IF(EmployeeData[[#This Row],[MonthlyIncome]]&lt;3000,"Below 3K",IF(EmployeeData[[#This Row],[MonthlyIncome]]&lt;6000,"3K-6K",IF(EmployeeData[[#This Row],[MonthlyIncome]]&lt;9000,"6K-9K",IF(EmployeeData[[#This Row],[MonthlyIncome]]&lt;12000,"9K-12K","12K+"))))</f>
        <v>3K-6K</v>
      </c>
    </row>
    <row r="1407" spans="1:37" x14ac:dyDescent="0.3">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c r="AJ1407" s="4" t="str">
        <f>IF(EmployeeData[[#This Row],[Age]]&lt;25,"Under 25",IF(EmployeeData[[#This Row],[Age]]&lt;35,"25-34",IF(EmployeeData[[#This Row],[Age]]&lt;45,"35-44",IF(EmployeeData[[#This Row],[Age]]&lt;55,"45-54","55+"))))</f>
        <v>25-34</v>
      </c>
      <c r="AK1407" s="4" t="str">
        <f>IF(EmployeeData[[#This Row],[MonthlyIncome]]&lt;3000,"Below 3K",IF(EmployeeData[[#This Row],[MonthlyIncome]]&lt;6000,"3K-6K",IF(EmployeeData[[#This Row],[MonthlyIncome]]&lt;9000,"6K-9K",IF(EmployeeData[[#This Row],[MonthlyIncome]]&lt;12000,"9K-12K","12K+"))))</f>
        <v>9K-12K</v>
      </c>
    </row>
    <row r="1408" spans="1:37" x14ac:dyDescent="0.3">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c r="AJ1408" s="4" t="str">
        <f>IF(EmployeeData[[#This Row],[Age]]&lt;25,"Under 25",IF(EmployeeData[[#This Row],[Age]]&lt;35,"25-34",IF(EmployeeData[[#This Row],[Age]]&lt;45,"35-44",IF(EmployeeData[[#This Row],[Age]]&lt;55,"45-54","55+"))))</f>
        <v>45-54</v>
      </c>
      <c r="AK1408" s="4" t="str">
        <f>IF(EmployeeData[[#This Row],[MonthlyIncome]]&lt;3000,"Below 3K",IF(EmployeeData[[#This Row],[MonthlyIncome]]&lt;6000,"3K-6K",IF(EmployeeData[[#This Row],[MonthlyIncome]]&lt;9000,"6K-9K",IF(EmployeeData[[#This Row],[MonthlyIncome]]&lt;12000,"9K-12K","12K+"))))</f>
        <v>3K-6K</v>
      </c>
    </row>
    <row r="1409" spans="1:37" x14ac:dyDescent="0.3">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c r="AJ1409" s="4" t="str">
        <f>IF(EmployeeData[[#This Row],[Age]]&lt;25,"Under 25",IF(EmployeeData[[#This Row],[Age]]&lt;35,"25-34",IF(EmployeeData[[#This Row],[Age]]&lt;45,"35-44",IF(EmployeeData[[#This Row],[Age]]&lt;55,"45-54","55+"))))</f>
        <v>Under 25</v>
      </c>
      <c r="AK1409" s="4" t="str">
        <f>IF(EmployeeData[[#This Row],[MonthlyIncome]]&lt;3000,"Below 3K",IF(EmployeeData[[#This Row],[MonthlyIncome]]&lt;6000,"3K-6K",IF(EmployeeData[[#This Row],[MonthlyIncome]]&lt;9000,"6K-9K",IF(EmployeeData[[#This Row],[MonthlyIncome]]&lt;12000,"9K-12K","12K+"))))</f>
        <v>3K-6K</v>
      </c>
    </row>
    <row r="1410" spans="1:37" x14ac:dyDescent="0.3">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c r="AJ1410" s="4" t="str">
        <f>IF(EmployeeData[[#This Row],[Age]]&lt;25,"Under 25",IF(EmployeeData[[#This Row],[Age]]&lt;35,"25-34",IF(EmployeeData[[#This Row],[Age]]&lt;45,"35-44",IF(EmployeeData[[#This Row],[Age]]&lt;55,"45-54","55+"))))</f>
        <v>Under 25</v>
      </c>
      <c r="AK1410" s="4" t="str">
        <f>IF(EmployeeData[[#This Row],[MonthlyIncome]]&lt;3000,"Below 3K",IF(EmployeeData[[#This Row],[MonthlyIncome]]&lt;6000,"3K-6K",IF(EmployeeData[[#This Row],[MonthlyIncome]]&lt;9000,"6K-9K",IF(EmployeeData[[#This Row],[MonthlyIncome]]&lt;12000,"9K-12K","12K+"))))</f>
        <v>Below 3K</v>
      </c>
    </row>
    <row r="1411" spans="1:37" x14ac:dyDescent="0.3">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c r="AJ1411" s="4" t="str">
        <f>IF(EmployeeData[[#This Row],[Age]]&lt;25,"Under 25",IF(EmployeeData[[#This Row],[Age]]&lt;35,"25-34",IF(EmployeeData[[#This Row],[Age]]&lt;45,"35-44",IF(EmployeeData[[#This Row],[Age]]&lt;55,"45-54","55+"))))</f>
        <v>35-44</v>
      </c>
      <c r="AK1411" s="4" t="str">
        <f>IF(EmployeeData[[#This Row],[MonthlyIncome]]&lt;3000,"Below 3K",IF(EmployeeData[[#This Row],[MonthlyIncome]]&lt;6000,"3K-6K",IF(EmployeeData[[#This Row],[MonthlyIncome]]&lt;9000,"6K-9K",IF(EmployeeData[[#This Row],[MonthlyIncome]]&lt;12000,"9K-12K","12K+"))))</f>
        <v>6K-9K</v>
      </c>
    </row>
    <row r="1412" spans="1:37" x14ac:dyDescent="0.3">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c r="AJ1412" s="4" t="str">
        <f>IF(EmployeeData[[#This Row],[Age]]&lt;25,"Under 25",IF(EmployeeData[[#This Row],[Age]]&lt;35,"25-34",IF(EmployeeData[[#This Row],[Age]]&lt;45,"35-44",IF(EmployeeData[[#This Row],[Age]]&lt;55,"45-54","55+"))))</f>
        <v>35-44</v>
      </c>
      <c r="AK1412" s="4" t="str">
        <f>IF(EmployeeData[[#This Row],[MonthlyIncome]]&lt;3000,"Below 3K",IF(EmployeeData[[#This Row],[MonthlyIncome]]&lt;6000,"3K-6K",IF(EmployeeData[[#This Row],[MonthlyIncome]]&lt;9000,"6K-9K",IF(EmployeeData[[#This Row],[MonthlyIncome]]&lt;12000,"9K-12K","12K+"))))</f>
        <v>3K-6K</v>
      </c>
    </row>
    <row r="1413" spans="1:37" x14ac:dyDescent="0.3">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c r="AJ1413" s="4" t="str">
        <f>IF(EmployeeData[[#This Row],[Age]]&lt;25,"Under 25",IF(EmployeeData[[#This Row],[Age]]&lt;35,"25-34",IF(EmployeeData[[#This Row],[Age]]&lt;45,"35-44",IF(EmployeeData[[#This Row],[Age]]&lt;55,"45-54","55+"))))</f>
        <v>25-34</v>
      </c>
      <c r="AK1413" s="4" t="str">
        <f>IF(EmployeeData[[#This Row],[MonthlyIncome]]&lt;3000,"Below 3K",IF(EmployeeData[[#This Row],[MonthlyIncome]]&lt;6000,"3K-6K",IF(EmployeeData[[#This Row],[MonthlyIncome]]&lt;9000,"6K-9K",IF(EmployeeData[[#This Row],[MonthlyIncome]]&lt;12000,"9K-12K","12K+"))))</f>
        <v>Below 3K</v>
      </c>
    </row>
    <row r="1414" spans="1:37" x14ac:dyDescent="0.3">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c r="AJ1414" s="4" t="str">
        <f>IF(EmployeeData[[#This Row],[Age]]&lt;25,"Under 25",IF(EmployeeData[[#This Row],[Age]]&lt;35,"25-34",IF(EmployeeData[[#This Row],[Age]]&lt;45,"35-44",IF(EmployeeData[[#This Row],[Age]]&lt;55,"45-54","55+"))))</f>
        <v>25-34</v>
      </c>
      <c r="AK1414" s="4" t="str">
        <f>IF(EmployeeData[[#This Row],[MonthlyIncome]]&lt;3000,"Below 3K",IF(EmployeeData[[#This Row],[MonthlyIncome]]&lt;6000,"3K-6K",IF(EmployeeData[[#This Row],[MonthlyIncome]]&lt;9000,"6K-9K",IF(EmployeeData[[#This Row],[MonthlyIncome]]&lt;12000,"9K-12K","12K+"))))</f>
        <v>3K-6K</v>
      </c>
    </row>
    <row r="1415" spans="1:37" x14ac:dyDescent="0.3">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c r="AJ1415" s="4" t="str">
        <f>IF(EmployeeData[[#This Row],[Age]]&lt;25,"Under 25",IF(EmployeeData[[#This Row],[Age]]&lt;35,"25-34",IF(EmployeeData[[#This Row],[Age]]&lt;45,"35-44",IF(EmployeeData[[#This Row],[Age]]&lt;55,"45-54","55+"))))</f>
        <v>25-34</v>
      </c>
      <c r="AK1415" s="4" t="str">
        <f>IF(EmployeeData[[#This Row],[MonthlyIncome]]&lt;3000,"Below 3K",IF(EmployeeData[[#This Row],[MonthlyIncome]]&lt;6000,"3K-6K",IF(EmployeeData[[#This Row],[MonthlyIncome]]&lt;9000,"6K-9K",IF(EmployeeData[[#This Row],[MonthlyIncome]]&lt;12000,"9K-12K","12K+"))))</f>
        <v>3K-6K</v>
      </c>
    </row>
    <row r="1416" spans="1:37" x14ac:dyDescent="0.3">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c r="AJ1416" s="4" t="str">
        <f>IF(EmployeeData[[#This Row],[Age]]&lt;25,"Under 25",IF(EmployeeData[[#This Row],[Age]]&lt;35,"25-34",IF(EmployeeData[[#This Row],[Age]]&lt;45,"35-44",IF(EmployeeData[[#This Row],[Age]]&lt;55,"45-54","55+"))))</f>
        <v>45-54</v>
      </c>
      <c r="AK1416" s="4" t="str">
        <f>IF(EmployeeData[[#This Row],[MonthlyIncome]]&lt;3000,"Below 3K",IF(EmployeeData[[#This Row],[MonthlyIncome]]&lt;6000,"3K-6K",IF(EmployeeData[[#This Row],[MonthlyIncome]]&lt;9000,"6K-9K",IF(EmployeeData[[#This Row],[MonthlyIncome]]&lt;12000,"9K-12K","12K+"))))</f>
        <v>6K-9K</v>
      </c>
    </row>
    <row r="1417" spans="1:37" x14ac:dyDescent="0.3">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c r="AJ1417" s="4" t="str">
        <f>IF(EmployeeData[[#This Row],[Age]]&lt;25,"Under 25",IF(EmployeeData[[#This Row],[Age]]&lt;35,"25-34",IF(EmployeeData[[#This Row],[Age]]&lt;45,"35-44",IF(EmployeeData[[#This Row],[Age]]&lt;55,"45-54","55+"))))</f>
        <v>25-34</v>
      </c>
      <c r="AK1417" s="4" t="str">
        <f>IF(EmployeeData[[#This Row],[MonthlyIncome]]&lt;3000,"Below 3K",IF(EmployeeData[[#This Row],[MonthlyIncome]]&lt;6000,"3K-6K",IF(EmployeeData[[#This Row],[MonthlyIncome]]&lt;9000,"6K-9K",IF(EmployeeData[[#This Row],[MonthlyIncome]]&lt;12000,"9K-12K","12K+"))))</f>
        <v>Below 3K</v>
      </c>
    </row>
    <row r="1418" spans="1:37" x14ac:dyDescent="0.3">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c r="AJ1418" s="4" t="str">
        <f>IF(EmployeeData[[#This Row],[Age]]&lt;25,"Under 25",IF(EmployeeData[[#This Row],[Age]]&lt;35,"25-34",IF(EmployeeData[[#This Row],[Age]]&lt;45,"35-44",IF(EmployeeData[[#This Row],[Age]]&lt;55,"45-54","55+"))))</f>
        <v>35-44</v>
      </c>
      <c r="AK1418" s="4" t="str">
        <f>IF(EmployeeData[[#This Row],[MonthlyIncome]]&lt;3000,"Below 3K",IF(EmployeeData[[#This Row],[MonthlyIncome]]&lt;6000,"3K-6K",IF(EmployeeData[[#This Row],[MonthlyIncome]]&lt;9000,"6K-9K",IF(EmployeeData[[#This Row],[MonthlyIncome]]&lt;12000,"9K-12K","12K+"))))</f>
        <v>3K-6K</v>
      </c>
    </row>
    <row r="1419" spans="1:37" x14ac:dyDescent="0.3">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c r="AJ1419" s="4" t="str">
        <f>IF(EmployeeData[[#This Row],[Age]]&lt;25,"Under 25",IF(EmployeeData[[#This Row],[Age]]&lt;35,"25-34",IF(EmployeeData[[#This Row],[Age]]&lt;45,"35-44",IF(EmployeeData[[#This Row],[Age]]&lt;55,"45-54","55+"))))</f>
        <v>25-34</v>
      </c>
      <c r="AK1419" s="4" t="str">
        <f>IF(EmployeeData[[#This Row],[MonthlyIncome]]&lt;3000,"Below 3K",IF(EmployeeData[[#This Row],[MonthlyIncome]]&lt;6000,"3K-6K",IF(EmployeeData[[#This Row],[MonthlyIncome]]&lt;9000,"6K-9K",IF(EmployeeData[[#This Row],[MonthlyIncome]]&lt;12000,"9K-12K","12K+"))))</f>
        <v>3K-6K</v>
      </c>
    </row>
    <row r="1420" spans="1:37" x14ac:dyDescent="0.3">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c r="AJ1420" s="4" t="str">
        <f>IF(EmployeeData[[#This Row],[Age]]&lt;25,"Under 25",IF(EmployeeData[[#This Row],[Age]]&lt;35,"25-34",IF(EmployeeData[[#This Row],[Age]]&lt;45,"35-44",IF(EmployeeData[[#This Row],[Age]]&lt;55,"45-54","55+"))))</f>
        <v>35-44</v>
      </c>
      <c r="AK1420" s="4" t="str">
        <f>IF(EmployeeData[[#This Row],[MonthlyIncome]]&lt;3000,"Below 3K",IF(EmployeeData[[#This Row],[MonthlyIncome]]&lt;6000,"3K-6K",IF(EmployeeData[[#This Row],[MonthlyIncome]]&lt;9000,"6K-9K",IF(EmployeeData[[#This Row],[MonthlyIncome]]&lt;12000,"9K-12K","12K+"))))</f>
        <v>3K-6K</v>
      </c>
    </row>
    <row r="1421" spans="1:37" x14ac:dyDescent="0.3">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c r="AJ1421" s="4" t="str">
        <f>IF(EmployeeData[[#This Row],[Age]]&lt;25,"Under 25",IF(EmployeeData[[#This Row],[Age]]&lt;35,"25-34",IF(EmployeeData[[#This Row],[Age]]&lt;45,"35-44",IF(EmployeeData[[#This Row],[Age]]&lt;55,"45-54","55+"))))</f>
        <v>35-44</v>
      </c>
      <c r="AK1421" s="4" t="str">
        <f>IF(EmployeeData[[#This Row],[MonthlyIncome]]&lt;3000,"Below 3K",IF(EmployeeData[[#This Row],[MonthlyIncome]]&lt;6000,"3K-6K",IF(EmployeeData[[#This Row],[MonthlyIncome]]&lt;9000,"6K-9K",IF(EmployeeData[[#This Row],[MonthlyIncome]]&lt;12000,"9K-12K","12K+"))))</f>
        <v>3K-6K</v>
      </c>
    </row>
    <row r="1422" spans="1:37" x14ac:dyDescent="0.3">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c r="AJ1422" s="4" t="str">
        <f>IF(EmployeeData[[#This Row],[Age]]&lt;25,"Under 25",IF(EmployeeData[[#This Row],[Age]]&lt;35,"25-34",IF(EmployeeData[[#This Row],[Age]]&lt;45,"35-44",IF(EmployeeData[[#This Row],[Age]]&lt;55,"45-54","55+"))))</f>
        <v>35-44</v>
      </c>
      <c r="AK1422" s="4" t="str">
        <f>IF(EmployeeData[[#This Row],[MonthlyIncome]]&lt;3000,"Below 3K",IF(EmployeeData[[#This Row],[MonthlyIncome]]&lt;6000,"3K-6K",IF(EmployeeData[[#This Row],[MonthlyIncome]]&lt;9000,"6K-9K",IF(EmployeeData[[#This Row],[MonthlyIncome]]&lt;12000,"9K-12K","12K+"))))</f>
        <v>Below 3K</v>
      </c>
    </row>
    <row r="1423" spans="1:37" x14ac:dyDescent="0.3">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c r="AJ1423" s="4" t="str">
        <f>IF(EmployeeData[[#This Row],[Age]]&lt;25,"Under 25",IF(EmployeeData[[#This Row],[Age]]&lt;35,"25-34",IF(EmployeeData[[#This Row],[Age]]&lt;45,"35-44",IF(EmployeeData[[#This Row],[Age]]&lt;55,"45-54","55+"))))</f>
        <v>45-54</v>
      </c>
      <c r="AK1423" s="4" t="str">
        <f>IF(EmployeeData[[#This Row],[MonthlyIncome]]&lt;3000,"Below 3K",IF(EmployeeData[[#This Row],[MonthlyIncome]]&lt;6000,"3K-6K",IF(EmployeeData[[#This Row],[MonthlyIncome]]&lt;9000,"6K-9K",IF(EmployeeData[[#This Row],[MonthlyIncome]]&lt;12000,"9K-12K","12K+"))))</f>
        <v>9K-12K</v>
      </c>
    </row>
    <row r="1424" spans="1:37" x14ac:dyDescent="0.3">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c r="AJ1424" s="4" t="str">
        <f>IF(EmployeeData[[#This Row],[Age]]&lt;25,"Under 25",IF(EmployeeData[[#This Row],[Age]]&lt;35,"25-34",IF(EmployeeData[[#This Row],[Age]]&lt;45,"35-44",IF(EmployeeData[[#This Row],[Age]]&lt;55,"45-54","55+"))))</f>
        <v>35-44</v>
      </c>
      <c r="AK1424" s="4" t="str">
        <f>IF(EmployeeData[[#This Row],[MonthlyIncome]]&lt;3000,"Below 3K",IF(EmployeeData[[#This Row],[MonthlyIncome]]&lt;6000,"3K-6K",IF(EmployeeData[[#This Row],[MonthlyIncome]]&lt;9000,"6K-9K",IF(EmployeeData[[#This Row],[MonthlyIncome]]&lt;12000,"9K-12K","12K+"))))</f>
        <v>Below 3K</v>
      </c>
    </row>
    <row r="1425" spans="1:37" x14ac:dyDescent="0.3">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c r="AJ1425" s="4" t="str">
        <f>IF(EmployeeData[[#This Row],[Age]]&lt;25,"Under 25",IF(EmployeeData[[#This Row],[Age]]&lt;35,"25-34",IF(EmployeeData[[#This Row],[Age]]&lt;45,"35-44",IF(EmployeeData[[#This Row],[Age]]&lt;55,"45-54","55+"))))</f>
        <v>Under 25</v>
      </c>
      <c r="AK1425" s="4" t="str">
        <f>IF(EmployeeData[[#This Row],[MonthlyIncome]]&lt;3000,"Below 3K",IF(EmployeeData[[#This Row],[MonthlyIncome]]&lt;6000,"3K-6K",IF(EmployeeData[[#This Row],[MonthlyIncome]]&lt;9000,"6K-9K",IF(EmployeeData[[#This Row],[MonthlyIncome]]&lt;12000,"9K-12K","12K+"))))</f>
        <v>3K-6K</v>
      </c>
    </row>
    <row r="1426" spans="1:37" x14ac:dyDescent="0.3">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c r="AJ1426" s="4" t="str">
        <f>IF(EmployeeData[[#This Row],[Age]]&lt;25,"Under 25",IF(EmployeeData[[#This Row],[Age]]&lt;35,"25-34",IF(EmployeeData[[#This Row],[Age]]&lt;45,"35-44",IF(EmployeeData[[#This Row],[Age]]&lt;55,"45-54","55+"))))</f>
        <v>35-44</v>
      </c>
      <c r="AK1426" s="4" t="str">
        <f>IF(EmployeeData[[#This Row],[MonthlyIncome]]&lt;3000,"Below 3K",IF(EmployeeData[[#This Row],[MonthlyIncome]]&lt;6000,"3K-6K",IF(EmployeeData[[#This Row],[MonthlyIncome]]&lt;9000,"6K-9K",IF(EmployeeData[[#This Row],[MonthlyIncome]]&lt;12000,"9K-12K","12K+"))))</f>
        <v>3K-6K</v>
      </c>
    </row>
    <row r="1427" spans="1:37" x14ac:dyDescent="0.3">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c r="AJ1427" s="4" t="str">
        <f>IF(EmployeeData[[#This Row],[Age]]&lt;25,"Under 25",IF(EmployeeData[[#This Row],[Age]]&lt;35,"25-34",IF(EmployeeData[[#This Row],[Age]]&lt;45,"35-44",IF(EmployeeData[[#This Row],[Age]]&lt;55,"45-54","55+"))))</f>
        <v>25-34</v>
      </c>
      <c r="AK1427" s="4" t="str">
        <f>IF(EmployeeData[[#This Row],[MonthlyIncome]]&lt;3000,"Below 3K",IF(EmployeeData[[#This Row],[MonthlyIncome]]&lt;6000,"3K-6K",IF(EmployeeData[[#This Row],[MonthlyIncome]]&lt;9000,"6K-9K",IF(EmployeeData[[#This Row],[MonthlyIncome]]&lt;12000,"9K-12K","12K+"))))</f>
        <v>3K-6K</v>
      </c>
    </row>
    <row r="1428" spans="1:37" x14ac:dyDescent="0.3">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c r="AJ1428" s="4" t="str">
        <f>IF(EmployeeData[[#This Row],[Age]]&lt;25,"Under 25",IF(EmployeeData[[#This Row],[Age]]&lt;35,"25-34",IF(EmployeeData[[#This Row],[Age]]&lt;45,"35-44",IF(EmployeeData[[#This Row],[Age]]&lt;55,"45-54","55+"))))</f>
        <v>25-34</v>
      </c>
      <c r="AK1428" s="4" t="str">
        <f>IF(EmployeeData[[#This Row],[MonthlyIncome]]&lt;3000,"Below 3K",IF(EmployeeData[[#This Row],[MonthlyIncome]]&lt;6000,"3K-6K",IF(EmployeeData[[#This Row],[MonthlyIncome]]&lt;9000,"6K-9K",IF(EmployeeData[[#This Row],[MonthlyIncome]]&lt;12000,"9K-12K","12K+"))))</f>
        <v>Below 3K</v>
      </c>
    </row>
    <row r="1429" spans="1:37" x14ac:dyDescent="0.3">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c r="AJ1429" s="4" t="str">
        <f>IF(EmployeeData[[#This Row],[Age]]&lt;25,"Under 25",IF(EmployeeData[[#This Row],[Age]]&lt;35,"25-34",IF(EmployeeData[[#This Row],[Age]]&lt;45,"35-44",IF(EmployeeData[[#This Row],[Age]]&lt;55,"45-54","55+"))))</f>
        <v>35-44</v>
      </c>
      <c r="AK1429" s="4" t="str">
        <f>IF(EmployeeData[[#This Row],[MonthlyIncome]]&lt;3000,"Below 3K",IF(EmployeeData[[#This Row],[MonthlyIncome]]&lt;6000,"3K-6K",IF(EmployeeData[[#This Row],[MonthlyIncome]]&lt;9000,"6K-9K",IF(EmployeeData[[#This Row],[MonthlyIncome]]&lt;12000,"9K-12K","12K+"))))</f>
        <v>Below 3K</v>
      </c>
    </row>
    <row r="1430" spans="1:37" x14ac:dyDescent="0.3">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c r="AJ1430" s="4" t="str">
        <f>IF(EmployeeData[[#This Row],[Age]]&lt;25,"Under 25",IF(EmployeeData[[#This Row],[Age]]&lt;35,"25-34",IF(EmployeeData[[#This Row],[Age]]&lt;45,"35-44",IF(EmployeeData[[#This Row],[Age]]&lt;55,"45-54","55+"))))</f>
        <v>25-34</v>
      </c>
      <c r="AK1430" s="4" t="str">
        <f>IF(EmployeeData[[#This Row],[MonthlyIncome]]&lt;3000,"Below 3K",IF(EmployeeData[[#This Row],[MonthlyIncome]]&lt;6000,"3K-6K",IF(EmployeeData[[#This Row],[MonthlyIncome]]&lt;9000,"6K-9K",IF(EmployeeData[[#This Row],[MonthlyIncome]]&lt;12000,"9K-12K","12K+"))))</f>
        <v>Below 3K</v>
      </c>
    </row>
    <row r="1431" spans="1:37" x14ac:dyDescent="0.3">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c r="AJ1431" s="4" t="str">
        <f>IF(EmployeeData[[#This Row],[Age]]&lt;25,"Under 25",IF(EmployeeData[[#This Row],[Age]]&lt;35,"25-34",IF(EmployeeData[[#This Row],[Age]]&lt;45,"35-44",IF(EmployeeData[[#This Row],[Age]]&lt;55,"45-54","55+"))))</f>
        <v>35-44</v>
      </c>
      <c r="AK1431" s="4" t="str">
        <f>IF(EmployeeData[[#This Row],[MonthlyIncome]]&lt;3000,"Below 3K",IF(EmployeeData[[#This Row],[MonthlyIncome]]&lt;6000,"3K-6K",IF(EmployeeData[[#This Row],[MonthlyIncome]]&lt;9000,"6K-9K",IF(EmployeeData[[#This Row],[MonthlyIncome]]&lt;12000,"9K-12K","12K+"))))</f>
        <v>3K-6K</v>
      </c>
    </row>
    <row r="1432" spans="1:37" x14ac:dyDescent="0.3">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c r="AJ1432" s="4" t="str">
        <f>IF(EmployeeData[[#This Row],[Age]]&lt;25,"Under 25",IF(EmployeeData[[#This Row],[Age]]&lt;35,"25-34",IF(EmployeeData[[#This Row],[Age]]&lt;45,"35-44",IF(EmployeeData[[#This Row],[Age]]&lt;55,"45-54","55+"))))</f>
        <v>35-44</v>
      </c>
      <c r="AK1432" s="4" t="str">
        <f>IF(EmployeeData[[#This Row],[MonthlyIncome]]&lt;3000,"Below 3K",IF(EmployeeData[[#This Row],[MonthlyIncome]]&lt;6000,"3K-6K",IF(EmployeeData[[#This Row],[MonthlyIncome]]&lt;9000,"6K-9K",IF(EmployeeData[[#This Row],[MonthlyIncome]]&lt;12000,"9K-12K","12K+"))))</f>
        <v>12K+</v>
      </c>
    </row>
    <row r="1433" spans="1:37" x14ac:dyDescent="0.3">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c r="AJ1433" s="4" t="str">
        <f>IF(EmployeeData[[#This Row],[Age]]&lt;25,"Under 25",IF(EmployeeData[[#This Row],[Age]]&lt;35,"25-34",IF(EmployeeData[[#This Row],[Age]]&lt;45,"35-44",IF(EmployeeData[[#This Row],[Age]]&lt;55,"45-54","55+"))))</f>
        <v>25-34</v>
      </c>
      <c r="AK1433" s="4" t="str">
        <f>IF(EmployeeData[[#This Row],[MonthlyIncome]]&lt;3000,"Below 3K",IF(EmployeeData[[#This Row],[MonthlyIncome]]&lt;6000,"3K-6K",IF(EmployeeData[[#This Row],[MonthlyIncome]]&lt;9000,"6K-9K",IF(EmployeeData[[#This Row],[MonthlyIncome]]&lt;12000,"9K-12K","12K+"))))</f>
        <v>9K-12K</v>
      </c>
    </row>
    <row r="1434" spans="1:37" x14ac:dyDescent="0.3">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c r="AJ1434" s="4" t="str">
        <f>IF(EmployeeData[[#This Row],[Age]]&lt;25,"Under 25",IF(EmployeeData[[#This Row],[Age]]&lt;35,"25-34",IF(EmployeeData[[#This Row],[Age]]&lt;45,"35-44",IF(EmployeeData[[#This Row],[Age]]&lt;55,"45-54","55+"))))</f>
        <v>35-44</v>
      </c>
      <c r="AK1434" s="4" t="str">
        <f>IF(EmployeeData[[#This Row],[MonthlyIncome]]&lt;3000,"Below 3K",IF(EmployeeData[[#This Row],[MonthlyIncome]]&lt;6000,"3K-6K",IF(EmployeeData[[#This Row],[MonthlyIncome]]&lt;9000,"6K-9K",IF(EmployeeData[[#This Row],[MonthlyIncome]]&lt;12000,"9K-12K","12K+"))))</f>
        <v>12K+</v>
      </c>
    </row>
    <row r="1435" spans="1:37" x14ac:dyDescent="0.3">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c r="AJ1435" s="4" t="str">
        <f>IF(EmployeeData[[#This Row],[Age]]&lt;25,"Under 25",IF(EmployeeData[[#This Row],[Age]]&lt;35,"25-34",IF(EmployeeData[[#This Row],[Age]]&lt;45,"35-44",IF(EmployeeData[[#This Row],[Age]]&lt;55,"45-54","55+"))))</f>
        <v>25-34</v>
      </c>
      <c r="AK1435" s="4" t="str">
        <f>IF(EmployeeData[[#This Row],[MonthlyIncome]]&lt;3000,"Below 3K",IF(EmployeeData[[#This Row],[MonthlyIncome]]&lt;6000,"3K-6K",IF(EmployeeData[[#This Row],[MonthlyIncome]]&lt;9000,"6K-9K",IF(EmployeeData[[#This Row],[MonthlyIncome]]&lt;12000,"9K-12K","12K+"))))</f>
        <v>3K-6K</v>
      </c>
    </row>
    <row r="1436" spans="1:37" x14ac:dyDescent="0.3">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c r="AJ1436" s="4" t="str">
        <f>IF(EmployeeData[[#This Row],[Age]]&lt;25,"Under 25",IF(EmployeeData[[#This Row],[Age]]&lt;35,"25-34",IF(EmployeeData[[#This Row],[Age]]&lt;45,"35-44",IF(EmployeeData[[#This Row],[Age]]&lt;55,"45-54","55+"))))</f>
        <v>45-54</v>
      </c>
      <c r="AK1436" s="4" t="str">
        <f>IF(EmployeeData[[#This Row],[MonthlyIncome]]&lt;3000,"Below 3K",IF(EmployeeData[[#This Row],[MonthlyIncome]]&lt;6000,"3K-6K",IF(EmployeeData[[#This Row],[MonthlyIncome]]&lt;9000,"6K-9K",IF(EmployeeData[[#This Row],[MonthlyIncome]]&lt;12000,"9K-12K","12K+"))))</f>
        <v>3K-6K</v>
      </c>
    </row>
    <row r="1437" spans="1:37" x14ac:dyDescent="0.3">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c r="AJ1437" s="4" t="str">
        <f>IF(EmployeeData[[#This Row],[Age]]&lt;25,"Under 25",IF(EmployeeData[[#This Row],[Age]]&lt;35,"25-34",IF(EmployeeData[[#This Row],[Age]]&lt;45,"35-44",IF(EmployeeData[[#This Row],[Age]]&lt;55,"45-54","55+"))))</f>
        <v>35-44</v>
      </c>
      <c r="AK1437" s="4" t="str">
        <f>IF(EmployeeData[[#This Row],[MonthlyIncome]]&lt;3000,"Below 3K",IF(EmployeeData[[#This Row],[MonthlyIncome]]&lt;6000,"3K-6K",IF(EmployeeData[[#This Row],[MonthlyIncome]]&lt;9000,"6K-9K",IF(EmployeeData[[#This Row],[MonthlyIncome]]&lt;12000,"9K-12K","12K+"))))</f>
        <v>Below 3K</v>
      </c>
    </row>
    <row r="1438" spans="1:37" x14ac:dyDescent="0.3">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c r="AJ1438" s="4" t="str">
        <f>IF(EmployeeData[[#This Row],[Age]]&lt;25,"Under 25",IF(EmployeeData[[#This Row],[Age]]&lt;35,"25-34",IF(EmployeeData[[#This Row],[Age]]&lt;45,"35-44",IF(EmployeeData[[#This Row],[Age]]&lt;55,"45-54","55+"))))</f>
        <v>Under 25</v>
      </c>
      <c r="AK1438" s="4" t="str">
        <f>IF(EmployeeData[[#This Row],[MonthlyIncome]]&lt;3000,"Below 3K",IF(EmployeeData[[#This Row],[MonthlyIncome]]&lt;6000,"3K-6K",IF(EmployeeData[[#This Row],[MonthlyIncome]]&lt;9000,"6K-9K",IF(EmployeeData[[#This Row],[MonthlyIncome]]&lt;12000,"9K-12K","12K+"))))</f>
        <v>Below 3K</v>
      </c>
    </row>
    <row r="1439" spans="1:37" x14ac:dyDescent="0.3">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c r="AJ1439" s="4" t="str">
        <f>IF(EmployeeData[[#This Row],[Age]]&lt;25,"Under 25",IF(EmployeeData[[#This Row],[Age]]&lt;35,"25-34",IF(EmployeeData[[#This Row],[Age]]&lt;45,"35-44",IF(EmployeeData[[#This Row],[Age]]&lt;55,"45-54","55+"))))</f>
        <v>35-44</v>
      </c>
      <c r="AK1439" s="4" t="str">
        <f>IF(EmployeeData[[#This Row],[MonthlyIncome]]&lt;3000,"Below 3K",IF(EmployeeData[[#This Row],[MonthlyIncome]]&lt;6000,"3K-6K",IF(EmployeeData[[#This Row],[MonthlyIncome]]&lt;9000,"6K-9K",IF(EmployeeData[[#This Row],[MonthlyIncome]]&lt;12000,"9K-12K","12K+"))))</f>
        <v>12K+</v>
      </c>
    </row>
    <row r="1440" spans="1:37" x14ac:dyDescent="0.3">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c r="AJ1440" s="4" t="str">
        <f>IF(EmployeeData[[#This Row],[Age]]&lt;25,"Under 25",IF(EmployeeData[[#This Row],[Age]]&lt;35,"25-34",IF(EmployeeData[[#This Row],[Age]]&lt;45,"35-44",IF(EmployeeData[[#This Row],[Age]]&lt;55,"45-54","55+"))))</f>
        <v>Under 25</v>
      </c>
      <c r="AK1440" s="4" t="str">
        <f>IF(EmployeeData[[#This Row],[MonthlyIncome]]&lt;3000,"Below 3K",IF(EmployeeData[[#This Row],[MonthlyIncome]]&lt;6000,"3K-6K",IF(EmployeeData[[#This Row],[MonthlyIncome]]&lt;9000,"6K-9K",IF(EmployeeData[[#This Row],[MonthlyIncome]]&lt;12000,"9K-12K","12K+"))))</f>
        <v>Below 3K</v>
      </c>
    </row>
    <row r="1441" spans="1:37" x14ac:dyDescent="0.3">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c r="AJ1441" s="4" t="str">
        <f>IF(EmployeeData[[#This Row],[Age]]&lt;25,"Under 25",IF(EmployeeData[[#This Row],[Age]]&lt;35,"25-34",IF(EmployeeData[[#This Row],[Age]]&lt;45,"35-44",IF(EmployeeData[[#This Row],[Age]]&lt;55,"45-54","55+"))))</f>
        <v>35-44</v>
      </c>
      <c r="AK1441" s="4" t="str">
        <f>IF(EmployeeData[[#This Row],[MonthlyIncome]]&lt;3000,"Below 3K",IF(EmployeeData[[#This Row],[MonthlyIncome]]&lt;6000,"3K-6K",IF(EmployeeData[[#This Row],[MonthlyIncome]]&lt;9000,"6K-9K",IF(EmployeeData[[#This Row],[MonthlyIncome]]&lt;12000,"9K-12K","12K+"))))</f>
        <v>6K-9K</v>
      </c>
    </row>
    <row r="1442" spans="1:37" x14ac:dyDescent="0.3">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c r="AJ1442" s="4" t="str">
        <f>IF(EmployeeData[[#This Row],[Age]]&lt;25,"Under 25",IF(EmployeeData[[#This Row],[Age]]&lt;35,"25-34",IF(EmployeeData[[#This Row],[Age]]&lt;45,"35-44",IF(EmployeeData[[#This Row],[Age]]&lt;55,"45-54","55+"))))</f>
        <v>35-44</v>
      </c>
      <c r="AK1442" s="4" t="str">
        <f>IF(EmployeeData[[#This Row],[MonthlyIncome]]&lt;3000,"Below 3K",IF(EmployeeData[[#This Row],[MonthlyIncome]]&lt;6000,"3K-6K",IF(EmployeeData[[#This Row],[MonthlyIncome]]&lt;9000,"6K-9K",IF(EmployeeData[[#This Row],[MonthlyIncome]]&lt;12000,"9K-12K","12K+"))))</f>
        <v>3K-6K</v>
      </c>
    </row>
    <row r="1443" spans="1:37" x14ac:dyDescent="0.3">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c r="AJ1443" s="4" t="str">
        <f>IF(EmployeeData[[#This Row],[Age]]&lt;25,"Under 25",IF(EmployeeData[[#This Row],[Age]]&lt;35,"25-34",IF(EmployeeData[[#This Row],[Age]]&lt;45,"35-44",IF(EmployeeData[[#This Row],[Age]]&lt;55,"45-54","55+"))))</f>
        <v>55+</v>
      </c>
      <c r="AK1443" s="4" t="str">
        <f>IF(EmployeeData[[#This Row],[MonthlyIncome]]&lt;3000,"Below 3K",IF(EmployeeData[[#This Row],[MonthlyIncome]]&lt;6000,"3K-6K",IF(EmployeeData[[#This Row],[MonthlyIncome]]&lt;9000,"6K-9K",IF(EmployeeData[[#This Row],[MonthlyIncome]]&lt;12000,"9K-12K","12K+"))))</f>
        <v>6K-9K</v>
      </c>
    </row>
    <row r="1444" spans="1:37" x14ac:dyDescent="0.3">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c r="AJ1444" s="4" t="str">
        <f>IF(EmployeeData[[#This Row],[Age]]&lt;25,"Under 25",IF(EmployeeData[[#This Row],[Age]]&lt;35,"25-34",IF(EmployeeData[[#This Row],[Age]]&lt;45,"35-44",IF(EmployeeData[[#This Row],[Age]]&lt;55,"45-54","55+"))))</f>
        <v>25-34</v>
      </c>
      <c r="AK1444" s="4" t="str">
        <f>IF(EmployeeData[[#This Row],[MonthlyIncome]]&lt;3000,"Below 3K",IF(EmployeeData[[#This Row],[MonthlyIncome]]&lt;6000,"3K-6K",IF(EmployeeData[[#This Row],[MonthlyIncome]]&lt;9000,"6K-9K",IF(EmployeeData[[#This Row],[MonthlyIncome]]&lt;12000,"9K-12K","12K+"))))</f>
        <v>3K-6K</v>
      </c>
    </row>
    <row r="1445" spans="1:37" x14ac:dyDescent="0.3">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c r="AJ1445" s="4" t="str">
        <f>IF(EmployeeData[[#This Row],[Age]]&lt;25,"Under 25",IF(EmployeeData[[#This Row],[Age]]&lt;35,"25-34",IF(EmployeeData[[#This Row],[Age]]&lt;45,"35-44",IF(EmployeeData[[#This Row],[Age]]&lt;55,"45-54","55+"))))</f>
        <v>35-44</v>
      </c>
      <c r="AK1445" s="4" t="str">
        <f>IF(EmployeeData[[#This Row],[MonthlyIncome]]&lt;3000,"Below 3K",IF(EmployeeData[[#This Row],[MonthlyIncome]]&lt;6000,"3K-6K",IF(EmployeeData[[#This Row],[MonthlyIncome]]&lt;9000,"6K-9K",IF(EmployeeData[[#This Row],[MonthlyIncome]]&lt;12000,"9K-12K","12K+"))))</f>
        <v>12K+</v>
      </c>
    </row>
    <row r="1446" spans="1:37" x14ac:dyDescent="0.3">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c r="AJ1446" s="4" t="str">
        <f>IF(EmployeeData[[#This Row],[Age]]&lt;25,"Under 25",IF(EmployeeData[[#This Row],[Age]]&lt;35,"25-34",IF(EmployeeData[[#This Row],[Age]]&lt;45,"35-44",IF(EmployeeData[[#This Row],[Age]]&lt;55,"45-54","55+"))))</f>
        <v>55+</v>
      </c>
      <c r="AK1446" s="4" t="str">
        <f>IF(EmployeeData[[#This Row],[MonthlyIncome]]&lt;3000,"Below 3K",IF(EmployeeData[[#This Row],[MonthlyIncome]]&lt;6000,"3K-6K",IF(EmployeeData[[#This Row],[MonthlyIncome]]&lt;9000,"6K-9K",IF(EmployeeData[[#This Row],[MonthlyIncome]]&lt;12000,"9K-12K","12K+"))))</f>
        <v>Below 3K</v>
      </c>
    </row>
    <row r="1447" spans="1:37" x14ac:dyDescent="0.3">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c r="AJ1447" s="4" t="str">
        <f>IF(EmployeeData[[#This Row],[Age]]&lt;25,"Under 25",IF(EmployeeData[[#This Row],[Age]]&lt;35,"25-34",IF(EmployeeData[[#This Row],[Age]]&lt;45,"35-44",IF(EmployeeData[[#This Row],[Age]]&lt;55,"45-54","55+"))))</f>
        <v>35-44</v>
      </c>
      <c r="AK1447" s="4" t="str">
        <f>IF(EmployeeData[[#This Row],[MonthlyIncome]]&lt;3000,"Below 3K",IF(EmployeeData[[#This Row],[MonthlyIncome]]&lt;6000,"3K-6K",IF(EmployeeData[[#This Row],[MonthlyIncome]]&lt;9000,"6K-9K",IF(EmployeeData[[#This Row],[MonthlyIncome]]&lt;12000,"9K-12K","12K+"))))</f>
        <v>12K+</v>
      </c>
    </row>
    <row r="1448" spans="1:37" x14ac:dyDescent="0.3">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c r="AJ1448" s="4" t="str">
        <f>IF(EmployeeData[[#This Row],[Age]]&lt;25,"Under 25",IF(EmployeeData[[#This Row],[Age]]&lt;35,"25-34",IF(EmployeeData[[#This Row],[Age]]&lt;45,"35-44",IF(EmployeeData[[#This Row],[Age]]&lt;55,"45-54","55+"))))</f>
        <v>25-34</v>
      </c>
      <c r="AK1448" s="4" t="str">
        <f>IF(EmployeeData[[#This Row],[MonthlyIncome]]&lt;3000,"Below 3K",IF(EmployeeData[[#This Row],[MonthlyIncome]]&lt;6000,"3K-6K",IF(EmployeeData[[#This Row],[MonthlyIncome]]&lt;9000,"6K-9K",IF(EmployeeData[[#This Row],[MonthlyIncome]]&lt;12000,"9K-12K","12K+"))))</f>
        <v>6K-9K</v>
      </c>
    </row>
    <row r="1449" spans="1:37" x14ac:dyDescent="0.3">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c r="AJ1449" s="4" t="str">
        <f>IF(EmployeeData[[#This Row],[Age]]&lt;25,"Under 25",IF(EmployeeData[[#This Row],[Age]]&lt;35,"25-34",IF(EmployeeData[[#This Row],[Age]]&lt;45,"35-44",IF(EmployeeData[[#This Row],[Age]]&lt;55,"45-54","55+"))))</f>
        <v>35-44</v>
      </c>
      <c r="AK1449" s="4" t="str">
        <f>IF(EmployeeData[[#This Row],[MonthlyIncome]]&lt;3000,"Below 3K",IF(EmployeeData[[#This Row],[MonthlyIncome]]&lt;6000,"3K-6K",IF(EmployeeData[[#This Row],[MonthlyIncome]]&lt;9000,"6K-9K",IF(EmployeeData[[#This Row],[MonthlyIncome]]&lt;12000,"9K-12K","12K+"))))</f>
        <v>3K-6K</v>
      </c>
    </row>
    <row r="1450" spans="1:37" x14ac:dyDescent="0.3">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c r="AJ1450" s="4" t="str">
        <f>IF(EmployeeData[[#This Row],[Age]]&lt;25,"Under 25",IF(EmployeeData[[#This Row],[Age]]&lt;35,"25-34",IF(EmployeeData[[#This Row],[Age]]&lt;45,"35-44",IF(EmployeeData[[#This Row],[Age]]&lt;55,"45-54","55+"))))</f>
        <v>35-44</v>
      </c>
      <c r="AK1450" s="4" t="str">
        <f>IF(EmployeeData[[#This Row],[MonthlyIncome]]&lt;3000,"Below 3K",IF(EmployeeData[[#This Row],[MonthlyIncome]]&lt;6000,"3K-6K",IF(EmployeeData[[#This Row],[MonthlyIncome]]&lt;9000,"6K-9K",IF(EmployeeData[[#This Row],[MonthlyIncome]]&lt;12000,"9K-12K","12K+"))))</f>
        <v>6K-9K</v>
      </c>
    </row>
    <row r="1451" spans="1:37" x14ac:dyDescent="0.3">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c r="AJ1451" s="4" t="str">
        <f>IF(EmployeeData[[#This Row],[Age]]&lt;25,"Under 25",IF(EmployeeData[[#This Row],[Age]]&lt;35,"25-34",IF(EmployeeData[[#This Row],[Age]]&lt;45,"35-44",IF(EmployeeData[[#This Row],[Age]]&lt;55,"45-54","55+"))))</f>
        <v>25-34</v>
      </c>
      <c r="AK1451" s="4" t="str">
        <f>IF(EmployeeData[[#This Row],[MonthlyIncome]]&lt;3000,"Below 3K",IF(EmployeeData[[#This Row],[MonthlyIncome]]&lt;6000,"3K-6K",IF(EmployeeData[[#This Row],[MonthlyIncome]]&lt;9000,"6K-9K",IF(EmployeeData[[#This Row],[MonthlyIncome]]&lt;12000,"9K-12K","12K+"))))</f>
        <v>Below 3K</v>
      </c>
    </row>
    <row r="1452" spans="1:37" x14ac:dyDescent="0.3">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c r="AJ1452" s="4" t="str">
        <f>IF(EmployeeData[[#This Row],[Age]]&lt;25,"Under 25",IF(EmployeeData[[#This Row],[Age]]&lt;35,"25-34",IF(EmployeeData[[#This Row],[Age]]&lt;45,"35-44",IF(EmployeeData[[#This Row],[Age]]&lt;55,"45-54","55+"))))</f>
        <v>35-44</v>
      </c>
      <c r="AK1452" s="4" t="str">
        <f>IF(EmployeeData[[#This Row],[MonthlyIncome]]&lt;3000,"Below 3K",IF(EmployeeData[[#This Row],[MonthlyIncome]]&lt;6000,"3K-6K",IF(EmployeeData[[#This Row],[MonthlyIncome]]&lt;9000,"6K-9K",IF(EmployeeData[[#This Row],[MonthlyIncome]]&lt;12000,"9K-12K","12K+"))))</f>
        <v>6K-9K</v>
      </c>
    </row>
    <row r="1453" spans="1:37" x14ac:dyDescent="0.3">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c r="AJ1453" s="4" t="str">
        <f>IF(EmployeeData[[#This Row],[Age]]&lt;25,"Under 25",IF(EmployeeData[[#This Row],[Age]]&lt;35,"25-34",IF(EmployeeData[[#This Row],[Age]]&lt;45,"35-44",IF(EmployeeData[[#This Row],[Age]]&lt;55,"45-54","55+"))))</f>
        <v>35-44</v>
      </c>
      <c r="AK1453" s="4" t="str">
        <f>IF(EmployeeData[[#This Row],[MonthlyIncome]]&lt;3000,"Below 3K",IF(EmployeeData[[#This Row],[MonthlyIncome]]&lt;6000,"3K-6K",IF(EmployeeData[[#This Row],[MonthlyIncome]]&lt;9000,"6K-9K",IF(EmployeeData[[#This Row],[MonthlyIncome]]&lt;12000,"9K-12K","12K+"))))</f>
        <v>3K-6K</v>
      </c>
    </row>
    <row r="1454" spans="1:37" x14ac:dyDescent="0.3">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c r="AJ1454" s="4" t="str">
        <f>IF(EmployeeData[[#This Row],[Age]]&lt;25,"Under 25",IF(EmployeeData[[#This Row],[Age]]&lt;35,"25-34",IF(EmployeeData[[#This Row],[Age]]&lt;45,"35-44",IF(EmployeeData[[#This Row],[Age]]&lt;55,"45-54","55+"))))</f>
        <v>45-54</v>
      </c>
      <c r="AK1454" s="4" t="str">
        <f>IF(EmployeeData[[#This Row],[MonthlyIncome]]&lt;3000,"Below 3K",IF(EmployeeData[[#This Row],[MonthlyIncome]]&lt;6000,"3K-6K",IF(EmployeeData[[#This Row],[MonthlyIncome]]&lt;9000,"6K-9K",IF(EmployeeData[[#This Row],[MonthlyIncome]]&lt;12000,"9K-12K","12K+"))))</f>
        <v>6K-9K</v>
      </c>
    </row>
    <row r="1455" spans="1:37" x14ac:dyDescent="0.3">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c r="AJ1455" s="4" t="str">
        <f>IF(EmployeeData[[#This Row],[Age]]&lt;25,"Under 25",IF(EmployeeData[[#This Row],[Age]]&lt;35,"25-34",IF(EmployeeData[[#This Row],[Age]]&lt;45,"35-44",IF(EmployeeData[[#This Row],[Age]]&lt;55,"45-54","55+"))))</f>
        <v>35-44</v>
      </c>
      <c r="AK1455" s="4" t="str">
        <f>IF(EmployeeData[[#This Row],[MonthlyIncome]]&lt;3000,"Below 3K",IF(EmployeeData[[#This Row],[MonthlyIncome]]&lt;6000,"3K-6K",IF(EmployeeData[[#This Row],[MonthlyIncome]]&lt;9000,"6K-9K",IF(EmployeeData[[#This Row],[MonthlyIncome]]&lt;12000,"9K-12K","12K+"))))</f>
        <v>6K-9K</v>
      </c>
    </row>
    <row r="1456" spans="1:37" x14ac:dyDescent="0.3">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c r="AJ1456" s="4" t="str">
        <f>IF(EmployeeData[[#This Row],[Age]]&lt;25,"Under 25",IF(EmployeeData[[#This Row],[Age]]&lt;35,"25-34",IF(EmployeeData[[#This Row],[Age]]&lt;45,"35-44",IF(EmployeeData[[#This Row],[Age]]&lt;55,"45-54","55+"))))</f>
        <v>45-54</v>
      </c>
      <c r="AK1456" s="4" t="str">
        <f>IF(EmployeeData[[#This Row],[MonthlyIncome]]&lt;3000,"Below 3K",IF(EmployeeData[[#This Row],[MonthlyIncome]]&lt;6000,"3K-6K",IF(EmployeeData[[#This Row],[MonthlyIncome]]&lt;9000,"6K-9K",IF(EmployeeData[[#This Row],[MonthlyIncome]]&lt;12000,"9K-12K","12K+"))))</f>
        <v>3K-6K</v>
      </c>
    </row>
    <row r="1457" spans="1:37" x14ac:dyDescent="0.3">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c r="AJ1457" s="4" t="str">
        <f>IF(EmployeeData[[#This Row],[Age]]&lt;25,"Under 25",IF(EmployeeData[[#This Row],[Age]]&lt;35,"25-34",IF(EmployeeData[[#This Row],[Age]]&lt;45,"35-44",IF(EmployeeData[[#This Row],[Age]]&lt;55,"45-54","55+"))))</f>
        <v>35-44</v>
      </c>
      <c r="AK1457" s="4" t="str">
        <f>IF(EmployeeData[[#This Row],[MonthlyIncome]]&lt;3000,"Below 3K",IF(EmployeeData[[#This Row],[MonthlyIncome]]&lt;6000,"3K-6K",IF(EmployeeData[[#This Row],[MonthlyIncome]]&lt;9000,"6K-9K",IF(EmployeeData[[#This Row],[MonthlyIncome]]&lt;12000,"9K-12K","12K+"))))</f>
        <v>Below 3K</v>
      </c>
    </row>
    <row r="1458" spans="1:37" x14ac:dyDescent="0.3">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c r="AJ1458" s="4" t="str">
        <f>IF(EmployeeData[[#This Row],[Age]]&lt;25,"Under 25",IF(EmployeeData[[#This Row],[Age]]&lt;35,"25-34",IF(EmployeeData[[#This Row],[Age]]&lt;45,"35-44",IF(EmployeeData[[#This Row],[Age]]&lt;55,"45-54","55+"))))</f>
        <v>35-44</v>
      </c>
      <c r="AK1458" s="4" t="str">
        <f>IF(EmployeeData[[#This Row],[MonthlyIncome]]&lt;3000,"Below 3K",IF(EmployeeData[[#This Row],[MonthlyIncome]]&lt;6000,"3K-6K",IF(EmployeeData[[#This Row],[MonthlyIncome]]&lt;9000,"6K-9K",IF(EmployeeData[[#This Row],[MonthlyIncome]]&lt;12000,"9K-12K","12K+"))))</f>
        <v>3K-6K</v>
      </c>
    </row>
    <row r="1459" spans="1:37" x14ac:dyDescent="0.3">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c r="AJ1459" s="4" t="str">
        <f>IF(EmployeeData[[#This Row],[Age]]&lt;25,"Under 25",IF(EmployeeData[[#This Row],[Age]]&lt;35,"25-34",IF(EmployeeData[[#This Row],[Age]]&lt;45,"35-44",IF(EmployeeData[[#This Row],[Age]]&lt;55,"45-54","55+"))))</f>
        <v>35-44</v>
      </c>
      <c r="AK1459" s="4" t="str">
        <f>IF(EmployeeData[[#This Row],[MonthlyIncome]]&lt;3000,"Below 3K",IF(EmployeeData[[#This Row],[MonthlyIncome]]&lt;6000,"3K-6K",IF(EmployeeData[[#This Row],[MonthlyIncome]]&lt;9000,"6K-9K",IF(EmployeeData[[#This Row],[MonthlyIncome]]&lt;12000,"9K-12K","12K+"))))</f>
        <v>Below 3K</v>
      </c>
    </row>
    <row r="1460" spans="1:37" x14ac:dyDescent="0.3">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c r="AJ1460" s="4" t="str">
        <f>IF(EmployeeData[[#This Row],[Age]]&lt;25,"Under 25",IF(EmployeeData[[#This Row],[Age]]&lt;35,"25-34",IF(EmployeeData[[#This Row],[Age]]&lt;45,"35-44",IF(EmployeeData[[#This Row],[Age]]&lt;55,"45-54","55+"))))</f>
        <v>35-44</v>
      </c>
      <c r="AK1460" s="4" t="str">
        <f>IF(EmployeeData[[#This Row],[MonthlyIncome]]&lt;3000,"Below 3K",IF(EmployeeData[[#This Row],[MonthlyIncome]]&lt;6000,"3K-6K",IF(EmployeeData[[#This Row],[MonthlyIncome]]&lt;9000,"6K-9K",IF(EmployeeData[[#This Row],[MonthlyIncome]]&lt;12000,"9K-12K","12K+"))))</f>
        <v>Below 3K</v>
      </c>
    </row>
    <row r="1461" spans="1:37" x14ac:dyDescent="0.3">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c r="AJ1461" s="4" t="str">
        <f>IF(EmployeeData[[#This Row],[Age]]&lt;25,"Under 25",IF(EmployeeData[[#This Row],[Age]]&lt;35,"25-34",IF(EmployeeData[[#This Row],[Age]]&lt;45,"35-44",IF(EmployeeData[[#This Row],[Age]]&lt;55,"45-54","55+"))))</f>
        <v>25-34</v>
      </c>
      <c r="AK1461" s="4" t="str">
        <f>IF(EmployeeData[[#This Row],[MonthlyIncome]]&lt;3000,"Below 3K",IF(EmployeeData[[#This Row],[MonthlyIncome]]&lt;6000,"3K-6K",IF(EmployeeData[[#This Row],[MonthlyIncome]]&lt;9000,"6K-9K",IF(EmployeeData[[#This Row],[MonthlyIncome]]&lt;12000,"9K-12K","12K+"))))</f>
        <v>3K-6K</v>
      </c>
    </row>
    <row r="1462" spans="1:37" x14ac:dyDescent="0.3">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c r="AJ1462" s="4" t="str">
        <f>IF(EmployeeData[[#This Row],[Age]]&lt;25,"Under 25",IF(EmployeeData[[#This Row],[Age]]&lt;35,"25-34",IF(EmployeeData[[#This Row],[Age]]&lt;45,"35-44",IF(EmployeeData[[#This Row],[Age]]&lt;55,"45-54","55+"))))</f>
        <v>25-34</v>
      </c>
      <c r="AK1462" s="4" t="str">
        <f>IF(EmployeeData[[#This Row],[MonthlyIncome]]&lt;3000,"Below 3K",IF(EmployeeData[[#This Row],[MonthlyIncome]]&lt;6000,"3K-6K",IF(EmployeeData[[#This Row],[MonthlyIncome]]&lt;9000,"6K-9K",IF(EmployeeData[[#This Row],[MonthlyIncome]]&lt;12000,"9K-12K","12K+"))))</f>
        <v>3K-6K</v>
      </c>
    </row>
    <row r="1463" spans="1:37" x14ac:dyDescent="0.3">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c r="AJ1463" s="4" t="str">
        <f>IF(EmployeeData[[#This Row],[Age]]&lt;25,"Under 25",IF(EmployeeData[[#This Row],[Age]]&lt;35,"25-34",IF(EmployeeData[[#This Row],[Age]]&lt;45,"35-44",IF(EmployeeData[[#This Row],[Age]]&lt;55,"45-54","55+"))))</f>
        <v>45-54</v>
      </c>
      <c r="AK1463" s="4" t="str">
        <f>IF(EmployeeData[[#This Row],[MonthlyIncome]]&lt;3000,"Below 3K",IF(EmployeeData[[#This Row],[MonthlyIncome]]&lt;6000,"3K-6K",IF(EmployeeData[[#This Row],[MonthlyIncome]]&lt;9000,"6K-9K",IF(EmployeeData[[#This Row],[MonthlyIncome]]&lt;12000,"9K-12K","12K+"))))</f>
        <v>9K-12K</v>
      </c>
    </row>
    <row r="1464" spans="1:37" x14ac:dyDescent="0.3">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c r="AJ1464" s="4" t="str">
        <f>IF(EmployeeData[[#This Row],[Age]]&lt;25,"Under 25",IF(EmployeeData[[#This Row],[Age]]&lt;35,"25-34",IF(EmployeeData[[#This Row],[Age]]&lt;45,"35-44",IF(EmployeeData[[#This Row],[Age]]&lt;55,"45-54","55+"))))</f>
        <v>35-44</v>
      </c>
      <c r="AK1464" s="4" t="str">
        <f>IF(EmployeeData[[#This Row],[MonthlyIncome]]&lt;3000,"Below 3K",IF(EmployeeData[[#This Row],[MonthlyIncome]]&lt;6000,"3K-6K",IF(EmployeeData[[#This Row],[MonthlyIncome]]&lt;9000,"6K-9K",IF(EmployeeData[[#This Row],[MonthlyIncome]]&lt;12000,"9K-12K","12K+"))))</f>
        <v>12K+</v>
      </c>
    </row>
    <row r="1465" spans="1:37" x14ac:dyDescent="0.3">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c r="AJ1465" s="4" t="str">
        <f>IF(EmployeeData[[#This Row],[Age]]&lt;25,"Under 25",IF(EmployeeData[[#This Row],[Age]]&lt;35,"25-34",IF(EmployeeData[[#This Row],[Age]]&lt;45,"35-44",IF(EmployeeData[[#This Row],[Age]]&lt;55,"45-54","55+"))))</f>
        <v>25-34</v>
      </c>
      <c r="AK1465" s="4" t="str">
        <f>IF(EmployeeData[[#This Row],[MonthlyIncome]]&lt;3000,"Below 3K",IF(EmployeeData[[#This Row],[MonthlyIncome]]&lt;6000,"3K-6K",IF(EmployeeData[[#This Row],[MonthlyIncome]]&lt;9000,"6K-9K",IF(EmployeeData[[#This Row],[MonthlyIncome]]&lt;12000,"9K-12K","12K+"))))</f>
        <v>9K-12K</v>
      </c>
    </row>
    <row r="1466" spans="1:37" x14ac:dyDescent="0.3">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c r="AJ1466" s="4" t="str">
        <f>IF(EmployeeData[[#This Row],[Age]]&lt;25,"Under 25",IF(EmployeeData[[#This Row],[Age]]&lt;35,"25-34",IF(EmployeeData[[#This Row],[Age]]&lt;45,"35-44",IF(EmployeeData[[#This Row],[Age]]&lt;55,"45-54","55+"))))</f>
        <v>25-34</v>
      </c>
      <c r="AK1466" s="4" t="str">
        <f>IF(EmployeeData[[#This Row],[MonthlyIncome]]&lt;3000,"Below 3K",IF(EmployeeData[[#This Row],[MonthlyIncome]]&lt;6000,"3K-6K",IF(EmployeeData[[#This Row],[MonthlyIncome]]&lt;9000,"6K-9K",IF(EmployeeData[[#This Row],[MonthlyIncome]]&lt;12000,"9K-12K","12K+"))))</f>
        <v>Below 3K</v>
      </c>
    </row>
    <row r="1467" spans="1:37" x14ac:dyDescent="0.3">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c r="AJ1467" s="4" t="str">
        <f>IF(EmployeeData[[#This Row],[Age]]&lt;25,"Under 25",IF(EmployeeData[[#This Row],[Age]]&lt;35,"25-34",IF(EmployeeData[[#This Row],[Age]]&lt;45,"35-44",IF(EmployeeData[[#This Row],[Age]]&lt;55,"45-54","55+"))))</f>
        <v>35-44</v>
      </c>
      <c r="AK1467" s="4" t="str">
        <f>IF(EmployeeData[[#This Row],[MonthlyIncome]]&lt;3000,"Below 3K",IF(EmployeeData[[#This Row],[MonthlyIncome]]&lt;6000,"3K-6K",IF(EmployeeData[[#This Row],[MonthlyIncome]]&lt;9000,"6K-9K",IF(EmployeeData[[#This Row],[MonthlyIncome]]&lt;12000,"9K-12K","12K+"))))</f>
        <v>Below 3K</v>
      </c>
    </row>
    <row r="1468" spans="1:37" x14ac:dyDescent="0.3">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c r="AJ1468" s="4" t="str">
        <f>IF(EmployeeData[[#This Row],[Age]]&lt;25,"Under 25",IF(EmployeeData[[#This Row],[Age]]&lt;35,"25-34",IF(EmployeeData[[#This Row],[Age]]&lt;45,"35-44",IF(EmployeeData[[#This Row],[Age]]&lt;55,"45-54","55+"))))</f>
        <v>35-44</v>
      </c>
      <c r="AK1468" s="4" t="str">
        <f>IF(EmployeeData[[#This Row],[MonthlyIncome]]&lt;3000,"Below 3K",IF(EmployeeData[[#This Row],[MonthlyIncome]]&lt;6000,"3K-6K",IF(EmployeeData[[#This Row],[MonthlyIncome]]&lt;9000,"6K-9K",IF(EmployeeData[[#This Row],[MonthlyIncome]]&lt;12000,"9K-12K","12K+"))))</f>
        <v>9K-12K</v>
      </c>
    </row>
    <row r="1469" spans="1:37" x14ac:dyDescent="0.3">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c r="AJ1469" s="4" t="str">
        <f>IF(EmployeeData[[#This Row],[Age]]&lt;25,"Under 25",IF(EmployeeData[[#This Row],[Age]]&lt;35,"25-34",IF(EmployeeData[[#This Row],[Age]]&lt;45,"35-44",IF(EmployeeData[[#This Row],[Age]]&lt;55,"45-54","55+"))))</f>
        <v>25-34</v>
      </c>
      <c r="AK1469" s="4" t="str">
        <f>IF(EmployeeData[[#This Row],[MonthlyIncome]]&lt;3000,"Below 3K",IF(EmployeeData[[#This Row],[MonthlyIncome]]&lt;6000,"3K-6K",IF(EmployeeData[[#This Row],[MonthlyIncome]]&lt;9000,"6K-9K",IF(EmployeeData[[#This Row],[MonthlyIncome]]&lt;12000,"9K-12K","12K+"))))</f>
        <v>6K-9K</v>
      </c>
    </row>
    <row r="1470" spans="1:37" x14ac:dyDescent="0.3">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c r="AJ1470" s="4" t="str">
        <f>IF(EmployeeData[[#This Row],[Age]]&lt;25,"Under 25",IF(EmployeeData[[#This Row],[Age]]&lt;35,"25-34",IF(EmployeeData[[#This Row],[Age]]&lt;45,"35-44",IF(EmployeeData[[#This Row],[Age]]&lt;55,"45-54","55+"))))</f>
        <v>45-54</v>
      </c>
      <c r="AK1470" s="4" t="str">
        <f>IF(EmployeeData[[#This Row],[MonthlyIncome]]&lt;3000,"Below 3K",IF(EmployeeData[[#This Row],[MonthlyIncome]]&lt;6000,"3K-6K",IF(EmployeeData[[#This Row],[MonthlyIncome]]&lt;9000,"6K-9K",IF(EmployeeData[[#This Row],[MonthlyIncome]]&lt;12000,"9K-12K","12K+"))))</f>
        <v>3K-6K</v>
      </c>
    </row>
    <row r="1471" spans="1:37" x14ac:dyDescent="0.3">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c r="AJ1471" s="4" t="str">
        <f>IF(EmployeeData[[#This Row],[Age]]&lt;25,"Under 25",IF(EmployeeData[[#This Row],[Age]]&lt;35,"25-34",IF(EmployeeData[[#This Row],[Age]]&lt;45,"35-44",IF(EmployeeData[[#This Row],[Age]]&lt;55,"45-54","55+"))))</f>
        <v>25-34</v>
      </c>
      <c r="AK1471" s="4" t="str">
        <f>IF(EmployeeData[[#This Row],[MonthlyIncome]]&lt;3000,"Below 3K",IF(EmployeeData[[#This Row],[MonthlyIncome]]&lt;6000,"3K-6K",IF(EmployeeData[[#This Row],[MonthlyIncome]]&lt;9000,"6K-9K",IF(EmployeeData[[#This Row],[MonthlyIncome]]&lt;12000,"9K-12K","12K+"))))</f>
        <v>3K-6K</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61BC3-28A5-41F1-8A54-D034CEBDBE6E}">
  <dimension ref="A1:P57"/>
  <sheetViews>
    <sheetView topLeftCell="A24" zoomScaleNormal="100" workbookViewId="0">
      <selection activeCell="A50" sqref="A50"/>
    </sheetView>
  </sheetViews>
  <sheetFormatPr defaultRowHeight="14.4" x14ac:dyDescent="0.3"/>
  <cols>
    <col min="1" max="1" width="23.44140625" bestFit="1" customWidth="1"/>
    <col min="2" max="2" width="15.5546875" bestFit="1" customWidth="1"/>
    <col min="3" max="3" width="4" bestFit="1" customWidth="1"/>
    <col min="4" max="5" width="10.5546875" bestFit="1" customWidth="1"/>
    <col min="13" max="13" width="23.44140625" bestFit="1" customWidth="1"/>
    <col min="14" max="14" width="15.5546875" bestFit="1" customWidth="1"/>
    <col min="15" max="15" width="4" bestFit="1" customWidth="1"/>
    <col min="16" max="16" width="10.5546875" bestFit="1" customWidth="1"/>
  </cols>
  <sheetData>
    <row r="1" spans="1:16" x14ac:dyDescent="0.3">
      <c r="A1" t="s">
        <v>71</v>
      </c>
      <c r="M1" t="s">
        <v>77</v>
      </c>
    </row>
    <row r="2" spans="1:16" x14ac:dyDescent="0.3">
      <c r="A2" s="2" t="s">
        <v>78</v>
      </c>
      <c r="B2" s="2" t="s">
        <v>70</v>
      </c>
      <c r="M2" s="2" t="s">
        <v>78</v>
      </c>
      <c r="N2" s="2" t="s">
        <v>70</v>
      </c>
    </row>
    <row r="3" spans="1:16" x14ac:dyDescent="0.3">
      <c r="A3" s="2" t="s">
        <v>68</v>
      </c>
      <c r="B3" t="s">
        <v>43</v>
      </c>
      <c r="C3" t="s">
        <v>35</v>
      </c>
      <c r="D3" t="s">
        <v>69</v>
      </c>
      <c r="M3" s="2" t="s">
        <v>68</v>
      </c>
      <c r="N3" t="s">
        <v>43</v>
      </c>
      <c r="O3" t="s">
        <v>35</v>
      </c>
      <c r="P3" t="s">
        <v>69</v>
      </c>
    </row>
    <row r="4" spans="1:16" x14ac:dyDescent="0.3">
      <c r="A4" s="3" t="s">
        <v>61</v>
      </c>
      <c r="B4" s="18">
        <v>51</v>
      </c>
      <c r="C4" s="18">
        <v>12</v>
      </c>
      <c r="D4" s="18">
        <v>63</v>
      </c>
      <c r="M4" s="3">
        <v>0</v>
      </c>
      <c r="N4" s="18">
        <v>28</v>
      </c>
      <c r="O4" s="18">
        <v>16</v>
      </c>
      <c r="P4" s="18">
        <v>44</v>
      </c>
    </row>
    <row r="5" spans="1:16" x14ac:dyDescent="0.3">
      <c r="A5" s="3" t="s">
        <v>45</v>
      </c>
      <c r="B5" s="18">
        <v>828</v>
      </c>
      <c r="C5" s="18">
        <v>133</v>
      </c>
      <c r="D5" s="18">
        <v>961</v>
      </c>
      <c r="M5" s="3">
        <v>1</v>
      </c>
      <c r="N5" s="18">
        <v>112</v>
      </c>
      <c r="O5" s="18">
        <v>59</v>
      </c>
      <c r="P5" s="18">
        <v>171</v>
      </c>
    </row>
    <row r="6" spans="1:16" x14ac:dyDescent="0.3">
      <c r="A6" s="3" t="s">
        <v>37</v>
      </c>
      <c r="B6" s="18">
        <v>354</v>
      </c>
      <c r="C6" s="18">
        <v>92</v>
      </c>
      <c r="D6" s="18">
        <v>446</v>
      </c>
      <c r="M6" s="3">
        <v>2</v>
      </c>
      <c r="N6" s="18">
        <v>100</v>
      </c>
      <c r="O6" s="18">
        <v>27</v>
      </c>
      <c r="P6" s="18">
        <v>127</v>
      </c>
    </row>
    <row r="7" spans="1:16" x14ac:dyDescent="0.3">
      <c r="A7" s="3" t="s">
        <v>69</v>
      </c>
      <c r="B7" s="18">
        <v>1233</v>
      </c>
      <c r="C7" s="18">
        <v>237</v>
      </c>
      <c r="D7" s="18">
        <v>1470</v>
      </c>
      <c r="M7" s="3">
        <v>3</v>
      </c>
      <c r="N7" s="18">
        <v>108</v>
      </c>
      <c r="O7" s="18">
        <v>20</v>
      </c>
      <c r="P7" s="18">
        <v>128</v>
      </c>
    </row>
    <row r="8" spans="1:16" x14ac:dyDescent="0.3">
      <c r="M8" s="3">
        <v>4</v>
      </c>
      <c r="N8" s="18">
        <v>91</v>
      </c>
      <c r="O8" s="18">
        <v>19</v>
      </c>
      <c r="P8" s="18">
        <v>110</v>
      </c>
    </row>
    <row r="9" spans="1:16" x14ac:dyDescent="0.3">
      <c r="A9" s="3" t="s">
        <v>72</v>
      </c>
      <c r="M9" s="3">
        <v>5</v>
      </c>
      <c r="N9" s="18">
        <v>175</v>
      </c>
      <c r="O9" s="18">
        <v>21</v>
      </c>
      <c r="P9" s="18">
        <v>196</v>
      </c>
    </row>
    <row r="10" spans="1:16" x14ac:dyDescent="0.3">
      <c r="A10" s="2" t="s">
        <v>78</v>
      </c>
      <c r="B10" s="2" t="s">
        <v>70</v>
      </c>
      <c r="M10" s="3">
        <v>6</v>
      </c>
      <c r="N10" s="18">
        <v>67</v>
      </c>
      <c r="O10" s="18">
        <v>9</v>
      </c>
      <c r="P10" s="18">
        <v>76</v>
      </c>
    </row>
    <row r="11" spans="1:16" x14ac:dyDescent="0.3">
      <c r="A11" s="2" t="s">
        <v>68</v>
      </c>
      <c r="B11" t="s">
        <v>43</v>
      </c>
      <c r="C11" t="s">
        <v>35</v>
      </c>
      <c r="D11" t="s">
        <v>69</v>
      </c>
      <c r="M11" s="3">
        <v>7</v>
      </c>
      <c r="N11" s="18">
        <v>79</v>
      </c>
      <c r="O11" s="18">
        <v>11</v>
      </c>
      <c r="P11" s="18">
        <v>90</v>
      </c>
    </row>
    <row r="12" spans="1:16" x14ac:dyDescent="0.3">
      <c r="A12" s="3" t="s">
        <v>54</v>
      </c>
      <c r="B12" s="18">
        <v>122</v>
      </c>
      <c r="C12" s="18">
        <v>9</v>
      </c>
      <c r="D12" s="18">
        <v>131</v>
      </c>
      <c r="M12" s="3">
        <v>8</v>
      </c>
      <c r="N12" s="18">
        <v>71</v>
      </c>
      <c r="O12" s="18">
        <v>9</v>
      </c>
      <c r="P12" s="18">
        <v>80</v>
      </c>
    </row>
    <row r="13" spans="1:16" x14ac:dyDescent="0.3">
      <c r="A13" s="3" t="s">
        <v>61</v>
      </c>
      <c r="B13" s="18">
        <v>40</v>
      </c>
      <c r="C13" s="18">
        <v>12</v>
      </c>
      <c r="D13" s="18">
        <v>52</v>
      </c>
      <c r="M13" s="3">
        <v>9</v>
      </c>
      <c r="N13" s="18">
        <v>74</v>
      </c>
      <c r="O13" s="18">
        <v>8</v>
      </c>
      <c r="P13" s="18">
        <v>82</v>
      </c>
    </row>
    <row r="14" spans="1:16" x14ac:dyDescent="0.3">
      <c r="A14" s="3" t="s">
        <v>50</v>
      </c>
      <c r="B14" s="18">
        <v>197</v>
      </c>
      <c r="C14" s="18">
        <v>62</v>
      </c>
      <c r="D14" s="18">
        <v>259</v>
      </c>
      <c r="M14" s="3">
        <v>10</v>
      </c>
      <c r="N14" s="18">
        <v>102</v>
      </c>
      <c r="O14" s="18">
        <v>18</v>
      </c>
      <c r="P14" s="18">
        <v>120</v>
      </c>
    </row>
    <row r="15" spans="1:16" x14ac:dyDescent="0.3">
      <c r="A15" s="3" t="s">
        <v>56</v>
      </c>
      <c r="B15" s="18">
        <v>97</v>
      </c>
      <c r="C15" s="18">
        <v>5</v>
      </c>
      <c r="D15" s="18">
        <v>102</v>
      </c>
      <c r="M15" s="3">
        <v>11</v>
      </c>
      <c r="N15" s="18">
        <v>30</v>
      </c>
      <c r="O15" s="18">
        <v>2</v>
      </c>
      <c r="P15" s="18">
        <v>32</v>
      </c>
    </row>
    <row r="16" spans="1:16" x14ac:dyDescent="0.3">
      <c r="A16" s="3" t="s">
        <v>53</v>
      </c>
      <c r="B16" s="18">
        <v>135</v>
      </c>
      <c r="C16" s="18">
        <v>10</v>
      </c>
      <c r="D16" s="18">
        <v>145</v>
      </c>
      <c r="M16" s="3">
        <v>12</v>
      </c>
      <c r="N16" s="18">
        <v>14</v>
      </c>
      <c r="O16" s="18"/>
      <c r="P16" s="18">
        <v>14</v>
      </c>
    </row>
    <row r="17" spans="1:16" x14ac:dyDescent="0.3">
      <c r="A17" s="3" t="s">
        <v>58</v>
      </c>
      <c r="B17" s="18">
        <v>78</v>
      </c>
      <c r="C17" s="18">
        <v>2</v>
      </c>
      <c r="D17" s="18">
        <v>80</v>
      </c>
      <c r="M17" s="3">
        <v>13</v>
      </c>
      <c r="N17" s="18">
        <v>22</v>
      </c>
      <c r="O17" s="18">
        <v>2</v>
      </c>
      <c r="P17" s="18">
        <v>24</v>
      </c>
    </row>
    <row r="18" spans="1:16" x14ac:dyDescent="0.3">
      <c r="A18" s="3" t="s">
        <v>47</v>
      </c>
      <c r="B18" s="18">
        <v>245</v>
      </c>
      <c r="C18" s="18">
        <v>47</v>
      </c>
      <c r="D18" s="18">
        <v>292</v>
      </c>
      <c r="M18" s="3">
        <v>14</v>
      </c>
      <c r="N18" s="18">
        <v>16</v>
      </c>
      <c r="O18" s="18">
        <v>2</v>
      </c>
      <c r="P18" s="18">
        <v>18</v>
      </c>
    </row>
    <row r="19" spans="1:16" x14ac:dyDescent="0.3">
      <c r="A19" s="3" t="s">
        <v>40</v>
      </c>
      <c r="B19" s="18">
        <v>269</v>
      </c>
      <c r="C19" s="18">
        <v>57</v>
      </c>
      <c r="D19" s="18">
        <v>326</v>
      </c>
      <c r="M19" s="3">
        <v>15</v>
      </c>
      <c r="N19" s="18">
        <v>19</v>
      </c>
      <c r="O19" s="18">
        <v>1</v>
      </c>
      <c r="P19" s="18">
        <v>20</v>
      </c>
    </row>
    <row r="20" spans="1:16" x14ac:dyDescent="0.3">
      <c r="A20" s="3" t="s">
        <v>57</v>
      </c>
      <c r="B20" s="18">
        <v>50</v>
      </c>
      <c r="C20" s="18">
        <v>33</v>
      </c>
      <c r="D20" s="18">
        <v>83</v>
      </c>
      <c r="M20" s="3">
        <v>16</v>
      </c>
      <c r="N20" s="18">
        <v>11</v>
      </c>
      <c r="O20" s="18">
        <v>1</v>
      </c>
      <c r="P20" s="18">
        <v>12</v>
      </c>
    </row>
    <row r="21" spans="1:16" x14ac:dyDescent="0.3">
      <c r="A21" s="3" t="s">
        <v>69</v>
      </c>
      <c r="B21" s="18">
        <v>1233</v>
      </c>
      <c r="C21" s="18">
        <v>237</v>
      </c>
      <c r="D21" s="18">
        <v>1470</v>
      </c>
      <c r="M21" s="3">
        <v>17</v>
      </c>
      <c r="N21" s="18">
        <v>8</v>
      </c>
      <c r="O21" s="18">
        <v>1</v>
      </c>
      <c r="P21" s="18">
        <v>9</v>
      </c>
    </row>
    <row r="22" spans="1:16" x14ac:dyDescent="0.3">
      <c r="M22" s="3">
        <v>18</v>
      </c>
      <c r="N22" s="18">
        <v>12</v>
      </c>
      <c r="O22" s="18">
        <v>1</v>
      </c>
      <c r="P22" s="18">
        <v>13</v>
      </c>
    </row>
    <row r="23" spans="1:16" x14ac:dyDescent="0.3">
      <c r="A23" s="3" t="s">
        <v>73</v>
      </c>
      <c r="M23" s="3">
        <v>19</v>
      </c>
      <c r="N23" s="18">
        <v>10</v>
      </c>
      <c r="O23" s="18">
        <v>1</v>
      </c>
      <c r="P23" s="18">
        <v>11</v>
      </c>
    </row>
    <row r="24" spans="1:16" x14ac:dyDescent="0.3">
      <c r="A24" s="2" t="s">
        <v>78</v>
      </c>
      <c r="B24" s="2" t="s">
        <v>70</v>
      </c>
      <c r="M24" s="3">
        <v>20</v>
      </c>
      <c r="N24" s="18">
        <v>26</v>
      </c>
      <c r="O24" s="18">
        <v>1</v>
      </c>
      <c r="P24" s="18">
        <v>27</v>
      </c>
    </row>
    <row r="25" spans="1:16" x14ac:dyDescent="0.3">
      <c r="A25" s="2" t="s">
        <v>68</v>
      </c>
      <c r="B25" t="s">
        <v>43</v>
      </c>
      <c r="C25" t="s">
        <v>35</v>
      </c>
      <c r="D25" t="s">
        <v>69</v>
      </c>
      <c r="M25" s="3">
        <v>21</v>
      </c>
      <c r="N25" s="18">
        <v>13</v>
      </c>
      <c r="O25" s="18">
        <v>1</v>
      </c>
      <c r="P25" s="18">
        <v>14</v>
      </c>
    </row>
    <row r="26" spans="1:16" x14ac:dyDescent="0.3">
      <c r="A26" s="3" t="s">
        <v>81</v>
      </c>
      <c r="B26" s="18">
        <v>442</v>
      </c>
      <c r="C26" s="18">
        <v>112</v>
      </c>
      <c r="D26" s="18">
        <v>554</v>
      </c>
      <c r="M26" s="3">
        <v>22</v>
      </c>
      <c r="N26" s="18">
        <v>14</v>
      </c>
      <c r="O26" s="18">
        <v>1</v>
      </c>
      <c r="P26" s="18">
        <v>15</v>
      </c>
    </row>
    <row r="27" spans="1:16" x14ac:dyDescent="0.3">
      <c r="A27" s="3" t="s">
        <v>83</v>
      </c>
      <c r="B27" s="18">
        <v>454</v>
      </c>
      <c r="C27" s="18">
        <v>51</v>
      </c>
      <c r="D27" s="18">
        <v>505</v>
      </c>
      <c r="M27" s="3">
        <v>23</v>
      </c>
      <c r="N27" s="18">
        <v>1</v>
      </c>
      <c r="O27" s="18">
        <v>1</v>
      </c>
      <c r="P27" s="18">
        <v>2</v>
      </c>
    </row>
    <row r="28" spans="1:16" x14ac:dyDescent="0.3">
      <c r="A28" s="3" t="s">
        <v>84</v>
      </c>
      <c r="B28" s="18">
        <v>220</v>
      </c>
      <c r="C28" s="18">
        <v>25</v>
      </c>
      <c r="D28" s="18">
        <v>245</v>
      </c>
      <c r="M28" s="3">
        <v>24</v>
      </c>
      <c r="N28" s="18">
        <v>5</v>
      </c>
      <c r="O28" s="18">
        <v>1</v>
      </c>
      <c r="P28" s="18">
        <v>6</v>
      </c>
    </row>
    <row r="29" spans="1:16" x14ac:dyDescent="0.3">
      <c r="A29" s="3" t="s">
        <v>85</v>
      </c>
      <c r="B29" s="18">
        <v>58</v>
      </c>
      <c r="C29" s="18">
        <v>11</v>
      </c>
      <c r="D29" s="18">
        <v>69</v>
      </c>
      <c r="M29" s="3">
        <v>25</v>
      </c>
      <c r="N29" s="18">
        <v>4</v>
      </c>
      <c r="O29" s="18"/>
      <c r="P29" s="18">
        <v>4</v>
      </c>
    </row>
    <row r="30" spans="1:16" x14ac:dyDescent="0.3">
      <c r="A30" s="3" t="s">
        <v>86</v>
      </c>
      <c r="B30" s="18">
        <v>59</v>
      </c>
      <c r="C30" s="18">
        <v>38</v>
      </c>
      <c r="D30" s="18">
        <v>97</v>
      </c>
      <c r="M30" s="3">
        <v>26</v>
      </c>
      <c r="N30" s="18">
        <v>4</v>
      </c>
      <c r="O30" s="18"/>
      <c r="P30" s="18">
        <v>4</v>
      </c>
    </row>
    <row r="31" spans="1:16" x14ac:dyDescent="0.3">
      <c r="A31" s="3" t="s">
        <v>69</v>
      </c>
      <c r="B31" s="18">
        <v>1233</v>
      </c>
      <c r="C31" s="18">
        <v>237</v>
      </c>
      <c r="D31" s="18">
        <v>1470</v>
      </c>
      <c r="M31" s="3">
        <v>27</v>
      </c>
      <c r="N31" s="18">
        <v>2</v>
      </c>
      <c r="O31" s="18"/>
      <c r="P31" s="18">
        <v>2</v>
      </c>
    </row>
    <row r="32" spans="1:16" x14ac:dyDescent="0.3">
      <c r="A32" s="3" t="s">
        <v>76</v>
      </c>
      <c r="M32" s="3">
        <v>29</v>
      </c>
      <c r="N32" s="18">
        <v>2</v>
      </c>
      <c r="O32" s="18"/>
      <c r="P32" s="18">
        <v>2</v>
      </c>
    </row>
    <row r="33" spans="1:16" x14ac:dyDescent="0.3">
      <c r="A33" s="2" t="s">
        <v>78</v>
      </c>
      <c r="B33" s="2" t="s">
        <v>70</v>
      </c>
      <c r="M33" s="3">
        <v>30</v>
      </c>
      <c r="N33" s="18">
        <v>1</v>
      </c>
      <c r="O33" s="18"/>
      <c r="P33" s="18">
        <v>1</v>
      </c>
    </row>
    <row r="34" spans="1:16" x14ac:dyDescent="0.3">
      <c r="A34" s="2" t="s">
        <v>68</v>
      </c>
      <c r="B34" t="s">
        <v>43</v>
      </c>
      <c r="C34" t="s">
        <v>35</v>
      </c>
      <c r="D34" t="s">
        <v>69</v>
      </c>
      <c r="M34" s="3">
        <v>31</v>
      </c>
      <c r="N34" s="18">
        <v>2</v>
      </c>
      <c r="O34" s="18">
        <v>1</v>
      </c>
      <c r="P34" s="18">
        <v>3</v>
      </c>
    </row>
    <row r="35" spans="1:16" x14ac:dyDescent="0.3">
      <c r="A35" s="3" t="s">
        <v>87</v>
      </c>
      <c r="B35" s="18">
        <v>184</v>
      </c>
      <c r="C35" s="18">
        <v>11</v>
      </c>
      <c r="D35" s="18">
        <v>195</v>
      </c>
      <c r="M35" s="3">
        <v>32</v>
      </c>
      <c r="N35" s="18">
        <v>2</v>
      </c>
      <c r="O35" s="18">
        <v>1</v>
      </c>
      <c r="P35" s="18">
        <v>3</v>
      </c>
    </row>
    <row r="36" spans="1:16" x14ac:dyDescent="0.3">
      <c r="A36" s="3" t="s">
        <v>88</v>
      </c>
      <c r="B36" s="18">
        <v>453</v>
      </c>
      <c r="C36" s="18">
        <v>66</v>
      </c>
      <c r="D36" s="18">
        <v>519</v>
      </c>
      <c r="M36" s="3">
        <v>33</v>
      </c>
      <c r="N36" s="18">
        <v>4</v>
      </c>
      <c r="O36" s="18">
        <v>1</v>
      </c>
      <c r="P36" s="18">
        <v>5</v>
      </c>
    </row>
    <row r="37" spans="1:16" x14ac:dyDescent="0.3">
      <c r="A37" s="3" t="s">
        <v>89</v>
      </c>
      <c r="B37" s="18">
        <v>199</v>
      </c>
      <c r="C37" s="18">
        <v>24</v>
      </c>
      <c r="D37" s="18">
        <v>223</v>
      </c>
      <c r="M37" s="3">
        <v>34</v>
      </c>
      <c r="N37" s="18">
        <v>1</v>
      </c>
      <c r="O37" s="18"/>
      <c r="P37" s="18">
        <v>1</v>
      </c>
    </row>
    <row r="38" spans="1:16" x14ac:dyDescent="0.3">
      <c r="A38" s="3" t="s">
        <v>82</v>
      </c>
      <c r="B38" s="18">
        <v>115</v>
      </c>
      <c r="C38" s="18">
        <v>23</v>
      </c>
      <c r="D38" s="18">
        <v>138</v>
      </c>
      <c r="M38" s="3">
        <v>36</v>
      </c>
      <c r="N38" s="18">
        <v>2</v>
      </c>
      <c r="O38" s="18"/>
      <c r="P38" s="18">
        <v>2</v>
      </c>
    </row>
    <row r="39" spans="1:16" x14ac:dyDescent="0.3">
      <c r="A39" s="3" t="s">
        <v>90</v>
      </c>
      <c r="B39" s="18">
        <v>282</v>
      </c>
      <c r="C39" s="18">
        <v>113</v>
      </c>
      <c r="D39" s="18">
        <v>395</v>
      </c>
      <c r="M39" s="3">
        <v>37</v>
      </c>
      <c r="N39" s="18">
        <v>1</v>
      </c>
      <c r="O39" s="18"/>
      <c r="P39" s="18">
        <v>1</v>
      </c>
    </row>
    <row r="40" spans="1:16" x14ac:dyDescent="0.3">
      <c r="A40" s="3" t="s">
        <v>69</v>
      </c>
      <c r="B40" s="18">
        <v>1233</v>
      </c>
      <c r="C40" s="18">
        <v>237</v>
      </c>
      <c r="D40" s="18">
        <v>1470</v>
      </c>
      <c r="M40" s="3">
        <v>40</v>
      </c>
      <c r="N40" s="18"/>
      <c r="O40" s="18">
        <v>1</v>
      </c>
      <c r="P40" s="18">
        <v>1</v>
      </c>
    </row>
    <row r="41" spans="1:16" x14ac:dyDescent="0.3">
      <c r="M41" s="3" t="s">
        <v>69</v>
      </c>
      <c r="N41" s="18">
        <v>1233</v>
      </c>
      <c r="O41" s="18">
        <v>237</v>
      </c>
      <c r="P41" s="18">
        <v>1470</v>
      </c>
    </row>
    <row r="42" spans="1:16" x14ac:dyDescent="0.3">
      <c r="B42" t="s">
        <v>79</v>
      </c>
    </row>
    <row r="43" spans="1:16" x14ac:dyDescent="0.3">
      <c r="B43" s="2" t="s">
        <v>78</v>
      </c>
      <c r="C43" s="2" t="s">
        <v>70</v>
      </c>
    </row>
    <row r="44" spans="1:16" x14ac:dyDescent="0.3">
      <c r="B44" s="2" t="s">
        <v>68</v>
      </c>
      <c r="C44" t="s">
        <v>43</v>
      </c>
      <c r="D44" t="s">
        <v>35</v>
      </c>
      <c r="E44" t="s">
        <v>69</v>
      </c>
    </row>
    <row r="45" spans="1:16" x14ac:dyDescent="0.3">
      <c r="B45" s="3" t="s">
        <v>39</v>
      </c>
      <c r="C45" s="18">
        <v>501</v>
      </c>
      <c r="D45" s="18">
        <v>87</v>
      </c>
      <c r="E45" s="18">
        <v>588</v>
      </c>
    </row>
    <row r="46" spans="1:16" x14ac:dyDescent="0.3">
      <c r="B46" s="3" t="s">
        <v>46</v>
      </c>
      <c r="C46" s="18">
        <v>732</v>
      </c>
      <c r="D46" s="18">
        <v>150</v>
      </c>
      <c r="E46" s="18">
        <v>882</v>
      </c>
    </row>
    <row r="47" spans="1:16" x14ac:dyDescent="0.3">
      <c r="B47" s="3" t="s">
        <v>69</v>
      </c>
      <c r="C47" s="18">
        <v>1233</v>
      </c>
      <c r="D47" s="18">
        <v>237</v>
      </c>
      <c r="E47" s="18">
        <v>1470</v>
      </c>
    </row>
    <row r="50" spans="1:4" x14ac:dyDescent="0.3">
      <c r="A50" t="s">
        <v>80</v>
      </c>
    </row>
    <row r="51" spans="1:4" x14ac:dyDescent="0.3">
      <c r="A51" s="2" t="s">
        <v>78</v>
      </c>
      <c r="B51" s="2" t="s">
        <v>70</v>
      </c>
    </row>
    <row r="52" spans="1:4" x14ac:dyDescent="0.3">
      <c r="A52" s="2" t="s">
        <v>68</v>
      </c>
      <c r="B52" t="s">
        <v>43</v>
      </c>
      <c r="C52" t="s">
        <v>35</v>
      </c>
      <c r="D52" t="s">
        <v>69</v>
      </c>
    </row>
    <row r="53" spans="1:4" x14ac:dyDescent="0.3">
      <c r="A53" s="3">
        <v>1</v>
      </c>
      <c r="B53" s="18">
        <v>223</v>
      </c>
      <c r="C53" s="18">
        <v>66</v>
      </c>
      <c r="D53" s="18">
        <v>289</v>
      </c>
    </row>
    <row r="54" spans="1:4" x14ac:dyDescent="0.3">
      <c r="A54" s="3">
        <v>2</v>
      </c>
      <c r="B54" s="18">
        <v>234</v>
      </c>
      <c r="C54" s="18">
        <v>46</v>
      </c>
      <c r="D54" s="18">
        <v>280</v>
      </c>
    </row>
    <row r="55" spans="1:4" x14ac:dyDescent="0.3">
      <c r="A55" s="3">
        <v>3</v>
      </c>
      <c r="B55" s="18">
        <v>369</v>
      </c>
      <c r="C55" s="18">
        <v>73</v>
      </c>
      <c r="D55" s="18">
        <v>442</v>
      </c>
    </row>
    <row r="56" spans="1:4" x14ac:dyDescent="0.3">
      <c r="A56" s="3">
        <v>4</v>
      </c>
      <c r="B56" s="18">
        <v>407</v>
      </c>
      <c r="C56" s="18">
        <v>52</v>
      </c>
      <c r="D56" s="18">
        <v>459</v>
      </c>
    </row>
    <row r="57" spans="1:4" x14ac:dyDescent="0.3">
      <c r="A57" s="3" t="s">
        <v>69</v>
      </c>
      <c r="B57" s="18">
        <v>1233</v>
      </c>
      <c r="C57" s="18">
        <v>237</v>
      </c>
      <c r="D57" s="18">
        <v>1470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4742A-421A-43B7-BA6E-5D6A707EB3CF}">
  <dimension ref="A1:B7"/>
  <sheetViews>
    <sheetView workbookViewId="0">
      <selection activeCell="B7" sqref="B7"/>
    </sheetView>
  </sheetViews>
  <sheetFormatPr defaultRowHeight="14.4" x14ac:dyDescent="0.3"/>
  <cols>
    <col min="1" max="1" width="22.109375" bestFit="1" customWidth="1"/>
    <col min="2" max="2" width="10.109375" bestFit="1" customWidth="1"/>
  </cols>
  <sheetData>
    <row r="1" spans="1:2" x14ac:dyDescent="0.3">
      <c r="A1" t="s">
        <v>62</v>
      </c>
    </row>
    <row r="3" spans="1:2" x14ac:dyDescent="0.3">
      <c r="A3" t="s">
        <v>63</v>
      </c>
      <c r="B3" s="5">
        <f>COUNTA(EmployeeData[EmployeeNumber])</f>
        <v>1470</v>
      </c>
    </row>
    <row r="4" spans="1:2" x14ac:dyDescent="0.3">
      <c r="A4" t="s">
        <v>64</v>
      </c>
      <c r="B4">
        <f>COUNTIF(EmployeeData[Attrition],"Yes")</f>
        <v>237</v>
      </c>
    </row>
    <row r="5" spans="1:2" x14ac:dyDescent="0.3">
      <c r="A5" t="s">
        <v>65</v>
      </c>
      <c r="B5" s="1">
        <f>B4/B3</f>
        <v>0.16122448979591836</v>
      </c>
    </row>
    <row r="6" spans="1:2" x14ac:dyDescent="0.3">
      <c r="A6" t="s">
        <v>66</v>
      </c>
      <c r="B6" s="6">
        <f>AVERAGE(EmployeeData[MonthlyIncome])</f>
        <v>6502.931292517007</v>
      </c>
    </row>
    <row r="7" spans="1:2" x14ac:dyDescent="0.3">
      <c r="A7" t="s">
        <v>67</v>
      </c>
      <c r="B7" s="7">
        <f>AVERAGE(EmployeeData[YearsAtCompany])</f>
        <v>7.0081632653061225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CCD03-BBB1-43A7-8A03-BB1D7D1F6CF5}">
  <dimension ref="A1:AB54"/>
  <sheetViews>
    <sheetView tabSelected="1" zoomScale="65" zoomScaleNormal="102" workbookViewId="0">
      <selection activeCell="AC14" sqref="AC14"/>
    </sheetView>
  </sheetViews>
  <sheetFormatPr defaultRowHeight="14.4" x14ac:dyDescent="0.3"/>
  <sheetData>
    <row r="1" spans="1:25" ht="14.4" customHeight="1" x14ac:dyDescent="0.3">
      <c r="A1" s="20" t="s">
        <v>91</v>
      </c>
      <c r="B1" s="13"/>
      <c r="C1" s="13"/>
      <c r="D1" s="13"/>
      <c r="E1" s="13"/>
      <c r="F1" s="13"/>
      <c r="G1" s="13"/>
      <c r="H1" s="13"/>
      <c r="I1" s="10"/>
      <c r="J1" s="10"/>
      <c r="K1" s="10"/>
      <c r="L1" s="10"/>
      <c r="M1" s="10"/>
      <c r="N1" s="10"/>
      <c r="O1" s="10"/>
      <c r="P1" s="10"/>
      <c r="Q1" s="10"/>
      <c r="R1" s="10"/>
      <c r="S1" s="10"/>
      <c r="T1" s="25" t="s">
        <v>92</v>
      </c>
      <c r="U1" s="26"/>
      <c r="V1" s="26"/>
      <c r="W1" s="22" t="str">
        <f ca="1">TEXT(TODAY(),"dd-mmm-yyyy")</f>
        <v>22-Sep-2026</v>
      </c>
      <c r="X1" s="22"/>
      <c r="Y1" s="22"/>
    </row>
    <row r="2" spans="1:25" x14ac:dyDescent="0.3">
      <c r="A2" s="14"/>
      <c r="B2" s="15"/>
      <c r="C2" s="15"/>
      <c r="D2" s="15"/>
      <c r="E2" s="15"/>
      <c r="F2" s="15"/>
      <c r="G2" s="15"/>
      <c r="H2" s="15"/>
      <c r="I2" s="11"/>
      <c r="J2" s="11"/>
      <c r="K2" s="11"/>
      <c r="L2" s="11"/>
      <c r="M2" s="11"/>
      <c r="N2" s="11"/>
      <c r="O2" s="11"/>
      <c r="P2" s="11"/>
      <c r="Q2" s="11"/>
      <c r="R2" s="11"/>
      <c r="S2" s="11"/>
      <c r="T2" s="26"/>
      <c r="U2" s="26"/>
      <c r="V2" s="26"/>
      <c r="W2" s="23"/>
      <c r="X2" s="23"/>
      <c r="Y2" s="23"/>
    </row>
    <row r="3" spans="1:25" ht="15" thickBot="1" x14ac:dyDescent="0.35">
      <c r="A3" s="16"/>
      <c r="B3" s="17"/>
      <c r="C3" s="17"/>
      <c r="D3" s="17"/>
      <c r="E3" s="17"/>
      <c r="F3" s="17"/>
      <c r="G3" s="17"/>
      <c r="H3" s="17"/>
      <c r="I3" s="12"/>
      <c r="J3" s="12"/>
      <c r="K3" s="12"/>
      <c r="L3" s="12"/>
      <c r="M3" s="12"/>
      <c r="N3" s="12"/>
      <c r="O3" s="12"/>
      <c r="P3" s="12"/>
      <c r="Q3" s="12"/>
      <c r="R3" s="12"/>
      <c r="S3" s="12"/>
      <c r="T3" s="27"/>
      <c r="U3" s="27"/>
      <c r="V3" s="27"/>
      <c r="W3" s="24"/>
      <c r="X3" s="24"/>
      <c r="Y3" s="24"/>
    </row>
    <row r="4" spans="1:25" x14ac:dyDescent="0.3">
      <c r="A4" s="19"/>
      <c r="B4" s="19"/>
      <c r="C4" s="19"/>
      <c r="D4" s="19"/>
      <c r="E4" s="8"/>
      <c r="F4" s="8"/>
      <c r="G4" s="8"/>
      <c r="H4" s="8"/>
      <c r="I4" s="8"/>
      <c r="J4" s="8"/>
      <c r="K4" s="8"/>
      <c r="L4" s="8"/>
      <c r="M4" s="8"/>
      <c r="N4" s="8"/>
      <c r="O4" s="8"/>
      <c r="P4" s="8"/>
      <c r="Q4" s="8"/>
      <c r="R4" s="8"/>
      <c r="S4" s="8"/>
      <c r="T4" s="8"/>
      <c r="U4" s="8"/>
      <c r="V4" s="8"/>
      <c r="W4" s="8"/>
      <c r="X4" s="8"/>
      <c r="Y4" s="8"/>
    </row>
    <row r="5" spans="1:25" x14ac:dyDescent="0.3">
      <c r="A5" s="19"/>
      <c r="B5" s="19"/>
      <c r="C5" s="19"/>
      <c r="D5" s="19"/>
      <c r="E5" s="8"/>
      <c r="F5" s="8"/>
      <c r="G5" s="8"/>
      <c r="H5" s="8"/>
      <c r="I5" s="8"/>
      <c r="J5" s="8"/>
      <c r="K5" s="8"/>
      <c r="L5" s="8"/>
      <c r="M5" s="8"/>
      <c r="N5" s="8"/>
      <c r="O5" s="8"/>
      <c r="P5" s="8"/>
      <c r="Q5" s="8"/>
      <c r="R5" s="8"/>
      <c r="S5" s="8"/>
      <c r="T5" s="8"/>
      <c r="U5" s="8"/>
      <c r="V5" s="8"/>
      <c r="W5" s="8"/>
      <c r="X5" s="8"/>
      <c r="Y5" s="8"/>
    </row>
    <row r="6" spans="1:25" x14ac:dyDescent="0.3">
      <c r="A6" s="19"/>
      <c r="B6" s="19"/>
      <c r="C6" s="19"/>
      <c r="D6" s="19"/>
      <c r="E6" s="8"/>
      <c r="F6" s="8"/>
      <c r="G6" s="8"/>
      <c r="H6" s="8"/>
      <c r="I6" s="8"/>
      <c r="J6" s="8"/>
      <c r="K6" s="8"/>
      <c r="L6" s="8"/>
      <c r="M6" s="8"/>
      <c r="N6" s="8"/>
      <c r="O6" s="8"/>
      <c r="P6" s="8"/>
      <c r="Q6" s="8"/>
      <c r="R6" s="8"/>
      <c r="S6" s="8"/>
      <c r="T6" s="8"/>
      <c r="U6" s="8"/>
      <c r="V6" s="8"/>
      <c r="W6" s="8"/>
      <c r="X6" s="8"/>
      <c r="Y6" s="8"/>
    </row>
    <row r="7" spans="1:25" x14ac:dyDescent="0.3">
      <c r="A7" s="19"/>
      <c r="B7" s="19"/>
      <c r="C7" s="19"/>
      <c r="D7" s="19"/>
      <c r="E7" s="8"/>
      <c r="F7" s="8"/>
      <c r="G7" s="8"/>
      <c r="H7" s="8"/>
      <c r="I7" s="8"/>
      <c r="J7" s="8"/>
      <c r="K7" s="8"/>
      <c r="L7" s="8"/>
      <c r="M7" s="8"/>
      <c r="N7" s="8"/>
      <c r="O7" s="8"/>
      <c r="P7" s="8"/>
      <c r="Q7" s="8"/>
      <c r="R7" s="8"/>
      <c r="S7" s="8"/>
      <c r="T7" s="8"/>
      <c r="U7" s="8"/>
      <c r="V7" s="8"/>
      <c r="W7" s="8"/>
      <c r="X7" s="8"/>
      <c r="Y7" s="8"/>
    </row>
    <row r="8" spans="1:25" x14ac:dyDescent="0.3">
      <c r="A8" s="19"/>
      <c r="B8" s="19"/>
      <c r="C8" s="19"/>
      <c r="D8" s="19"/>
      <c r="E8" s="8"/>
      <c r="F8" s="8"/>
      <c r="G8" s="8"/>
      <c r="H8" s="8"/>
      <c r="I8" s="8"/>
      <c r="J8" s="8"/>
      <c r="K8" s="8"/>
      <c r="L8" s="8"/>
      <c r="M8" s="8"/>
      <c r="N8" s="8"/>
      <c r="O8" s="8"/>
      <c r="P8" s="8"/>
      <c r="Q8" s="8"/>
      <c r="R8" s="8"/>
      <c r="S8" s="8"/>
      <c r="T8" s="8"/>
      <c r="U8" s="8"/>
      <c r="V8" s="8"/>
      <c r="W8" s="8"/>
      <c r="X8" s="8"/>
      <c r="Y8" s="8"/>
    </row>
    <row r="9" spans="1:25" x14ac:dyDescent="0.3">
      <c r="A9" s="19"/>
      <c r="B9" s="19"/>
      <c r="C9" s="19"/>
      <c r="D9" s="19"/>
      <c r="E9" s="8"/>
      <c r="F9" s="8"/>
      <c r="G9" s="8"/>
      <c r="H9" s="8"/>
      <c r="I9" s="8"/>
      <c r="J9" s="8"/>
      <c r="K9" s="8"/>
      <c r="L9" s="8"/>
      <c r="M9" s="8"/>
      <c r="N9" s="8"/>
      <c r="O9" s="8"/>
      <c r="P9" s="8"/>
      <c r="Q9" s="8"/>
      <c r="R9" s="8"/>
      <c r="S9" s="8"/>
      <c r="T9" s="8"/>
      <c r="U9" s="8"/>
      <c r="V9" s="8"/>
      <c r="W9" s="8"/>
      <c r="X9" s="8"/>
      <c r="Y9" s="8"/>
    </row>
    <row r="10" spans="1:25" x14ac:dyDescent="0.3">
      <c r="A10" s="19"/>
      <c r="B10" s="19"/>
      <c r="C10" s="19"/>
      <c r="D10" s="19"/>
      <c r="E10" s="8"/>
      <c r="F10" s="8"/>
      <c r="G10" s="8"/>
      <c r="H10" s="8"/>
      <c r="I10" s="8"/>
      <c r="J10" s="8"/>
      <c r="K10" s="8"/>
      <c r="L10" s="8"/>
      <c r="M10" s="8"/>
      <c r="N10" s="8"/>
      <c r="O10" s="8"/>
      <c r="P10" s="8"/>
      <c r="Q10" s="8"/>
      <c r="R10" s="8"/>
      <c r="S10" s="8"/>
      <c r="T10" s="8"/>
      <c r="U10" s="8"/>
      <c r="V10" s="8"/>
      <c r="W10" s="8"/>
      <c r="X10" s="8"/>
      <c r="Y10" s="8"/>
    </row>
    <row r="11" spans="1:25" x14ac:dyDescent="0.3">
      <c r="A11" s="19"/>
      <c r="B11" s="19"/>
      <c r="C11" s="19"/>
      <c r="D11" s="19"/>
      <c r="E11" s="8"/>
      <c r="F11" s="8"/>
      <c r="G11" s="8"/>
      <c r="H11" s="8"/>
      <c r="I11" s="8"/>
      <c r="J11" s="8"/>
      <c r="K11" s="8"/>
      <c r="L11" s="8"/>
      <c r="M11" s="8"/>
      <c r="N11" s="8"/>
      <c r="O11" s="8"/>
      <c r="P11" s="8"/>
      <c r="Q11" s="8"/>
      <c r="R11" s="8"/>
      <c r="S11" s="8"/>
      <c r="T11" s="8"/>
      <c r="U11" s="8"/>
      <c r="V11" s="8"/>
      <c r="W11" s="8"/>
      <c r="X11" s="8"/>
      <c r="Y11" s="8"/>
    </row>
    <row r="12" spans="1:25" x14ac:dyDescent="0.3">
      <c r="A12" s="19"/>
      <c r="B12" s="19"/>
      <c r="C12" s="19"/>
      <c r="D12" s="19"/>
      <c r="E12" s="8"/>
      <c r="F12" s="8"/>
      <c r="G12" s="8"/>
      <c r="H12" s="8"/>
      <c r="I12" s="8"/>
      <c r="J12" s="8"/>
      <c r="K12" s="8"/>
      <c r="L12" s="8"/>
      <c r="M12" s="8"/>
      <c r="N12" s="8"/>
      <c r="O12" s="8"/>
      <c r="P12" s="8"/>
      <c r="Q12" s="8"/>
      <c r="R12" s="8"/>
      <c r="S12" s="8"/>
      <c r="T12" s="8"/>
      <c r="U12" s="8"/>
      <c r="V12" s="8"/>
      <c r="W12" s="8"/>
      <c r="X12" s="8"/>
      <c r="Y12" s="8"/>
    </row>
    <row r="13" spans="1:25" x14ac:dyDescent="0.3">
      <c r="A13" s="19"/>
      <c r="B13" s="19"/>
      <c r="C13" s="19"/>
      <c r="D13" s="19"/>
      <c r="E13" s="8"/>
      <c r="F13" s="8"/>
      <c r="G13" s="8"/>
      <c r="H13" s="8"/>
      <c r="I13" s="8"/>
      <c r="J13" s="8"/>
      <c r="K13" s="8"/>
      <c r="L13" s="8"/>
      <c r="M13" s="8"/>
      <c r="N13" s="8"/>
      <c r="O13" s="8"/>
      <c r="P13" s="8"/>
      <c r="Q13" s="8"/>
      <c r="R13" s="8"/>
      <c r="S13" s="8"/>
      <c r="T13" s="8"/>
      <c r="U13" s="8"/>
      <c r="V13" s="8"/>
      <c r="W13" s="8"/>
      <c r="X13" s="8"/>
      <c r="Y13" s="8"/>
    </row>
    <row r="14" spans="1:25" x14ac:dyDescent="0.3">
      <c r="A14" s="19"/>
      <c r="B14" s="19"/>
      <c r="C14" s="19"/>
      <c r="D14" s="19"/>
      <c r="E14" s="8"/>
      <c r="F14" s="8"/>
      <c r="G14" s="8"/>
      <c r="H14" s="8"/>
      <c r="I14" s="8"/>
      <c r="J14" s="8"/>
      <c r="K14" s="8"/>
      <c r="L14" s="8"/>
      <c r="M14" s="8"/>
      <c r="N14" s="8"/>
      <c r="O14" s="8"/>
      <c r="P14" s="8"/>
      <c r="Q14" s="8"/>
      <c r="R14" s="8"/>
      <c r="S14" s="8"/>
      <c r="T14" s="8"/>
      <c r="U14" s="8"/>
      <c r="V14" s="8"/>
      <c r="W14" s="8"/>
      <c r="X14" s="8"/>
      <c r="Y14" s="8"/>
    </row>
    <row r="15" spans="1:25" x14ac:dyDescent="0.3">
      <c r="A15" s="19"/>
      <c r="B15" s="19"/>
      <c r="C15" s="19"/>
      <c r="D15" s="19"/>
      <c r="E15" s="8"/>
      <c r="F15" s="8"/>
      <c r="G15" s="8"/>
      <c r="H15" s="8"/>
      <c r="I15" s="8"/>
      <c r="J15" s="8"/>
      <c r="K15" s="8"/>
      <c r="L15" s="8"/>
      <c r="M15" s="8"/>
      <c r="N15" s="8"/>
      <c r="O15" s="8"/>
      <c r="P15" s="8"/>
      <c r="Q15" s="8"/>
      <c r="R15" s="8"/>
      <c r="S15" s="8"/>
      <c r="T15" s="8"/>
      <c r="U15" s="8"/>
      <c r="V15" s="8"/>
      <c r="W15" s="8"/>
      <c r="X15" s="8"/>
      <c r="Y15" s="8"/>
    </row>
    <row r="16" spans="1:25" x14ac:dyDescent="0.3">
      <c r="A16" s="19"/>
      <c r="B16" s="19"/>
      <c r="C16" s="19"/>
      <c r="D16" s="19"/>
      <c r="E16" s="8"/>
      <c r="F16" s="8"/>
      <c r="G16" s="8"/>
      <c r="H16" s="8"/>
      <c r="I16" s="8"/>
      <c r="J16" s="8"/>
      <c r="K16" s="8"/>
      <c r="L16" s="8"/>
      <c r="M16" s="8"/>
      <c r="N16" s="8"/>
      <c r="O16" s="8"/>
      <c r="P16" s="8"/>
      <c r="Q16" s="8"/>
      <c r="R16" s="8"/>
      <c r="S16" s="8"/>
      <c r="T16" s="8"/>
      <c r="U16" s="8"/>
      <c r="V16" s="8"/>
      <c r="W16" s="8"/>
      <c r="X16" s="8"/>
      <c r="Y16" s="8"/>
    </row>
    <row r="17" spans="1:28" x14ac:dyDescent="0.3">
      <c r="A17" s="19"/>
      <c r="B17" s="19"/>
      <c r="C17" s="19"/>
      <c r="D17" s="19"/>
      <c r="E17" s="8"/>
      <c r="F17" s="8"/>
      <c r="G17" s="8"/>
      <c r="H17" s="8"/>
      <c r="I17" s="8"/>
      <c r="J17" s="8"/>
      <c r="K17" s="8"/>
      <c r="L17" s="8"/>
      <c r="M17" s="8"/>
      <c r="N17" s="8"/>
      <c r="O17" s="8"/>
      <c r="P17" s="8"/>
      <c r="Q17" s="8"/>
      <c r="R17" s="8"/>
      <c r="S17" s="8"/>
      <c r="T17" s="8"/>
      <c r="U17" s="8"/>
      <c r="V17" s="8"/>
      <c r="W17" s="8"/>
      <c r="X17" s="8"/>
      <c r="Y17" s="8"/>
    </row>
    <row r="18" spans="1:28" x14ac:dyDescent="0.3">
      <c r="A18" s="19"/>
      <c r="B18" s="19"/>
      <c r="C18" s="19"/>
      <c r="D18" s="19"/>
      <c r="E18" s="8"/>
      <c r="F18" s="8"/>
      <c r="G18" s="8"/>
      <c r="H18" s="8"/>
      <c r="I18" s="8"/>
      <c r="J18" s="8"/>
      <c r="K18" s="8"/>
      <c r="L18" s="8"/>
      <c r="M18" s="8"/>
      <c r="N18" s="8"/>
      <c r="O18" s="8"/>
      <c r="P18" s="8"/>
      <c r="Q18" s="8"/>
      <c r="R18" s="8"/>
      <c r="S18" s="8"/>
      <c r="T18" s="8"/>
      <c r="U18" s="8"/>
      <c r="V18" s="8"/>
      <c r="W18" s="8"/>
      <c r="X18" s="8"/>
      <c r="Y18" s="8"/>
    </row>
    <row r="19" spans="1:28" x14ac:dyDescent="0.3">
      <c r="A19" s="19"/>
      <c r="B19" s="19"/>
      <c r="C19" s="19"/>
      <c r="D19" s="19"/>
      <c r="E19" s="8"/>
      <c r="F19" s="8"/>
      <c r="G19" s="8"/>
      <c r="H19" s="8"/>
      <c r="I19" s="8"/>
      <c r="J19" s="8"/>
      <c r="K19" s="8"/>
      <c r="L19" s="8"/>
      <c r="M19" s="8"/>
      <c r="N19" s="8"/>
      <c r="O19" s="8"/>
      <c r="P19" s="8"/>
      <c r="Q19" s="8"/>
      <c r="R19" s="8"/>
      <c r="S19" s="8"/>
      <c r="T19" s="8"/>
      <c r="U19" s="8"/>
      <c r="V19" s="8"/>
      <c r="W19" s="8"/>
      <c r="X19" s="8"/>
      <c r="Y19" s="8"/>
    </row>
    <row r="20" spans="1:28" x14ac:dyDescent="0.3">
      <c r="A20" s="19"/>
      <c r="B20" s="19"/>
      <c r="C20" s="19"/>
      <c r="D20" s="19"/>
      <c r="E20" s="8"/>
      <c r="F20" s="8"/>
      <c r="G20" s="8"/>
      <c r="H20" s="8"/>
      <c r="I20" s="8"/>
      <c r="J20" s="8"/>
      <c r="K20" s="8"/>
      <c r="L20" s="8"/>
      <c r="M20" s="8"/>
      <c r="N20" s="8"/>
      <c r="O20" s="8"/>
      <c r="P20" s="8"/>
      <c r="Q20" s="8"/>
      <c r="R20" s="8"/>
      <c r="S20" s="8"/>
      <c r="T20" s="8"/>
      <c r="U20" s="8"/>
      <c r="V20" s="8"/>
      <c r="W20" s="8"/>
      <c r="X20" s="8"/>
      <c r="Y20" s="8"/>
    </row>
    <row r="21" spans="1:28" x14ac:dyDescent="0.3">
      <c r="A21" s="19"/>
      <c r="B21" s="19"/>
      <c r="C21" s="19"/>
      <c r="D21" s="19"/>
      <c r="E21" s="8"/>
      <c r="F21" s="8"/>
      <c r="G21" s="8"/>
      <c r="H21" s="8"/>
      <c r="I21" s="8"/>
      <c r="J21" s="8"/>
      <c r="K21" s="8"/>
      <c r="L21" s="8"/>
      <c r="M21" s="8"/>
      <c r="N21" s="8"/>
      <c r="O21" s="8"/>
      <c r="P21" s="8"/>
      <c r="Q21" s="8"/>
      <c r="R21" s="8"/>
      <c r="S21" s="8"/>
      <c r="T21" s="8"/>
      <c r="U21" s="8"/>
      <c r="V21" s="8"/>
      <c r="W21" s="8"/>
      <c r="X21" s="8"/>
      <c r="Y21" s="8"/>
    </row>
    <row r="22" spans="1:28" x14ac:dyDescent="0.3">
      <c r="A22" s="19"/>
      <c r="B22" s="19"/>
      <c r="C22" s="19"/>
      <c r="D22" s="19"/>
      <c r="E22" s="8"/>
      <c r="F22" s="8"/>
      <c r="G22" s="8"/>
      <c r="H22" s="8"/>
      <c r="I22" s="8"/>
      <c r="J22" s="8"/>
      <c r="K22" s="8"/>
      <c r="L22" s="8"/>
      <c r="M22" s="8"/>
      <c r="N22" s="8"/>
      <c r="O22" s="8"/>
      <c r="P22" s="8"/>
      <c r="Q22" s="8"/>
      <c r="R22" s="8"/>
      <c r="S22" s="8"/>
      <c r="T22" s="8"/>
      <c r="U22" s="8"/>
      <c r="V22" s="8"/>
      <c r="W22" s="8"/>
      <c r="X22" s="8"/>
      <c r="Y22" s="8"/>
    </row>
    <row r="23" spans="1:28" x14ac:dyDescent="0.3">
      <c r="A23" s="19"/>
      <c r="B23" s="19"/>
      <c r="C23" s="19"/>
      <c r="D23" s="19"/>
      <c r="E23" s="8"/>
      <c r="F23" s="8"/>
      <c r="G23" s="8"/>
      <c r="H23" s="8"/>
      <c r="I23" s="8"/>
      <c r="J23" s="8"/>
      <c r="K23" s="8"/>
      <c r="L23" s="8"/>
      <c r="M23" s="8"/>
      <c r="N23" s="8"/>
      <c r="O23" s="8"/>
      <c r="P23" s="8"/>
      <c r="Q23" s="8"/>
      <c r="R23" s="8"/>
      <c r="S23" s="8"/>
      <c r="T23" s="8"/>
      <c r="U23" s="8"/>
      <c r="V23" s="8"/>
      <c r="W23" s="8"/>
      <c r="X23" s="8"/>
      <c r="Y23" s="8"/>
      <c r="AB23" s="9"/>
    </row>
    <row r="24" spans="1:28" x14ac:dyDescent="0.3">
      <c r="A24" s="19"/>
      <c r="B24" s="19"/>
      <c r="C24" s="19"/>
      <c r="D24" s="19"/>
      <c r="E24" s="8"/>
      <c r="F24" s="8"/>
      <c r="G24" s="8"/>
      <c r="H24" s="8"/>
      <c r="I24" s="8"/>
      <c r="J24" s="8"/>
      <c r="K24" s="8"/>
      <c r="L24" s="8"/>
      <c r="M24" s="8"/>
      <c r="N24" s="8"/>
      <c r="O24" s="8"/>
      <c r="P24" s="8"/>
      <c r="Q24" s="8"/>
      <c r="R24" s="8"/>
      <c r="S24" s="8"/>
      <c r="T24" s="8"/>
      <c r="U24" s="8"/>
      <c r="V24" s="8"/>
      <c r="W24" s="8"/>
      <c r="X24" s="8"/>
      <c r="Y24" s="8"/>
    </row>
    <row r="25" spans="1:28" x14ac:dyDescent="0.3">
      <c r="A25" s="19"/>
      <c r="B25" s="19"/>
      <c r="C25" s="19"/>
      <c r="D25" s="19"/>
      <c r="E25" s="8"/>
      <c r="F25" s="8"/>
      <c r="G25" s="8"/>
      <c r="H25" s="8"/>
      <c r="I25" s="8"/>
      <c r="J25" s="8"/>
      <c r="K25" s="8"/>
      <c r="L25" s="8"/>
      <c r="M25" s="8"/>
      <c r="N25" s="8"/>
      <c r="O25" s="8"/>
      <c r="P25" s="8"/>
      <c r="Q25" s="8"/>
      <c r="R25" s="8"/>
      <c r="S25" s="8"/>
      <c r="T25" s="8"/>
      <c r="U25" s="8"/>
      <c r="V25" s="8"/>
      <c r="W25" s="8"/>
      <c r="X25" s="8"/>
      <c r="Y25" s="8"/>
    </row>
    <row r="26" spans="1:28" x14ac:dyDescent="0.3">
      <c r="A26" s="19"/>
      <c r="B26" s="19"/>
      <c r="C26" s="19"/>
      <c r="D26" s="19"/>
      <c r="E26" s="8"/>
      <c r="F26" s="8"/>
      <c r="G26" s="8"/>
      <c r="H26" s="8"/>
      <c r="I26" s="8"/>
      <c r="J26" s="8"/>
      <c r="K26" s="8"/>
      <c r="L26" s="8"/>
      <c r="M26" s="8"/>
      <c r="N26" s="8"/>
      <c r="O26" s="8"/>
      <c r="P26" s="8"/>
      <c r="Q26" s="8"/>
      <c r="R26" s="8"/>
      <c r="S26" s="8"/>
      <c r="T26" s="8"/>
      <c r="U26" s="8"/>
      <c r="V26" s="8"/>
      <c r="W26" s="8"/>
      <c r="X26" s="8"/>
      <c r="Y26" s="8"/>
    </row>
    <row r="27" spans="1:28" x14ac:dyDescent="0.3">
      <c r="A27" s="19"/>
      <c r="B27" s="19"/>
      <c r="C27" s="19"/>
      <c r="D27" s="19"/>
      <c r="E27" s="8"/>
      <c r="F27" s="8"/>
      <c r="G27" s="8"/>
      <c r="H27" s="8"/>
      <c r="I27" s="8"/>
      <c r="J27" s="8"/>
      <c r="K27" s="8"/>
      <c r="L27" s="8"/>
      <c r="M27" s="8"/>
      <c r="N27" s="8"/>
      <c r="O27" s="8"/>
      <c r="P27" s="8"/>
      <c r="Q27" s="8"/>
      <c r="R27" s="8"/>
      <c r="S27" s="8"/>
      <c r="T27" s="8"/>
      <c r="U27" s="8"/>
      <c r="V27" s="8"/>
      <c r="W27" s="8"/>
      <c r="X27" s="8"/>
      <c r="Y27" s="8"/>
    </row>
    <row r="28" spans="1:28" x14ac:dyDescent="0.3">
      <c r="A28" s="19"/>
      <c r="B28" s="19"/>
      <c r="C28" s="19"/>
      <c r="D28" s="19"/>
      <c r="E28" s="8"/>
      <c r="F28" s="8"/>
      <c r="G28" s="8"/>
      <c r="H28" s="8"/>
      <c r="I28" s="8"/>
      <c r="J28" s="8"/>
      <c r="K28" s="8"/>
      <c r="L28" s="8"/>
      <c r="M28" s="8"/>
      <c r="N28" s="8"/>
      <c r="O28" s="8"/>
      <c r="P28" s="8"/>
      <c r="Q28" s="8"/>
      <c r="R28" s="8"/>
      <c r="S28" s="8"/>
      <c r="T28" s="8"/>
      <c r="U28" s="8"/>
      <c r="V28" s="8"/>
      <c r="W28" s="8"/>
      <c r="X28" s="8"/>
      <c r="Y28" s="8"/>
    </row>
    <row r="29" spans="1:28" x14ac:dyDescent="0.3">
      <c r="A29" s="19"/>
      <c r="B29" s="19"/>
      <c r="C29" s="19"/>
      <c r="D29" s="19"/>
      <c r="E29" s="8"/>
      <c r="F29" s="8"/>
      <c r="G29" s="8"/>
      <c r="H29" s="8"/>
      <c r="I29" s="8"/>
      <c r="J29" s="8"/>
      <c r="K29" s="8"/>
      <c r="L29" s="8"/>
      <c r="M29" s="8"/>
      <c r="N29" s="8"/>
      <c r="O29" s="8"/>
      <c r="P29" s="8"/>
      <c r="Q29" s="8"/>
      <c r="R29" s="8"/>
      <c r="S29" s="8"/>
      <c r="T29" s="8"/>
      <c r="U29" s="8"/>
      <c r="V29" s="8"/>
      <c r="W29" s="8"/>
      <c r="X29" s="8"/>
      <c r="Y29" s="8"/>
    </row>
    <row r="30" spans="1:28" x14ac:dyDescent="0.3">
      <c r="A30" s="19"/>
      <c r="B30" s="19"/>
      <c r="C30" s="19"/>
      <c r="D30" s="19"/>
      <c r="E30" s="8"/>
      <c r="F30" s="8"/>
      <c r="G30" s="8"/>
      <c r="H30" s="8"/>
      <c r="I30" s="8"/>
      <c r="J30" s="8"/>
      <c r="K30" s="8"/>
      <c r="L30" s="8"/>
      <c r="M30" s="8"/>
      <c r="N30" s="8"/>
      <c r="O30" s="8"/>
      <c r="P30" s="8"/>
      <c r="Q30" s="8"/>
      <c r="R30" s="8"/>
      <c r="S30" s="8"/>
      <c r="T30" s="8"/>
      <c r="U30" s="8"/>
      <c r="V30" s="8"/>
      <c r="W30" s="8"/>
      <c r="X30" s="8"/>
      <c r="Y30" s="8"/>
    </row>
    <row r="31" spans="1:28" x14ac:dyDescent="0.3">
      <c r="A31" s="19"/>
      <c r="B31" s="19"/>
      <c r="C31" s="19"/>
      <c r="D31" s="19"/>
      <c r="E31" s="8"/>
      <c r="F31" s="8"/>
      <c r="G31" s="8"/>
      <c r="H31" s="8"/>
      <c r="I31" s="8"/>
      <c r="J31" s="8"/>
      <c r="K31" s="8"/>
      <c r="L31" s="8"/>
      <c r="M31" s="8"/>
      <c r="N31" s="8"/>
      <c r="O31" s="8"/>
      <c r="P31" s="8"/>
      <c r="Q31" s="8"/>
      <c r="R31" s="8"/>
      <c r="S31" s="8"/>
      <c r="T31" s="8"/>
      <c r="U31" s="8"/>
      <c r="V31" s="8"/>
      <c r="W31" s="8"/>
      <c r="X31" s="8"/>
      <c r="Y31" s="8"/>
    </row>
    <row r="32" spans="1:28" x14ac:dyDescent="0.3">
      <c r="A32" s="19"/>
      <c r="B32" s="19"/>
      <c r="C32" s="19"/>
      <c r="D32" s="19"/>
      <c r="E32" s="8"/>
      <c r="F32" s="8"/>
      <c r="G32" s="8"/>
      <c r="H32" s="8"/>
      <c r="I32" s="8"/>
      <c r="J32" s="8"/>
      <c r="K32" s="8"/>
      <c r="L32" s="8"/>
      <c r="M32" s="8"/>
      <c r="N32" s="8"/>
      <c r="O32" s="8"/>
      <c r="P32" s="8"/>
      <c r="Q32" s="8"/>
      <c r="R32" s="8"/>
      <c r="S32" s="8"/>
      <c r="T32" s="8"/>
      <c r="U32" s="8"/>
      <c r="V32" s="8"/>
      <c r="W32" s="8"/>
      <c r="X32" s="8"/>
      <c r="Y32" s="8"/>
    </row>
    <row r="33" spans="1:27" x14ac:dyDescent="0.3">
      <c r="A33" s="19"/>
      <c r="B33" s="19"/>
      <c r="C33" s="19"/>
      <c r="D33" s="19"/>
      <c r="E33" s="8"/>
      <c r="F33" s="8"/>
      <c r="G33" s="8"/>
      <c r="H33" s="8"/>
      <c r="I33" s="8"/>
      <c r="J33" s="8"/>
      <c r="K33" s="8"/>
      <c r="L33" s="8"/>
      <c r="M33" s="8"/>
      <c r="N33" s="8"/>
      <c r="O33" s="8"/>
      <c r="P33" s="8"/>
      <c r="Q33" s="8"/>
      <c r="R33" s="8"/>
      <c r="S33" s="8"/>
      <c r="T33" s="8"/>
      <c r="U33" s="8"/>
      <c r="V33" s="8"/>
      <c r="W33" s="8"/>
      <c r="X33" s="8"/>
      <c r="Y33" s="8"/>
    </row>
    <row r="34" spans="1:27" x14ac:dyDescent="0.3">
      <c r="A34" s="19"/>
      <c r="B34" s="19"/>
      <c r="C34" s="19"/>
      <c r="D34" s="19"/>
      <c r="E34" s="8"/>
      <c r="F34" s="8"/>
      <c r="G34" s="8"/>
      <c r="H34" s="8"/>
      <c r="I34" s="8"/>
      <c r="J34" s="8"/>
      <c r="K34" s="8"/>
      <c r="L34" s="8"/>
      <c r="M34" s="8"/>
      <c r="N34" s="8"/>
      <c r="O34" s="8"/>
      <c r="P34" s="8"/>
      <c r="Q34" s="8"/>
      <c r="R34" s="8"/>
      <c r="S34" s="8"/>
      <c r="T34" s="8"/>
      <c r="U34" s="8"/>
      <c r="V34" s="8"/>
      <c r="W34" s="8"/>
      <c r="X34" s="8"/>
      <c r="Y34" s="8"/>
    </row>
    <row r="35" spans="1:27" x14ac:dyDescent="0.3">
      <c r="A35" s="19"/>
      <c r="B35" s="19"/>
      <c r="C35" s="19"/>
      <c r="D35" s="19"/>
      <c r="E35" s="8"/>
      <c r="F35" s="8"/>
      <c r="G35" s="8"/>
      <c r="H35" s="8"/>
      <c r="I35" s="8"/>
      <c r="J35" s="8"/>
      <c r="K35" s="8"/>
      <c r="L35" s="8"/>
      <c r="M35" s="8"/>
      <c r="N35" s="8"/>
      <c r="O35" s="8"/>
      <c r="P35" s="8"/>
      <c r="Q35" s="8"/>
      <c r="R35" s="8"/>
      <c r="S35" s="8"/>
      <c r="T35" s="8"/>
      <c r="U35" s="8"/>
      <c r="V35" s="8"/>
      <c r="W35" s="8"/>
      <c r="X35" s="8"/>
      <c r="Y35" s="8"/>
    </row>
    <row r="36" spans="1:27" x14ac:dyDescent="0.3">
      <c r="A36" s="19"/>
      <c r="B36" s="19"/>
      <c r="C36" s="19"/>
      <c r="D36" s="19"/>
      <c r="E36" s="8"/>
      <c r="F36" s="8"/>
      <c r="G36" s="8"/>
      <c r="H36" s="8"/>
      <c r="I36" s="8"/>
      <c r="J36" s="8"/>
      <c r="K36" s="8"/>
      <c r="L36" s="8"/>
      <c r="M36" s="8"/>
      <c r="N36" s="8"/>
      <c r="O36" s="8"/>
      <c r="P36" s="8"/>
      <c r="Q36" s="8"/>
      <c r="R36" s="8"/>
      <c r="S36" s="8"/>
      <c r="T36" s="8"/>
      <c r="U36" s="8"/>
      <c r="V36" s="8"/>
      <c r="W36" s="8"/>
      <c r="X36" s="8"/>
      <c r="Y36" s="8"/>
    </row>
    <row r="37" spans="1:27" x14ac:dyDescent="0.3">
      <c r="A37" s="19"/>
      <c r="B37" s="19"/>
      <c r="C37" s="19"/>
      <c r="D37" s="19"/>
      <c r="E37" s="8"/>
      <c r="F37" s="8"/>
      <c r="G37" s="8"/>
      <c r="H37" s="8"/>
      <c r="I37" s="8"/>
      <c r="J37" s="8"/>
      <c r="K37" s="8"/>
      <c r="L37" s="8"/>
      <c r="M37" s="8"/>
      <c r="N37" s="8"/>
      <c r="O37" s="8"/>
      <c r="P37" s="8"/>
      <c r="Q37" s="8"/>
      <c r="R37" s="8"/>
      <c r="S37" s="8"/>
      <c r="T37" s="8"/>
      <c r="U37" s="8"/>
      <c r="V37" s="8"/>
      <c r="W37" s="8"/>
      <c r="X37" s="8"/>
      <c r="Y37" s="8"/>
    </row>
    <row r="38" spans="1:27" x14ac:dyDescent="0.3">
      <c r="A38" s="19"/>
      <c r="B38" s="19"/>
      <c r="C38" s="19"/>
      <c r="D38" s="19"/>
      <c r="E38" s="8"/>
      <c r="F38" s="8"/>
      <c r="G38" s="8"/>
      <c r="H38" s="8"/>
      <c r="I38" s="8"/>
      <c r="J38" s="8"/>
      <c r="K38" s="8"/>
      <c r="L38" s="8"/>
      <c r="M38" s="8"/>
      <c r="N38" s="8"/>
      <c r="O38" s="8"/>
      <c r="P38" s="8"/>
      <c r="Q38" s="8"/>
      <c r="R38" s="8"/>
      <c r="S38" s="8"/>
      <c r="T38" s="8"/>
      <c r="U38" s="8"/>
      <c r="V38" s="8"/>
      <c r="W38" s="8"/>
      <c r="X38" s="8"/>
      <c r="Y38" s="8"/>
    </row>
    <row r="39" spans="1:27" x14ac:dyDescent="0.3">
      <c r="A39" s="19"/>
      <c r="B39" s="19"/>
      <c r="C39" s="19"/>
      <c r="D39" s="19"/>
      <c r="E39" s="8"/>
      <c r="F39" s="8"/>
      <c r="G39" s="8"/>
      <c r="H39" s="8"/>
      <c r="I39" s="8"/>
      <c r="J39" s="8"/>
      <c r="K39" s="8"/>
      <c r="L39" s="8"/>
      <c r="M39" s="8"/>
      <c r="N39" s="8"/>
      <c r="O39" s="8"/>
      <c r="P39" s="8"/>
      <c r="Q39" s="8"/>
      <c r="R39" s="8"/>
      <c r="S39" s="8"/>
      <c r="T39" s="8"/>
      <c r="U39" s="8"/>
      <c r="V39" s="8"/>
      <c r="W39" s="8"/>
      <c r="X39" s="8"/>
      <c r="Y39" s="8"/>
    </row>
    <row r="40" spans="1:27" x14ac:dyDescent="0.3">
      <c r="A40" s="19"/>
      <c r="B40" s="19"/>
      <c r="C40" s="19"/>
      <c r="D40" s="19"/>
      <c r="E40" s="8"/>
      <c r="F40" s="8"/>
      <c r="G40" s="8"/>
      <c r="H40" s="8"/>
      <c r="I40" s="8"/>
      <c r="J40" s="8"/>
      <c r="K40" s="8"/>
      <c r="L40" s="8"/>
      <c r="M40" s="8"/>
      <c r="N40" s="8"/>
      <c r="O40" s="8"/>
      <c r="P40" s="8"/>
      <c r="Q40" s="8"/>
      <c r="R40" s="8"/>
      <c r="S40" s="8"/>
      <c r="T40" s="8"/>
      <c r="U40" s="8"/>
      <c r="V40" s="8"/>
      <c r="W40" s="8"/>
      <c r="X40" s="8"/>
      <c r="Y40" s="8"/>
    </row>
    <row r="41" spans="1:27" x14ac:dyDescent="0.3">
      <c r="A41" s="19"/>
      <c r="B41" s="19"/>
      <c r="C41" s="19"/>
      <c r="D41" s="19"/>
      <c r="E41" s="8"/>
      <c r="F41" s="8"/>
      <c r="G41" s="8"/>
      <c r="H41" s="8"/>
      <c r="I41" s="8"/>
      <c r="J41" s="8"/>
      <c r="K41" s="8"/>
      <c r="L41" s="8"/>
      <c r="M41" s="8"/>
      <c r="N41" s="8"/>
      <c r="O41" s="8"/>
      <c r="P41" s="8"/>
      <c r="Q41" s="8"/>
      <c r="R41" s="8"/>
      <c r="S41" s="8"/>
      <c r="T41" s="8"/>
      <c r="U41" s="8"/>
      <c r="V41" s="8"/>
      <c r="W41" s="8"/>
      <c r="X41" s="8"/>
      <c r="Y41" s="8"/>
    </row>
    <row r="42" spans="1:27" x14ac:dyDescent="0.3">
      <c r="A42" s="19"/>
      <c r="B42" s="19"/>
      <c r="C42" s="19"/>
      <c r="D42" s="19"/>
      <c r="E42" s="8"/>
      <c r="F42" s="8"/>
      <c r="G42" s="8"/>
      <c r="H42" s="8"/>
      <c r="I42" s="8"/>
      <c r="J42" s="8"/>
      <c r="K42" s="8"/>
      <c r="L42" s="8"/>
      <c r="M42" s="8"/>
      <c r="N42" s="8"/>
      <c r="O42" s="8"/>
      <c r="P42" s="8"/>
      <c r="Q42" s="8"/>
      <c r="R42" s="8"/>
      <c r="S42" s="8"/>
      <c r="T42" s="8"/>
      <c r="U42" s="8"/>
      <c r="V42" s="8"/>
      <c r="W42" s="8"/>
      <c r="X42" s="8"/>
      <c r="Y42" s="8"/>
    </row>
    <row r="43" spans="1:27" x14ac:dyDescent="0.3">
      <c r="A43" s="19"/>
      <c r="B43" s="19"/>
      <c r="C43" s="19"/>
      <c r="D43" s="19"/>
      <c r="E43" s="8"/>
      <c r="F43" s="8"/>
      <c r="G43" s="8"/>
      <c r="H43" s="8"/>
      <c r="I43" s="8"/>
      <c r="J43" s="8"/>
      <c r="K43" s="8"/>
      <c r="L43" s="8"/>
      <c r="M43" s="8"/>
      <c r="N43" s="8"/>
      <c r="O43" s="8"/>
      <c r="P43" s="8"/>
      <c r="Q43" s="8"/>
      <c r="R43" s="8"/>
      <c r="S43" s="8"/>
      <c r="T43" s="8"/>
      <c r="U43" s="8"/>
      <c r="V43" s="8"/>
      <c r="W43" s="8"/>
      <c r="X43" s="8"/>
      <c r="Y43" s="8"/>
    </row>
    <row r="44" spans="1:27" x14ac:dyDescent="0.3">
      <c r="A44" s="19"/>
      <c r="B44" s="19"/>
      <c r="C44" s="19"/>
      <c r="D44" s="19"/>
      <c r="E44" s="8"/>
      <c r="F44" s="8"/>
      <c r="G44" s="8"/>
      <c r="H44" s="8"/>
      <c r="I44" s="8"/>
      <c r="J44" s="8"/>
      <c r="K44" s="8"/>
      <c r="L44" s="8"/>
      <c r="M44" s="8"/>
      <c r="N44" s="8"/>
      <c r="O44" s="8"/>
      <c r="P44" s="8"/>
      <c r="Q44" s="8"/>
      <c r="R44" s="8"/>
      <c r="S44" s="8"/>
      <c r="T44" s="8"/>
      <c r="U44" s="8"/>
      <c r="V44" s="8"/>
      <c r="W44" s="8"/>
      <c r="X44" s="8"/>
      <c r="Y44" s="8"/>
    </row>
    <row r="45" spans="1:27" x14ac:dyDescent="0.3">
      <c r="A45" s="19"/>
      <c r="B45" s="19"/>
      <c r="C45" s="19"/>
      <c r="D45" s="19"/>
      <c r="E45" s="8"/>
      <c r="F45" s="8"/>
      <c r="G45" s="8"/>
      <c r="H45" s="8"/>
      <c r="I45" s="8"/>
      <c r="J45" s="8"/>
      <c r="K45" s="8"/>
      <c r="L45" s="8"/>
      <c r="M45" s="8"/>
      <c r="N45" s="8"/>
      <c r="O45" s="8"/>
      <c r="P45" s="8"/>
      <c r="Q45" s="8"/>
      <c r="R45" s="8"/>
      <c r="S45" s="8"/>
      <c r="T45" s="8"/>
      <c r="U45" s="8"/>
      <c r="V45" s="8"/>
      <c r="W45" s="8"/>
      <c r="X45" s="8"/>
      <c r="Y45" s="8"/>
      <c r="AA45" s="21"/>
    </row>
    <row r="46" spans="1:27" x14ac:dyDescent="0.3">
      <c r="A46" s="19"/>
      <c r="B46" s="19"/>
      <c r="C46" s="19"/>
      <c r="D46" s="19"/>
      <c r="E46" s="8"/>
      <c r="F46" s="8"/>
      <c r="G46" s="8"/>
      <c r="H46" s="8"/>
      <c r="I46" s="8"/>
      <c r="J46" s="8"/>
      <c r="K46" s="8"/>
      <c r="L46" s="8"/>
      <c r="M46" s="8"/>
      <c r="N46" s="8"/>
      <c r="O46" s="8"/>
      <c r="P46" s="8"/>
      <c r="Q46" s="8"/>
      <c r="R46" s="8"/>
      <c r="S46" s="8"/>
      <c r="T46" s="8"/>
      <c r="U46" s="8"/>
      <c r="V46" s="8"/>
      <c r="W46" s="8"/>
      <c r="X46" s="8"/>
      <c r="Y46" s="8"/>
    </row>
    <row r="47" spans="1:27" x14ac:dyDescent="0.3">
      <c r="A47" s="19"/>
      <c r="B47" s="19"/>
      <c r="C47" s="19"/>
      <c r="D47" s="19"/>
      <c r="E47" s="8"/>
      <c r="F47" s="8"/>
      <c r="G47" s="8"/>
      <c r="H47" s="8"/>
      <c r="I47" s="8"/>
      <c r="J47" s="8"/>
      <c r="K47" s="8"/>
      <c r="L47" s="8"/>
      <c r="M47" s="8"/>
      <c r="N47" s="8"/>
      <c r="O47" s="8"/>
      <c r="P47" s="8"/>
      <c r="Q47" s="8"/>
      <c r="R47" s="8"/>
      <c r="S47" s="8"/>
      <c r="T47" s="8"/>
      <c r="U47" s="8"/>
      <c r="V47" s="8"/>
      <c r="W47" s="8"/>
      <c r="X47" s="8"/>
      <c r="Y47" s="8"/>
    </row>
    <row r="48" spans="1:27" x14ac:dyDescent="0.3">
      <c r="A48" s="19"/>
      <c r="B48" s="19"/>
      <c r="C48" s="19"/>
      <c r="D48" s="19"/>
      <c r="E48" s="8"/>
      <c r="F48" s="8"/>
      <c r="G48" s="8"/>
      <c r="H48" s="8"/>
      <c r="I48" s="8"/>
      <c r="J48" s="8"/>
      <c r="K48" s="8"/>
      <c r="L48" s="8"/>
      <c r="M48" s="8"/>
      <c r="N48" s="8"/>
      <c r="O48" s="8"/>
      <c r="P48" s="8"/>
      <c r="Q48" s="8"/>
      <c r="R48" s="8"/>
      <c r="S48" s="8"/>
      <c r="T48" s="8"/>
      <c r="U48" s="8"/>
      <c r="V48" s="8"/>
      <c r="W48" s="8"/>
      <c r="X48" s="8"/>
      <c r="Y48" s="8"/>
    </row>
    <row r="49" spans="1:25" x14ac:dyDescent="0.3">
      <c r="A49" s="19"/>
      <c r="B49" s="19"/>
      <c r="C49" s="19"/>
      <c r="D49" s="19"/>
      <c r="E49" s="8"/>
      <c r="F49" s="8"/>
      <c r="G49" s="8"/>
      <c r="H49" s="8"/>
      <c r="I49" s="8"/>
      <c r="J49" s="8"/>
      <c r="K49" s="8"/>
      <c r="L49" s="8"/>
      <c r="M49" s="8"/>
      <c r="N49" s="8"/>
      <c r="O49" s="8"/>
      <c r="P49" s="8"/>
      <c r="Q49" s="8"/>
      <c r="R49" s="8"/>
      <c r="S49" s="8"/>
      <c r="T49" s="8"/>
      <c r="U49" s="8"/>
      <c r="V49" s="8"/>
      <c r="W49" s="8"/>
      <c r="X49" s="8"/>
      <c r="Y49" s="8"/>
    </row>
    <row r="50" spans="1:25" x14ac:dyDescent="0.3">
      <c r="A50" s="19"/>
      <c r="B50" s="19"/>
      <c r="C50" s="19"/>
      <c r="D50" s="19"/>
      <c r="E50" s="8"/>
      <c r="F50" s="8"/>
      <c r="G50" s="8"/>
      <c r="H50" s="8"/>
      <c r="I50" s="8"/>
      <c r="J50" s="8"/>
      <c r="K50" s="8"/>
      <c r="L50" s="8"/>
      <c r="M50" s="8"/>
      <c r="N50" s="8"/>
      <c r="O50" s="8"/>
      <c r="P50" s="8"/>
      <c r="Q50" s="8"/>
      <c r="R50" s="8"/>
      <c r="S50" s="8"/>
      <c r="T50" s="8"/>
      <c r="U50" s="8"/>
      <c r="V50" s="8"/>
      <c r="W50" s="8"/>
      <c r="X50" s="8"/>
      <c r="Y50" s="8"/>
    </row>
    <row r="51" spans="1:25" x14ac:dyDescent="0.3">
      <c r="A51" s="19"/>
      <c r="B51" s="19"/>
      <c r="C51" s="19"/>
      <c r="D51" s="19"/>
      <c r="E51" s="8"/>
      <c r="F51" s="8"/>
      <c r="G51" s="8"/>
      <c r="H51" s="8"/>
      <c r="I51" s="8"/>
      <c r="J51" s="8"/>
      <c r="K51" s="8"/>
      <c r="L51" s="8"/>
      <c r="M51" s="8"/>
      <c r="N51" s="8"/>
      <c r="O51" s="8"/>
      <c r="P51" s="8"/>
      <c r="Q51" s="8"/>
      <c r="R51" s="8"/>
      <c r="S51" s="8"/>
      <c r="T51" s="8"/>
      <c r="U51" s="8"/>
      <c r="V51" s="8"/>
      <c r="W51" s="8"/>
      <c r="X51" s="8"/>
      <c r="Y51" s="8"/>
    </row>
    <row r="52" spans="1:25" x14ac:dyDescent="0.3">
      <c r="A52" s="19"/>
      <c r="B52" s="19"/>
      <c r="C52" s="19"/>
      <c r="D52" s="19"/>
      <c r="E52" s="8"/>
      <c r="F52" s="8"/>
      <c r="G52" s="8"/>
      <c r="H52" s="8"/>
      <c r="I52" s="8"/>
      <c r="J52" s="8"/>
      <c r="K52" s="8"/>
      <c r="L52" s="8"/>
      <c r="M52" s="8"/>
      <c r="N52" s="8"/>
      <c r="O52" s="8"/>
      <c r="P52" s="8"/>
      <c r="Q52" s="8"/>
      <c r="R52" s="8"/>
      <c r="S52" s="8"/>
      <c r="T52" s="8"/>
      <c r="U52" s="8"/>
      <c r="V52" s="8"/>
      <c r="W52" s="8"/>
      <c r="X52" s="8"/>
      <c r="Y52" s="8"/>
    </row>
    <row r="53" spans="1:25" x14ac:dyDescent="0.3">
      <c r="A53" s="19"/>
      <c r="B53" s="19"/>
      <c r="C53" s="19"/>
      <c r="D53" s="19"/>
      <c r="E53" s="8"/>
      <c r="F53" s="8"/>
      <c r="G53" s="8"/>
      <c r="H53" s="8"/>
      <c r="I53" s="8"/>
      <c r="J53" s="8"/>
      <c r="K53" s="8"/>
      <c r="L53" s="8"/>
      <c r="M53" s="8"/>
      <c r="N53" s="8"/>
      <c r="O53" s="8"/>
      <c r="P53" s="8"/>
      <c r="Q53" s="8"/>
      <c r="R53" s="8"/>
      <c r="S53" s="8"/>
      <c r="T53" s="8"/>
      <c r="U53" s="8"/>
      <c r="V53" s="8"/>
      <c r="W53" s="8"/>
      <c r="X53" s="8"/>
      <c r="Y53" s="8"/>
    </row>
    <row r="54" spans="1:25" x14ac:dyDescent="0.3">
      <c r="A54" s="19"/>
      <c r="B54" s="19"/>
      <c r="C54" s="19"/>
      <c r="D54" s="19"/>
      <c r="E54" s="8"/>
      <c r="F54" s="8"/>
      <c r="G54" s="8"/>
      <c r="H54" s="8"/>
      <c r="I54" s="8"/>
      <c r="J54" s="8"/>
      <c r="K54" s="8"/>
      <c r="L54" s="8"/>
      <c r="M54" s="8"/>
      <c r="N54" s="8"/>
      <c r="O54" s="8"/>
      <c r="P54" s="8"/>
      <c r="Q54" s="8"/>
      <c r="R54" s="8"/>
      <c r="S54" s="8"/>
      <c r="T54" s="8"/>
      <c r="U54" s="8"/>
      <c r="V54" s="8"/>
      <c r="W54" s="8"/>
      <c r="X54" s="8"/>
      <c r="Y54" s="8"/>
    </row>
  </sheetData>
  <mergeCells count="3">
    <mergeCell ref="A1:H3"/>
    <mergeCell ref="W1:Y3"/>
    <mergeCell ref="T1:V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WA_Fn-UseC_-HR-Employee-Attriti</vt:lpstr>
      <vt:lpstr>pivottable</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Mayur Barase</dc:creator>
  <cp:lastModifiedBy>Mayur Barase</cp:lastModifiedBy>
  <dcterms:created xsi:type="dcterms:W3CDTF">2026-09-20T13:02:09Z</dcterms:created>
  <dcterms:modified xsi:type="dcterms:W3CDTF">2026-09-22T17:10:45Z</dcterms:modified>
</cp:coreProperties>
</file>